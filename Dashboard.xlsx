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Ex3.xml" ContentType="application/vnd.ms-office.chartex+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krishnendu Bir\Desktop\"/>
    </mc:Choice>
  </mc:AlternateContent>
  <xr:revisionPtr revIDLastSave="0" documentId="13_ncr:1_{9B9B5616-9F04-4272-A2E4-705DAFE5DBE9}" xr6:coauthVersionLast="47" xr6:coauthVersionMax="47" xr10:uidLastSave="{00000000-0000-0000-0000-000000000000}"/>
  <bookViews>
    <workbookView xWindow="-110" yWindow="-110" windowWidth="19420" windowHeight="11020" activeTab="1" xr2:uid="{33C23271-6D53-414C-B592-C0A456A5EE21}"/>
  </bookViews>
  <sheets>
    <sheet name="kpi" sheetId="3" r:id="rId1"/>
    <sheet name="mian data" sheetId="1" r:id="rId2"/>
    <sheet name="Dashboard" sheetId="2" r:id="rId3"/>
  </sheets>
  <definedNames>
    <definedName name="_xlchart.v1.0" hidden="1">kpi!$D$52:$D$61</definedName>
    <definedName name="_xlchart.v1.1" hidden="1">kpi!$E$52:$E$61</definedName>
    <definedName name="_xlchart.v1.2" hidden="1">kpi!$D$52:$D$61</definedName>
    <definedName name="_xlchart.v1.3" hidden="1">kpi!$E$52:$E$61</definedName>
    <definedName name="_xlchart.v1.8" hidden="1">kpi!$D$52:$D$61</definedName>
    <definedName name="_xlchart.v1.9" hidden="1">kpi!$E$52:$E$61</definedName>
    <definedName name="_xlchart.v5.10" hidden="1">kpi!$K$13</definedName>
    <definedName name="_xlchart.v5.11" hidden="1">kpi!$K$14:$K$19</definedName>
    <definedName name="_xlchart.v5.12" hidden="1">kpi!$L$13</definedName>
    <definedName name="_xlchart.v5.13" hidden="1">kpi!$L$14:$L$19</definedName>
    <definedName name="_xlchart.v5.14" hidden="1">kpi!$K$13</definedName>
    <definedName name="_xlchart.v5.15" hidden="1">kpi!$K$14:$K$19</definedName>
    <definedName name="_xlchart.v5.16" hidden="1">kpi!$L$13</definedName>
    <definedName name="_xlchart.v5.17" hidden="1">kpi!$L$14:$L$19</definedName>
    <definedName name="_xlchart.v5.18" hidden="1">kpi!$K$13</definedName>
    <definedName name="_xlchart.v5.19" hidden="1">kpi!$K$14:$K$19</definedName>
    <definedName name="_xlchart.v5.20" hidden="1">kpi!$L$13</definedName>
    <definedName name="_xlchart.v5.21" hidden="1">kpi!$L$14:$L$19</definedName>
    <definedName name="_xlchart.v5.4" hidden="1">kpi!$K$13</definedName>
    <definedName name="_xlchart.v5.5" hidden="1">kpi!$K$14:$K$19</definedName>
    <definedName name="_xlchart.v5.6" hidden="1">kpi!$L$13</definedName>
    <definedName name="_xlchart.v5.7" hidden="1">kpi!$L$14:$L$19</definedName>
    <definedName name="NativeTimeline_OrderDate">#N/A</definedName>
    <definedName name="_xlnm.Print_Area" localSheetId="2">Dashboard!$A$1:$T$35</definedName>
    <definedName name="Slicer_Brand">#N/A</definedName>
    <definedName name="Slicer_Category">#N/A</definedName>
    <definedName name="Slicer_Gender">#N/A</definedName>
    <definedName name="Slicer_OrderChannel">#N/A</definedName>
    <definedName name="Slicer_PaymentMethod">#N/A</definedName>
    <definedName name="Slicer_Region">#N/A</definedName>
    <definedName name="Slicer_ReturnStatus">#N/A</definedName>
    <definedName name="Slicer_Status">#N/A</definedName>
    <definedName name="Slicer_SubCategory">#N/A</definedName>
  </definedNames>
  <calcPr calcId="181029"/>
  <pivotCaches>
    <pivotCache cacheId="75"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4"/>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5" i="3" l="1"/>
  <c r="E53" i="3"/>
  <c r="E57" i="3"/>
  <c r="E61" i="3"/>
  <c r="E58" i="3"/>
  <c r="E55" i="3"/>
  <c r="E59" i="3"/>
  <c r="E56" i="3"/>
  <c r="E60" i="3"/>
  <c r="E54" i="3"/>
  <c r="E52" i="3"/>
  <c r="E62" i="3" l="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2" i="1"/>
  <c r="W5" i="3"/>
  <c r="O4" i="3"/>
  <c r="L17" i="3"/>
  <c r="L18" i="3"/>
  <c r="L14" i="3"/>
  <c r="L15" i="3"/>
  <c r="L19" i="3"/>
  <c r="L16" i="3"/>
  <c r="J16" i="3" l="1"/>
  <c r="L20" i="3"/>
</calcChain>
</file>

<file path=xl/sharedStrings.xml><?xml version="1.0" encoding="utf-8"?>
<sst xmlns="http://schemas.openxmlformats.org/spreadsheetml/2006/main" count="15150" uniqueCount="1718">
  <si>
    <t>OrderID</t>
  </si>
  <si>
    <t>OrderDate</t>
  </si>
  <si>
    <t>CustomerID</t>
  </si>
  <si>
    <t>CustomerName</t>
  </si>
  <si>
    <t>Gender</t>
  </si>
  <si>
    <t>Age</t>
  </si>
  <si>
    <t>Product</t>
  </si>
  <si>
    <t>Category</t>
  </si>
  <si>
    <t>SubCategory</t>
  </si>
  <si>
    <t>Brand</t>
  </si>
  <si>
    <t>Quantity</t>
  </si>
  <si>
    <t>UnitPrice</t>
  </si>
  <si>
    <t>Discount</t>
  </si>
  <si>
    <t>DiscountAmount</t>
  </si>
  <si>
    <t>Tax</t>
  </si>
  <si>
    <t>ShippingCost</t>
  </si>
  <si>
    <t>TotalAmount</t>
  </si>
  <si>
    <t>PaymentMethod</t>
  </si>
  <si>
    <t>OrderChannel</t>
  </si>
  <si>
    <t>City</t>
  </si>
  <si>
    <t>State</t>
  </si>
  <si>
    <t>Region</t>
  </si>
  <si>
    <t>DeliveryDays</t>
  </si>
  <si>
    <t>ReturnStatus</t>
  </si>
  <si>
    <t>Rating</t>
  </si>
  <si>
    <t>Status</t>
  </si>
  <si>
    <t>ORD00001</t>
  </si>
  <si>
    <t>CUST883</t>
  </si>
  <si>
    <t>Rahul</t>
  </si>
  <si>
    <t>Female</t>
  </si>
  <si>
    <t>Headphones</t>
  </si>
  <si>
    <t>Electronics</t>
  </si>
  <si>
    <t>Sony</t>
  </si>
  <si>
    <t>Net Banking</t>
  </si>
  <si>
    <t>Website</t>
  </si>
  <si>
    <t>Mumbai</t>
  </si>
  <si>
    <t>Maharashtra</t>
  </si>
  <si>
    <t>West</t>
  </si>
  <si>
    <t>No Return</t>
  </si>
  <si>
    <t>Delivered</t>
  </si>
  <si>
    <t>ORD00002</t>
  </si>
  <si>
    <t>CUST657</t>
  </si>
  <si>
    <t>Neha</t>
  </si>
  <si>
    <t>Male</t>
  </si>
  <si>
    <t>Keyboard</t>
  </si>
  <si>
    <t>Cash on Delivery</t>
  </si>
  <si>
    <t>Pune</t>
  </si>
  <si>
    <t>Returned</t>
  </si>
  <si>
    <t>ORD00003</t>
  </si>
  <si>
    <t>CUST546</t>
  </si>
  <si>
    <t>Arjun</t>
  </si>
  <si>
    <t>Shoes</t>
  </si>
  <si>
    <t>Fashion</t>
  </si>
  <si>
    <t>Boat</t>
  </si>
  <si>
    <t>UPI</t>
  </si>
  <si>
    <t>Chandigarh</t>
  </si>
  <si>
    <t>Punjab</t>
  </si>
  <si>
    <t>North</t>
  </si>
  <si>
    <t>Cancelled</t>
  </si>
  <si>
    <t>ORD00004</t>
  </si>
  <si>
    <t>CUST355</t>
  </si>
  <si>
    <t>Priya</t>
  </si>
  <si>
    <t>Dell</t>
  </si>
  <si>
    <t>Mobile App</t>
  </si>
  <si>
    <t>ORD00005</t>
  </si>
  <si>
    <t>CUST595</t>
  </si>
  <si>
    <t>Vikas</t>
  </si>
  <si>
    <t>Backpack</t>
  </si>
  <si>
    <t>Accessories</t>
  </si>
  <si>
    <t>HP</t>
  </si>
  <si>
    <t>Patiala</t>
  </si>
  <si>
    <t>ORD00006</t>
  </si>
  <si>
    <t>CUST587</t>
  </si>
  <si>
    <t>Sneha</t>
  </si>
  <si>
    <t>Laptop</t>
  </si>
  <si>
    <t>Lenovo</t>
  </si>
  <si>
    <t>Jaipur</t>
  </si>
  <si>
    <t>Rajasthan</t>
  </si>
  <si>
    <t>ORD00007</t>
  </si>
  <si>
    <t>CUST842</t>
  </si>
  <si>
    <t>Amit</t>
  </si>
  <si>
    <t>ORD00008</t>
  </si>
  <si>
    <t>CUST666</t>
  </si>
  <si>
    <t>Card</t>
  </si>
  <si>
    <t>Bangalore</t>
  </si>
  <si>
    <t>Karnataka</t>
  </si>
  <si>
    <t>South</t>
  </si>
  <si>
    <t>ORD00009</t>
  </si>
  <si>
    <t>CUST794</t>
  </si>
  <si>
    <t>Karan</t>
  </si>
  <si>
    <t>Camera</t>
  </si>
  <si>
    <t>Shipped</t>
  </si>
  <si>
    <t>ORD00010</t>
  </si>
  <si>
    <t>CUST126</t>
  </si>
  <si>
    <t>Phone</t>
  </si>
  <si>
    <t>Lucknow</t>
  </si>
  <si>
    <t>Uttar Pradesh</t>
  </si>
  <si>
    <t>ORD00011</t>
  </si>
  <si>
    <t>CUST244</t>
  </si>
  <si>
    <t>Watch</t>
  </si>
  <si>
    <t>ORD00012</t>
  </si>
  <si>
    <t>CUST221</t>
  </si>
  <si>
    <t>Samsung</t>
  </si>
  <si>
    <t>Delhi</t>
  </si>
  <si>
    <t>ORD00013</t>
  </si>
  <si>
    <t>CUST100</t>
  </si>
  <si>
    <t>ORD00014</t>
  </si>
  <si>
    <t>CUST256</t>
  </si>
  <si>
    <t>Anjali</t>
  </si>
  <si>
    <t>ORD00015</t>
  </si>
  <si>
    <t>CUST217</t>
  </si>
  <si>
    <t>Riya</t>
  </si>
  <si>
    <t>Nike</t>
  </si>
  <si>
    <t>ORD00016</t>
  </si>
  <si>
    <t>CUST814</t>
  </si>
  <si>
    <t>ORD00017</t>
  </si>
  <si>
    <t>CUST829</t>
  </si>
  <si>
    <t>ORD00018</t>
  </si>
  <si>
    <t>CUST196</t>
  </si>
  <si>
    <t>ORD00019</t>
  </si>
  <si>
    <t>CUST776</t>
  </si>
  <si>
    <t>ORD00020</t>
  </si>
  <si>
    <t>CUST822</t>
  </si>
  <si>
    <t>ORD00021</t>
  </si>
  <si>
    <t>CUST383</t>
  </si>
  <si>
    <t>Apple</t>
  </si>
  <si>
    <t>ORD00022</t>
  </si>
  <si>
    <t>CUST330</t>
  </si>
  <si>
    <t>ORD00023</t>
  </si>
  <si>
    <t>CUST478</t>
  </si>
  <si>
    <t>ORD00024</t>
  </si>
  <si>
    <t>CUST158</t>
  </si>
  <si>
    <t>ORD00025</t>
  </si>
  <si>
    <t>CUST442</t>
  </si>
  <si>
    <t>Tablet</t>
  </si>
  <si>
    <t>ORD00026</t>
  </si>
  <si>
    <t>CUST924</t>
  </si>
  <si>
    <t>ORD00027</t>
  </si>
  <si>
    <t>CUST380</t>
  </si>
  <si>
    <t>Mouse</t>
  </si>
  <si>
    <t>ORD00028</t>
  </si>
  <si>
    <t>CUST512</t>
  </si>
  <si>
    <t>ORD00029</t>
  </si>
  <si>
    <t>CUST349</t>
  </si>
  <si>
    <t>ORD00030</t>
  </si>
  <si>
    <t>CUST583</t>
  </si>
  <si>
    <t>ORD00031</t>
  </si>
  <si>
    <t>CUST279</t>
  </si>
  <si>
    <t>ORD00032</t>
  </si>
  <si>
    <t>CUST354</t>
  </si>
  <si>
    <t>Noise</t>
  </si>
  <si>
    <t>ORD00033</t>
  </si>
  <si>
    <t>CUST837</t>
  </si>
  <si>
    <t>ORD00034</t>
  </si>
  <si>
    <t>CUST450</t>
  </si>
  <si>
    <t>ORD00035</t>
  </si>
  <si>
    <t>CUST697</t>
  </si>
  <si>
    <t>ORD00036</t>
  </si>
  <si>
    <t>CUST292</t>
  </si>
  <si>
    <t>ORD00037</t>
  </si>
  <si>
    <t>CUST537</t>
  </si>
  <si>
    <t>ORD00038</t>
  </si>
  <si>
    <t>CUST800</t>
  </si>
  <si>
    <t>ORD00039</t>
  </si>
  <si>
    <t>CUST563</t>
  </si>
  <si>
    <t>ORD00040</t>
  </si>
  <si>
    <t>CUST723</t>
  </si>
  <si>
    <t>ORD00041</t>
  </si>
  <si>
    <t>CUST427</t>
  </si>
  <si>
    <t>ORD00042</t>
  </si>
  <si>
    <t>CUST496</t>
  </si>
  <si>
    <t>ORD00043</t>
  </si>
  <si>
    <t>CUST930</t>
  </si>
  <si>
    <t>ORD00044</t>
  </si>
  <si>
    <t>CUST320</t>
  </si>
  <si>
    <t>ORD00045</t>
  </si>
  <si>
    <t>CUST558</t>
  </si>
  <si>
    <t>ORD00046</t>
  </si>
  <si>
    <t>CUST991</t>
  </si>
  <si>
    <t>ORD00047</t>
  </si>
  <si>
    <t>CUST863</t>
  </si>
  <si>
    <t>ORD00048</t>
  </si>
  <si>
    <t>CUST846</t>
  </si>
  <si>
    <t>ORD00049</t>
  </si>
  <si>
    <t>CUST434</t>
  </si>
  <si>
    <t>ORD00050</t>
  </si>
  <si>
    <t>ORD00051</t>
  </si>
  <si>
    <t>CUST678</t>
  </si>
  <si>
    <t>ORD00052</t>
  </si>
  <si>
    <t>CUST809</t>
  </si>
  <si>
    <t>ORD00053</t>
  </si>
  <si>
    <t>CUST615</t>
  </si>
  <si>
    <t>ORD00054</t>
  </si>
  <si>
    <t>CUST986</t>
  </si>
  <si>
    <t>USB</t>
  </si>
  <si>
    <t>ORD00055</t>
  </si>
  <si>
    <t>CUST622</t>
  </si>
  <si>
    <t>ORD00056</t>
  </si>
  <si>
    <t>ORD00057</t>
  </si>
  <si>
    <t>CUST665</t>
  </si>
  <si>
    <t>ORD00058</t>
  </si>
  <si>
    <t>CUST777</t>
  </si>
  <si>
    <t>Adidas</t>
  </si>
  <si>
    <t>ORD00059</t>
  </si>
  <si>
    <t>CUST228</t>
  </si>
  <si>
    <t>ORD00060</t>
  </si>
  <si>
    <t>CUST993</t>
  </si>
  <si>
    <t>ORD00061</t>
  </si>
  <si>
    <t>CUST778</t>
  </si>
  <si>
    <t>ORD00062</t>
  </si>
  <si>
    <t>CUST287</t>
  </si>
  <si>
    <t>ORD00063</t>
  </si>
  <si>
    <t>CUST955</t>
  </si>
  <si>
    <t>ORD00064</t>
  </si>
  <si>
    <t>CUST551</t>
  </si>
  <si>
    <t>ORD00065</t>
  </si>
  <si>
    <t>CUST193</t>
  </si>
  <si>
    <t>ORD00066</t>
  </si>
  <si>
    <t>CUST783</t>
  </si>
  <si>
    <t>ORD00067</t>
  </si>
  <si>
    <t>CUST284</t>
  </si>
  <si>
    <t>ORD00068</t>
  </si>
  <si>
    <t>CUST714</t>
  </si>
  <si>
    <t>ORD00069</t>
  </si>
  <si>
    <t>CUST307</t>
  </si>
  <si>
    <t>ORD00070</t>
  </si>
  <si>
    <t>CUST979</t>
  </si>
  <si>
    <t>ORD00071</t>
  </si>
  <si>
    <t>CUST660</t>
  </si>
  <si>
    <t>ORD00072</t>
  </si>
  <si>
    <t>CUST948</t>
  </si>
  <si>
    <t>ORD00073</t>
  </si>
  <si>
    <t>CUST325</t>
  </si>
  <si>
    <t>ORD00074</t>
  </si>
  <si>
    <t>CUST456</t>
  </si>
  <si>
    <t>ORD00075</t>
  </si>
  <si>
    <t>CUST838</t>
  </si>
  <si>
    <t>ORD00076</t>
  </si>
  <si>
    <t>CUST806</t>
  </si>
  <si>
    <t>ORD00077</t>
  </si>
  <si>
    <t>CUST580</t>
  </si>
  <si>
    <t>ORD00078</t>
  </si>
  <si>
    <t>CUST731</t>
  </si>
  <si>
    <t>ORD00079</t>
  </si>
  <si>
    <t>CUST687</t>
  </si>
  <si>
    <t>ORD00080</t>
  </si>
  <si>
    <t>CUST231</t>
  </si>
  <si>
    <t>ORD00081</t>
  </si>
  <si>
    <t>CUST890</t>
  </si>
  <si>
    <t>ORD00082</t>
  </si>
  <si>
    <t>CUST861</t>
  </si>
  <si>
    <t>ORD00083</t>
  </si>
  <si>
    <t>CUST490</t>
  </si>
  <si>
    <t>ORD00084</t>
  </si>
  <si>
    <t>CUST335</t>
  </si>
  <si>
    <t>ORD00085</t>
  </si>
  <si>
    <t>CUST122</t>
  </si>
  <si>
    <t>ORD00086</t>
  </si>
  <si>
    <t>CUST596</t>
  </si>
  <si>
    <t>ORD00087</t>
  </si>
  <si>
    <t>CUST253</t>
  </si>
  <si>
    <t>ORD00088</t>
  </si>
  <si>
    <t>ORD00089</t>
  </si>
  <si>
    <t>CUST261</t>
  </si>
  <si>
    <t>ORD00090</t>
  </si>
  <si>
    <t>CUST992</t>
  </si>
  <si>
    <t>ORD00091</t>
  </si>
  <si>
    <t>CUST689</t>
  </si>
  <si>
    <t>ORD00092</t>
  </si>
  <si>
    <t>CUST468</t>
  </si>
  <si>
    <t>ORD00093</t>
  </si>
  <si>
    <t>CUST532</t>
  </si>
  <si>
    <t>ORD00094</t>
  </si>
  <si>
    <t>ORD00095</t>
  </si>
  <si>
    <t>CUST264</t>
  </si>
  <si>
    <t>ORD00096</t>
  </si>
  <si>
    <t>CUST664</t>
  </si>
  <si>
    <t>ORD00097</t>
  </si>
  <si>
    <t>CUST168</t>
  </si>
  <si>
    <t>ORD00098</t>
  </si>
  <si>
    <t>CUST631</t>
  </si>
  <si>
    <t>ORD00099</t>
  </si>
  <si>
    <t>CUST643</t>
  </si>
  <si>
    <t>ORD00100</t>
  </si>
  <si>
    <t>CUST540</t>
  </si>
  <si>
    <t>ORD00101</t>
  </si>
  <si>
    <t>CUST796</t>
  </si>
  <si>
    <t>ORD00102</t>
  </si>
  <si>
    <t>CUST371</t>
  </si>
  <si>
    <t>ORD00103</t>
  </si>
  <si>
    <t>CUST769</t>
  </si>
  <si>
    <t>ORD00104</t>
  </si>
  <si>
    <t>CUST785</t>
  </si>
  <si>
    <t>ORD00105</t>
  </si>
  <si>
    <t>CUST968</t>
  </si>
  <si>
    <t>ORD00106</t>
  </si>
  <si>
    <t>CUST430</t>
  </si>
  <si>
    <t>ORD00107</t>
  </si>
  <si>
    <t>CUST756</t>
  </si>
  <si>
    <t>ORD00108</t>
  </si>
  <si>
    <t>CUST755</t>
  </si>
  <si>
    <t>ORD00109</t>
  </si>
  <si>
    <t>CUST588</t>
  </si>
  <si>
    <t>ORD00110</t>
  </si>
  <si>
    <t>CUST680</t>
  </si>
  <si>
    <t>ORD00111</t>
  </si>
  <si>
    <t>CUST923</t>
  </si>
  <si>
    <t>ORD00112</t>
  </si>
  <si>
    <t>CUST454</t>
  </si>
  <si>
    <t>ORD00113</t>
  </si>
  <si>
    <t>ORD00114</t>
  </si>
  <si>
    <t>CUST299</t>
  </si>
  <si>
    <t>ORD00115</t>
  </si>
  <si>
    <t>CUST447</t>
  </si>
  <si>
    <t>ORD00116</t>
  </si>
  <si>
    <t>CUST732</t>
  </si>
  <si>
    <t>ORD00117</t>
  </si>
  <si>
    <t>CUST185</t>
  </si>
  <si>
    <t>ORD00118</t>
  </si>
  <si>
    <t>CUST728</t>
  </si>
  <si>
    <t>ORD00119</t>
  </si>
  <si>
    <t>ORD00120</t>
  </si>
  <si>
    <t>CUST201</t>
  </si>
  <si>
    <t>ORD00121</t>
  </si>
  <si>
    <t>CUST978</t>
  </si>
  <si>
    <t>ORD00122</t>
  </si>
  <si>
    <t>CUST939</t>
  </si>
  <si>
    <t>ORD00123</t>
  </si>
  <si>
    <t>CUST385</t>
  </si>
  <si>
    <t>ORD00124</t>
  </si>
  <si>
    <t>ORD00125</t>
  </si>
  <si>
    <t>CUST323</t>
  </si>
  <si>
    <t>ORD00126</t>
  </si>
  <si>
    <t>CUST813</t>
  </si>
  <si>
    <t>ORD00127</t>
  </si>
  <si>
    <t>CUST709</t>
  </si>
  <si>
    <t>ORD00128</t>
  </si>
  <si>
    <t>CUST865</t>
  </si>
  <si>
    <t>ORD00129</t>
  </si>
  <si>
    <t>CUST339</t>
  </si>
  <si>
    <t>ORD00130</t>
  </si>
  <si>
    <t>CUST389</t>
  </si>
  <si>
    <t>ORD00131</t>
  </si>
  <si>
    <t>CUST455</t>
  </si>
  <si>
    <t>ORD00132</t>
  </si>
  <si>
    <t>CUST831</t>
  </si>
  <si>
    <t>ORD00133</t>
  </si>
  <si>
    <t>CUST726</t>
  </si>
  <si>
    <t>ORD00134</t>
  </si>
  <si>
    <t>ORD00135</t>
  </si>
  <si>
    <t>CUST262</t>
  </si>
  <si>
    <t>ORD00136</t>
  </si>
  <si>
    <t>CUST905</t>
  </si>
  <si>
    <t>ORD00137</t>
  </si>
  <si>
    <t>CUST630</t>
  </si>
  <si>
    <t>ORD00138</t>
  </si>
  <si>
    <t>CUST336</t>
  </si>
  <si>
    <t>ORD00139</t>
  </si>
  <si>
    <t>ORD00140</t>
  </si>
  <si>
    <t>ORD00141</t>
  </si>
  <si>
    <t>CUST688</t>
  </si>
  <si>
    <t>ORD00142</t>
  </si>
  <si>
    <t>ORD00143</t>
  </si>
  <si>
    <t>ORD00144</t>
  </si>
  <si>
    <t>CUST345</t>
  </si>
  <si>
    <t>ORD00145</t>
  </si>
  <si>
    <t>CUST280</t>
  </si>
  <si>
    <t>ORD00146</t>
  </si>
  <si>
    <t>CUST463</t>
  </si>
  <si>
    <t>ORD00147</t>
  </si>
  <si>
    <t>CUST400</t>
  </si>
  <si>
    <t>ORD00148</t>
  </si>
  <si>
    <t>CUST204</t>
  </si>
  <si>
    <t>ORD00149</t>
  </si>
  <si>
    <t>CUST237</t>
  </si>
  <si>
    <t>ORD00150</t>
  </si>
  <si>
    <t>CUST635</t>
  </si>
  <si>
    <t>ORD00151</t>
  </si>
  <si>
    <t>CUST742</t>
  </si>
  <si>
    <t>ORD00152</t>
  </si>
  <si>
    <t>CUST493</t>
  </si>
  <si>
    <t>ORD00153</t>
  </si>
  <si>
    <t>ORD00154</t>
  </si>
  <si>
    <t>CUST437</t>
  </si>
  <si>
    <t>ORD00155</t>
  </si>
  <si>
    <t>CUST774</t>
  </si>
  <si>
    <t>ORD00156</t>
  </si>
  <si>
    <t>CUST652</t>
  </si>
  <si>
    <t>ORD00157</t>
  </si>
  <si>
    <t>CUST395</t>
  </si>
  <si>
    <t>ORD00158</t>
  </si>
  <si>
    <t>CUST116</t>
  </si>
  <si>
    <t>ORD00159</t>
  </si>
  <si>
    <t>CUST707</t>
  </si>
  <si>
    <t>ORD00160</t>
  </si>
  <si>
    <t>ORD00161</t>
  </si>
  <si>
    <t>CUST275</t>
  </si>
  <si>
    <t>ORD00162</t>
  </si>
  <si>
    <t>CUST133</t>
  </si>
  <si>
    <t>ORD00163</t>
  </si>
  <si>
    <t>ORD00164</t>
  </si>
  <si>
    <t>ORD00165</t>
  </si>
  <si>
    <t>CUST169</t>
  </si>
  <si>
    <t>ORD00166</t>
  </si>
  <si>
    <t>ORD00167</t>
  </si>
  <si>
    <t>CUST715</t>
  </si>
  <si>
    <t>ORD00168</t>
  </si>
  <si>
    <t>CUST634</t>
  </si>
  <si>
    <t>ORD00169</t>
  </si>
  <si>
    <t>CUST198</t>
  </si>
  <si>
    <t>ORD00170</t>
  </si>
  <si>
    <t>CUST119</t>
  </si>
  <si>
    <t>ORD00171</t>
  </si>
  <si>
    <t>CUST117</t>
  </si>
  <si>
    <t>ORD00172</t>
  </si>
  <si>
    <t>CUST260</t>
  </si>
  <si>
    <t>ORD00173</t>
  </si>
  <si>
    <t>ORD00174</t>
  </si>
  <si>
    <t>CUST343</t>
  </si>
  <si>
    <t>ORD00175</t>
  </si>
  <si>
    <t>CUST273</t>
  </si>
  <si>
    <t>ORD00176</t>
  </si>
  <si>
    <t>CUST899</t>
  </si>
  <si>
    <t>ORD00177</t>
  </si>
  <si>
    <t>CUST737</t>
  </si>
  <si>
    <t>ORD00178</t>
  </si>
  <si>
    <t>CUST387</t>
  </si>
  <si>
    <t>ORD00179</t>
  </si>
  <si>
    <t>CUST825</t>
  </si>
  <si>
    <t>ORD00180</t>
  </si>
  <si>
    <t>ORD00181</t>
  </si>
  <si>
    <t>ORD00182</t>
  </si>
  <si>
    <t>CUST374</t>
  </si>
  <si>
    <t>ORD00183</t>
  </si>
  <si>
    <t>CUST172</t>
  </si>
  <si>
    <t>ORD00184</t>
  </si>
  <si>
    <t>CUST922</t>
  </si>
  <si>
    <t>ORD00185</t>
  </si>
  <si>
    <t>ORD00186</t>
  </si>
  <si>
    <t>CUST130</t>
  </si>
  <si>
    <t>ORD00187</t>
  </si>
  <si>
    <t>ORD00188</t>
  </si>
  <si>
    <t>CUST542</t>
  </si>
  <si>
    <t>ORD00189</t>
  </si>
  <si>
    <t>CUST301</t>
  </si>
  <si>
    <t>ORD00190</t>
  </si>
  <si>
    <t>CUST210</t>
  </si>
  <si>
    <t>ORD00191</t>
  </si>
  <si>
    <t>CUST908</t>
  </si>
  <si>
    <t>ORD00192</t>
  </si>
  <si>
    <t>CUST584</t>
  </si>
  <si>
    <t>ORD00193</t>
  </si>
  <si>
    <t>CUST912</t>
  </si>
  <si>
    <t>ORD00194</t>
  </si>
  <si>
    <t>CUST248</t>
  </si>
  <si>
    <t>ORD00195</t>
  </si>
  <si>
    <t>CUST509</t>
  </si>
  <si>
    <t>ORD00196</t>
  </si>
  <si>
    <t>CUST642</t>
  </si>
  <si>
    <t>ORD00197</t>
  </si>
  <si>
    <t>CUST315</t>
  </si>
  <si>
    <t>ORD00198</t>
  </si>
  <si>
    <t>CUST105</t>
  </si>
  <si>
    <t>ORD00199</t>
  </si>
  <si>
    <t>ORD00200</t>
  </si>
  <si>
    <t>CUST651</t>
  </si>
  <si>
    <t>ORD00201</t>
  </si>
  <si>
    <t>ORD00202</t>
  </si>
  <si>
    <t>CUST499</t>
  </si>
  <si>
    <t>ORD00203</t>
  </si>
  <si>
    <t>CUST550</t>
  </si>
  <si>
    <t>ORD00204</t>
  </si>
  <si>
    <t>CUST480</t>
  </si>
  <si>
    <t>ORD00205</t>
  </si>
  <si>
    <t>CUST402</t>
  </si>
  <si>
    <t>ORD00206</t>
  </si>
  <si>
    <t>CUST684</t>
  </si>
  <si>
    <t>ORD00207</t>
  </si>
  <si>
    <t>CUST510</t>
  </si>
  <si>
    <t>ORD00208</t>
  </si>
  <si>
    <t>CUST801</t>
  </si>
  <si>
    <t>ORD00209</t>
  </si>
  <si>
    <t>CUST132</t>
  </si>
  <si>
    <t>ORD00210</t>
  </si>
  <si>
    <t>ORD00211</t>
  </si>
  <si>
    <t>CUST485</t>
  </si>
  <si>
    <t>ORD00212</t>
  </si>
  <si>
    <t>CUST845</t>
  </si>
  <si>
    <t>ORD00213</t>
  </si>
  <si>
    <t>CUST164</t>
  </si>
  <si>
    <t>ORD00214</t>
  </si>
  <si>
    <t>ORD00215</t>
  </si>
  <si>
    <t>CUST155</t>
  </si>
  <si>
    <t>ORD00216</t>
  </si>
  <si>
    <t>CUST786</t>
  </si>
  <si>
    <t>ORD00217</t>
  </si>
  <si>
    <t>CUST870</t>
  </si>
  <si>
    <t>ORD00218</t>
  </si>
  <si>
    <t>CUST984</t>
  </si>
  <si>
    <t>ORD00219</t>
  </si>
  <si>
    <t>CUST500</t>
  </si>
  <si>
    <t>ORD00220</t>
  </si>
  <si>
    <t>CUST188</t>
  </si>
  <si>
    <t>ORD00221</t>
  </si>
  <si>
    <t>CUST969</t>
  </si>
  <si>
    <t>ORD00222</t>
  </si>
  <si>
    <t>CUST348</t>
  </si>
  <si>
    <t>ORD00223</t>
  </si>
  <si>
    <t>CUST897</t>
  </si>
  <si>
    <t>ORD00224</t>
  </si>
  <si>
    <t>CUST382</t>
  </si>
  <si>
    <t>ORD00225</t>
  </si>
  <si>
    <t>CUST507</t>
  </si>
  <si>
    <t>ORD00226</t>
  </si>
  <si>
    <t>CUST531</t>
  </si>
  <si>
    <t>ORD00227</t>
  </si>
  <si>
    <t>CUST528</t>
  </si>
  <si>
    <t>ORD00228</t>
  </si>
  <si>
    <t>CUST799</t>
  </si>
  <si>
    <t>ORD00229</t>
  </si>
  <si>
    <t>CUST311</t>
  </si>
  <si>
    <t>ORD00230</t>
  </si>
  <si>
    <t>CUST907</t>
  </si>
  <si>
    <t>ORD00231</t>
  </si>
  <si>
    <t>CUST934</t>
  </si>
  <si>
    <t>ORD00232</t>
  </si>
  <si>
    <t>ORD00233</t>
  </si>
  <si>
    <t>CUST860</t>
  </si>
  <si>
    <t>ORD00234</t>
  </si>
  <si>
    <t>CUST265</t>
  </si>
  <si>
    <t>ORD00235</t>
  </si>
  <si>
    <t>ORD00236</t>
  </si>
  <si>
    <t>CUST313</t>
  </si>
  <si>
    <t>ORD00237</t>
  </si>
  <si>
    <t>CUST218</t>
  </si>
  <si>
    <t>ORD00238</t>
  </si>
  <si>
    <t>ORD00239</t>
  </si>
  <si>
    <t>ORD00240</t>
  </si>
  <si>
    <t>ORD00241</t>
  </si>
  <si>
    <t>CUST997</t>
  </si>
  <si>
    <t>ORD00242</t>
  </si>
  <si>
    <t>CUST611</t>
  </si>
  <si>
    <t>ORD00243</t>
  </si>
  <si>
    <t>CUST885</t>
  </si>
  <si>
    <t>ORD00244</t>
  </si>
  <si>
    <t>CUST146</t>
  </si>
  <si>
    <t>ORD00245</t>
  </si>
  <si>
    <t>ORD00246</t>
  </si>
  <si>
    <t>CUST541</t>
  </si>
  <si>
    <t>ORD00247</t>
  </si>
  <si>
    <t>CUST161</t>
  </si>
  <si>
    <t>ORD00248</t>
  </si>
  <si>
    <t>CUST982</t>
  </si>
  <si>
    <t>ORD00249</t>
  </si>
  <si>
    <t>CUST564</t>
  </si>
  <si>
    <t>ORD00250</t>
  </si>
  <si>
    <t>CUST433</t>
  </si>
  <si>
    <t>ORD00251</t>
  </si>
  <si>
    <t>CUST671</t>
  </si>
  <si>
    <t>ORD00252</t>
  </si>
  <si>
    <t>CUST768</t>
  </si>
  <si>
    <t>ORD00253</t>
  </si>
  <si>
    <t>ORD00254</t>
  </si>
  <si>
    <t>CUST629</t>
  </si>
  <si>
    <t>ORD00255</t>
  </si>
  <si>
    <t>CUST717</t>
  </si>
  <si>
    <t>ORD00256</t>
  </si>
  <si>
    <t>CUST102</t>
  </si>
  <si>
    <t>ORD00257</t>
  </si>
  <si>
    <t>CUST579</t>
  </si>
  <si>
    <t>ORD00258</t>
  </si>
  <si>
    <t>CUST505</t>
  </si>
  <si>
    <t>ORD00259</t>
  </si>
  <si>
    <t>CUST841</t>
  </si>
  <si>
    <t>ORD00260</t>
  </si>
  <si>
    <t>CUST247</t>
  </si>
  <si>
    <t>ORD00261</t>
  </si>
  <si>
    <t>CUST916</t>
  </si>
  <si>
    <t>ORD00262</t>
  </si>
  <si>
    <t>CUST137</t>
  </si>
  <si>
    <t>ORD00263</t>
  </si>
  <si>
    <t>CUST655</t>
  </si>
  <si>
    <t>ORD00264</t>
  </si>
  <si>
    <t>CUST566</t>
  </si>
  <si>
    <t>ORD00265</t>
  </si>
  <si>
    <t>ORD00266</t>
  </si>
  <si>
    <t>CUST111</t>
  </si>
  <si>
    <t>ORD00267</t>
  </si>
  <si>
    <t>CUST919</t>
  </si>
  <si>
    <t>ORD00268</t>
  </si>
  <si>
    <t>ORD00269</t>
  </si>
  <si>
    <t>CUST708</t>
  </si>
  <si>
    <t>ORD00270</t>
  </si>
  <si>
    <t>CUST178</t>
  </si>
  <si>
    <t>ORD00271</t>
  </si>
  <si>
    <t>ORD00272</t>
  </si>
  <si>
    <t>ORD00273</t>
  </si>
  <si>
    <t>CUST187</t>
  </si>
  <si>
    <t>ORD00274</t>
  </si>
  <si>
    <t>CUST626</t>
  </si>
  <si>
    <t>ORD00275</t>
  </si>
  <si>
    <t>ORD00276</t>
  </si>
  <si>
    <t>CUST981</t>
  </si>
  <si>
    <t>ORD00277</t>
  </si>
  <si>
    <t>CUST425</t>
  </si>
  <si>
    <t>ORD00278</t>
  </si>
  <si>
    <t>ORD00279</t>
  </si>
  <si>
    <t>CUST741</t>
  </si>
  <si>
    <t>ORD00280</t>
  </si>
  <si>
    <t>ORD00281</t>
  </si>
  <si>
    <t>CUST112</t>
  </si>
  <si>
    <t>ORD00282</t>
  </si>
  <si>
    <t>CUST422</t>
  </si>
  <si>
    <t>ORD00283</t>
  </si>
  <si>
    <t>ORD00284</t>
  </si>
  <si>
    <t>CUST243</t>
  </si>
  <si>
    <t>ORD00285</t>
  </si>
  <si>
    <t>ORD00286</t>
  </si>
  <si>
    <t>CUST360</t>
  </si>
  <si>
    <t>ORD00287</t>
  </si>
  <si>
    <t>CUST789</t>
  </si>
  <si>
    <t>ORD00288</t>
  </si>
  <si>
    <t>CUST460</t>
  </si>
  <si>
    <t>ORD00289</t>
  </si>
  <si>
    <t>CUST266</t>
  </si>
  <si>
    <t>ORD00290</t>
  </si>
  <si>
    <t>CUST795</t>
  </si>
  <si>
    <t>ORD00291</t>
  </si>
  <si>
    <t>CUST337</t>
  </si>
  <si>
    <t>ORD00292</t>
  </si>
  <si>
    <t>CUST874</t>
  </si>
  <si>
    <t>ORD00293</t>
  </si>
  <si>
    <t>CUST936</t>
  </si>
  <si>
    <t>ORD00294</t>
  </si>
  <si>
    <t>CUST341</t>
  </si>
  <si>
    <t>ORD00295</t>
  </si>
  <si>
    <t>CUST947</t>
  </si>
  <si>
    <t>ORD00296</t>
  </si>
  <si>
    <t>CUST793</t>
  </si>
  <si>
    <t>ORD00297</t>
  </si>
  <si>
    <t>ORD00298</t>
  </si>
  <si>
    <t>CUST308</t>
  </si>
  <si>
    <t>ORD00299</t>
  </si>
  <si>
    <t>ORD00300</t>
  </si>
  <si>
    <t>CUST637</t>
  </si>
  <si>
    <t>ORD00301</t>
  </si>
  <si>
    <t>CUST353</t>
  </si>
  <si>
    <t>ORD00302</t>
  </si>
  <si>
    <t>CUST453</t>
  </si>
  <si>
    <t>ORD00303</t>
  </si>
  <si>
    <t>ORD00304</t>
  </si>
  <si>
    <t>CUST144</t>
  </si>
  <si>
    <t>ORD00305</t>
  </si>
  <si>
    <t>CUST457</t>
  </si>
  <si>
    <t>ORD00306</t>
  </si>
  <si>
    <t>CUST753</t>
  </si>
  <si>
    <t>ORD00307</t>
  </si>
  <si>
    <t>CUST705</t>
  </si>
  <si>
    <t>ORD00308</t>
  </si>
  <si>
    <t>CUST989</t>
  </si>
  <si>
    <t>ORD00309</t>
  </si>
  <si>
    <t>CUST565</t>
  </si>
  <si>
    <t>ORD00310</t>
  </si>
  <si>
    <t>ORD00311</t>
  </si>
  <si>
    <t>ORD00312</t>
  </si>
  <si>
    <t>ORD00313</t>
  </si>
  <si>
    <t>CUST970</t>
  </si>
  <si>
    <t>ORD00314</t>
  </si>
  <si>
    <t>CUST184</t>
  </si>
  <si>
    <t>ORD00315</t>
  </si>
  <si>
    <t>CUST894</t>
  </si>
  <si>
    <t>ORD00316</t>
  </si>
  <si>
    <t>CUST663</t>
  </si>
  <si>
    <t>ORD00317</t>
  </si>
  <si>
    <t>ORD00318</t>
  </si>
  <si>
    <t>CUST358</t>
  </si>
  <si>
    <t>ORD00319</t>
  </si>
  <si>
    <t>CUST603</t>
  </si>
  <si>
    <t>ORD00320</t>
  </si>
  <si>
    <t>CUST234</t>
  </si>
  <si>
    <t>ORD00321</t>
  </si>
  <si>
    <t>CUST370</t>
  </si>
  <si>
    <t>ORD00322</t>
  </si>
  <si>
    <t>CUST720</t>
  </si>
  <si>
    <t>ORD00323</t>
  </si>
  <si>
    <t>CUST508</t>
  </si>
  <si>
    <t>ORD00324</t>
  </si>
  <si>
    <t>CUST943</t>
  </si>
  <si>
    <t>ORD00325</t>
  </si>
  <si>
    <t>ORD00326</t>
  </si>
  <si>
    <t>ORD00327</t>
  </si>
  <si>
    <t>CUST186</t>
  </si>
  <si>
    <t>ORD00328</t>
  </si>
  <si>
    <t>ORD00329</t>
  </si>
  <si>
    <t>CUST203</t>
  </si>
  <si>
    <t>ORD00330</t>
  </si>
  <si>
    <t>CUST372</t>
  </si>
  <si>
    <t>ORD00331</t>
  </si>
  <si>
    <t>CUST444</t>
  </si>
  <si>
    <t>ORD00332</t>
  </si>
  <si>
    <t>ORD00333</t>
  </si>
  <si>
    <t>CUST278</t>
  </si>
  <si>
    <t>ORD00334</t>
  </si>
  <si>
    <t>CUST520</t>
  </si>
  <si>
    <t>ORD00335</t>
  </si>
  <si>
    <t>ORD00336</t>
  </si>
  <si>
    <t>ORD00337</t>
  </si>
  <si>
    <t>CUST976</t>
  </si>
  <si>
    <t>ORD00338</t>
  </si>
  <si>
    <t>ORD00339</t>
  </si>
  <si>
    <t>CUST712</t>
  </si>
  <si>
    <t>ORD00340</t>
  </si>
  <si>
    <t>CUST421</t>
  </si>
  <si>
    <t>ORD00341</t>
  </si>
  <si>
    <t>CUST272</t>
  </si>
  <si>
    <t>ORD00342</t>
  </si>
  <si>
    <t>CUST610</t>
  </si>
  <si>
    <t>ORD00343</t>
  </si>
  <si>
    <t>ORD00344</t>
  </si>
  <si>
    <t>ORD00345</t>
  </si>
  <si>
    <t>CUST568</t>
  </si>
  <si>
    <t>ORD00346</t>
  </si>
  <si>
    <t>ORD00347</t>
  </si>
  <si>
    <t>CUST269</t>
  </si>
  <si>
    <t>ORD00348</t>
  </si>
  <si>
    <t>CUST911</t>
  </si>
  <si>
    <t>ORD00349</t>
  </si>
  <si>
    <t>ORD00350</t>
  </si>
  <si>
    <t>ORD00351</t>
  </si>
  <si>
    <t>CUST213</t>
  </si>
  <si>
    <t>ORD00352</t>
  </si>
  <si>
    <t>CUST200</t>
  </si>
  <si>
    <t>ORD00353</t>
  </si>
  <si>
    <t>ORD00354</t>
  </si>
  <si>
    <t>ORD00355</t>
  </si>
  <si>
    <t>CUST408</t>
  </si>
  <si>
    <t>ORD00356</t>
  </si>
  <si>
    <t>ORD00357</t>
  </si>
  <si>
    <t>ORD00358</t>
  </si>
  <si>
    <t>CUST792</t>
  </si>
  <si>
    <t>ORD00359</t>
  </si>
  <si>
    <t>CUST810</t>
  </si>
  <si>
    <t>ORD00360</t>
  </si>
  <si>
    <t>CUST364</t>
  </si>
  <si>
    <t>ORD00361</t>
  </si>
  <si>
    <t>CUST474</t>
  </si>
  <si>
    <t>ORD00362</t>
  </si>
  <si>
    <t>CUST932</t>
  </si>
  <si>
    <t>ORD00363</t>
  </si>
  <si>
    <t>CUST719</t>
  </si>
  <si>
    <t>ORD00364</t>
  </si>
  <si>
    <t>ORD00365</t>
  </si>
  <si>
    <t>CUST721</t>
  </si>
  <si>
    <t>ORD00366</t>
  </si>
  <si>
    <t>CUST980</t>
  </si>
  <si>
    <t>ORD00367</t>
  </si>
  <si>
    <t>CUST713</t>
  </si>
  <si>
    <t>ORD00368</t>
  </si>
  <si>
    <t>CUST227</t>
  </si>
  <si>
    <t>ORD00369</t>
  </si>
  <si>
    <t>ORD00370</t>
  </si>
  <si>
    <t>CUST356</t>
  </si>
  <si>
    <t>ORD00371</t>
  </si>
  <si>
    <t>CUST878</t>
  </si>
  <si>
    <t>ORD00372</t>
  </si>
  <si>
    <t>CUST118</t>
  </si>
  <si>
    <t>ORD00373</t>
  </si>
  <si>
    <t>ORD00374</t>
  </si>
  <si>
    <t>CUST840</t>
  </si>
  <si>
    <t>ORD00375</t>
  </si>
  <si>
    <t>CUST350</t>
  </si>
  <si>
    <t>ORD00376</t>
  </si>
  <si>
    <t>CUST824</t>
  </si>
  <si>
    <t>ORD00377</t>
  </si>
  <si>
    <t>ORD00378</t>
  </si>
  <si>
    <t>CUST423</t>
  </si>
  <si>
    <t>ORD00379</t>
  </si>
  <si>
    <t>ORD00380</t>
  </si>
  <si>
    <t>CUST362</t>
  </si>
  <si>
    <t>ORD00381</t>
  </si>
  <si>
    <t>CUST618</t>
  </si>
  <si>
    <t>ORD00382</t>
  </si>
  <si>
    <t>CUST933</t>
  </si>
  <si>
    <t>ORD00383</t>
  </si>
  <si>
    <t>ORD00384</t>
  </si>
  <si>
    <t>CUST823</t>
  </si>
  <si>
    <t>ORD00385</t>
  </si>
  <si>
    <t>CUST259</t>
  </si>
  <si>
    <t>ORD00386</t>
  </si>
  <si>
    <t>CUST289</t>
  </si>
  <si>
    <t>ORD00387</t>
  </si>
  <si>
    <t>CUST854</t>
  </si>
  <si>
    <t>ORD00388</t>
  </si>
  <si>
    <t>CUST913</t>
  </si>
  <si>
    <t>ORD00389</t>
  </si>
  <si>
    <t>CUST779</t>
  </si>
  <si>
    <t>ORD00390</t>
  </si>
  <si>
    <t>ORD00391</t>
  </si>
  <si>
    <t>ORD00392</t>
  </si>
  <si>
    <t>CUST238</t>
  </si>
  <si>
    <t>ORD00393</t>
  </si>
  <si>
    <t>CUST677</t>
  </si>
  <si>
    <t>ORD00394</t>
  </si>
  <si>
    <t>CUST686</t>
  </si>
  <si>
    <t>ORD00395</t>
  </si>
  <si>
    <t>ORD00396</t>
  </si>
  <si>
    <t>ORD00397</t>
  </si>
  <si>
    <t>CUST271</t>
  </si>
  <si>
    <t>ORD00398</t>
  </si>
  <si>
    <t>CUST254</t>
  </si>
  <si>
    <t>ORD00399</t>
  </si>
  <si>
    <t>CUST999</t>
  </si>
  <si>
    <t>ORD00400</t>
  </si>
  <si>
    <t>CUST317</t>
  </si>
  <si>
    <t>ORD00401</t>
  </si>
  <si>
    <t>CUST465</t>
  </si>
  <si>
    <t>ORD00402</t>
  </si>
  <si>
    <t>CUST747</t>
  </si>
  <si>
    <t>ORD00403</t>
  </si>
  <si>
    <t>CUST285</t>
  </si>
  <si>
    <t>ORD00404</t>
  </si>
  <si>
    <t>CUST445</t>
  </si>
  <si>
    <t>ORD00405</t>
  </si>
  <si>
    <t>CUST598</t>
  </si>
  <si>
    <t>ORD00406</t>
  </si>
  <si>
    <t>CUST304</t>
  </si>
  <si>
    <t>ORD00407</t>
  </si>
  <si>
    <t>ORD00408</t>
  </si>
  <si>
    <t>ORD00409</t>
  </si>
  <si>
    <t>CUST881</t>
  </si>
  <si>
    <t>ORD00410</t>
  </si>
  <si>
    <t>CUST394</t>
  </si>
  <si>
    <t>ORD00411</t>
  </si>
  <si>
    <t>CUST749</t>
  </si>
  <si>
    <t>ORD00412</t>
  </si>
  <si>
    <t>CUST950</t>
  </si>
  <si>
    <t>ORD00413</t>
  </si>
  <si>
    <t>ORD00414</t>
  </si>
  <si>
    <t>ORD00415</t>
  </si>
  <si>
    <t>CUST282</t>
  </si>
  <si>
    <t>ORD00416</t>
  </si>
  <si>
    <t>CUST151</t>
  </si>
  <si>
    <t>ORD00417</t>
  </si>
  <si>
    <t>ORD00418</t>
  </si>
  <si>
    <t>ORD00419</t>
  </si>
  <si>
    <t>CUST407</t>
  </si>
  <si>
    <t>ORD00420</t>
  </si>
  <si>
    <t>CUST173</t>
  </si>
  <si>
    <t>ORD00421</t>
  </si>
  <si>
    <t>CUST876</t>
  </si>
  <si>
    <t>ORD00422</t>
  </si>
  <si>
    <t>ORD00423</t>
  </si>
  <si>
    <t>CUST867</t>
  </si>
  <si>
    <t>ORD00424</t>
  </si>
  <si>
    <t>CUST212</t>
  </si>
  <si>
    <t>ORD00425</t>
  </si>
  <si>
    <t>CUST649</t>
  </si>
  <si>
    <t>ORD00426</t>
  </si>
  <si>
    <t>ORD00427</t>
  </si>
  <si>
    <t>CUST108</t>
  </si>
  <si>
    <t>ORD00428</t>
  </si>
  <si>
    <t>CUST739</t>
  </si>
  <si>
    <t>ORD00429</t>
  </si>
  <si>
    <t>ORD00430</t>
  </si>
  <si>
    <t>CUST191</t>
  </si>
  <si>
    <t>ORD00431</t>
  </si>
  <si>
    <t>CUST850</t>
  </si>
  <si>
    <t>ORD00432</t>
  </si>
  <si>
    <t>CUST746</t>
  </si>
  <si>
    <t>ORD00433</t>
  </si>
  <si>
    <t>ORD00434</t>
  </si>
  <si>
    <t>CUST277</t>
  </si>
  <si>
    <t>ORD00435</t>
  </si>
  <si>
    <t>CUST851</t>
  </si>
  <si>
    <t>ORD00436</t>
  </si>
  <si>
    <t>CUST914</t>
  </si>
  <si>
    <t>ORD00437</t>
  </si>
  <si>
    <t>CUST567</t>
  </si>
  <si>
    <t>ORD00438</t>
  </si>
  <si>
    <t>ORD00439</t>
  </si>
  <si>
    <t>CUST645</t>
  </si>
  <si>
    <t>ORD00440</t>
  </si>
  <si>
    <t>CUST690</t>
  </si>
  <si>
    <t>ORD00441</t>
  </si>
  <si>
    <t>CUST578</t>
  </si>
  <si>
    <t>ORD00442</t>
  </si>
  <si>
    <t>ORD00443</t>
  </si>
  <si>
    <t>CUST109</t>
  </si>
  <si>
    <t>ORD00444</t>
  </si>
  <si>
    <t>CUST435</t>
  </si>
  <si>
    <t>ORD00445</t>
  </si>
  <si>
    <t>CUST772</t>
  </si>
  <si>
    <t>ORD00446</t>
  </si>
  <si>
    <t>ORD00447</t>
  </si>
  <si>
    <t>ORD00448</t>
  </si>
  <si>
    <t>CUST207</t>
  </si>
  <si>
    <t>ORD00449</t>
  </si>
  <si>
    <t>ORD00450</t>
  </si>
  <si>
    <t>CUST764</t>
  </si>
  <si>
    <t>ORD00451</t>
  </si>
  <si>
    <t>CUST804</t>
  </si>
  <si>
    <t>ORD00452</t>
  </si>
  <si>
    <t>CUST633</t>
  </si>
  <si>
    <t>ORD00453</t>
  </si>
  <si>
    <t>ORD00454</t>
  </si>
  <si>
    <t>CUST448</t>
  </si>
  <si>
    <t>ORD00455</t>
  </si>
  <si>
    <t>CUST889</t>
  </si>
  <si>
    <t>ORD00456</t>
  </si>
  <si>
    <t>ORD00457</t>
  </si>
  <si>
    <t>CUST174</t>
  </si>
  <si>
    <t>ORD00458</t>
  </si>
  <si>
    <t>CUST208</t>
  </si>
  <si>
    <t>ORD00459</t>
  </si>
  <si>
    <t>CUST503</t>
  </si>
  <si>
    <t>ORD00460</t>
  </si>
  <si>
    <t>CUST569</t>
  </si>
  <si>
    <t>ORD00461</t>
  </si>
  <si>
    <t>CUST359</t>
  </si>
  <si>
    <t>ORD00462</t>
  </si>
  <si>
    <t>CUST698</t>
  </si>
  <si>
    <t>ORD00463</t>
  </si>
  <si>
    <t>CUST957</t>
  </si>
  <si>
    <t>ORD00464</t>
  </si>
  <si>
    <t>ORD00465</t>
  </si>
  <si>
    <t>ORD00466</t>
  </si>
  <si>
    <t>CUST391</t>
  </si>
  <si>
    <t>ORD00467</t>
  </si>
  <si>
    <t>ORD00468</t>
  </si>
  <si>
    <t>CUST150</t>
  </si>
  <si>
    <t>ORD00469</t>
  </si>
  <si>
    <t>ORD00470</t>
  </si>
  <si>
    <t>ORD00471</t>
  </si>
  <si>
    <t>ORD00472</t>
  </si>
  <si>
    <t>ORD00473</t>
  </si>
  <si>
    <t>CUST586</t>
  </si>
  <si>
    <t>ORD00474</t>
  </si>
  <si>
    <t>CUST156</t>
  </si>
  <si>
    <t>ORD00475</t>
  </si>
  <si>
    <t>CUST781</t>
  </si>
  <si>
    <t>ORD00476</t>
  </si>
  <si>
    <t>CUST381</t>
  </si>
  <si>
    <t>ORD00477</t>
  </si>
  <si>
    <t>CUST124</t>
  </si>
  <si>
    <t>ORD00478</t>
  </si>
  <si>
    <t>CUST363</t>
  </si>
  <si>
    <t>ORD00479</t>
  </si>
  <si>
    <t>ORD00480</t>
  </si>
  <si>
    <t>ORD00481</t>
  </si>
  <si>
    <t>CUST614</t>
  </si>
  <si>
    <t>ORD00482</t>
  </si>
  <si>
    <t>CUST239</t>
  </si>
  <si>
    <t>ORD00483</t>
  </si>
  <si>
    <t>CUST477</t>
  </si>
  <si>
    <t>ORD00484</t>
  </si>
  <si>
    <t>CUST128</t>
  </si>
  <si>
    <t>ORD00485</t>
  </si>
  <si>
    <t>CUST113</t>
  </si>
  <si>
    <t>ORD00486</t>
  </si>
  <si>
    <t>ORD00487</t>
  </si>
  <si>
    <t>ORD00488</t>
  </si>
  <si>
    <t>CUST494</t>
  </si>
  <si>
    <t>ORD00489</t>
  </si>
  <si>
    <t>CUST202</t>
  </si>
  <si>
    <t>ORD00490</t>
  </si>
  <si>
    <t>ORD00491</t>
  </si>
  <si>
    <t>CUST636</t>
  </si>
  <si>
    <t>ORD00492</t>
  </si>
  <si>
    <t>ORD00493</t>
  </si>
  <si>
    <t>ORD00494</t>
  </si>
  <si>
    <t>ORD00495</t>
  </si>
  <si>
    <t>ORD00496</t>
  </si>
  <si>
    <t>CUST302</t>
  </si>
  <si>
    <t>ORD00497</t>
  </si>
  <si>
    <t>CUST549</t>
  </si>
  <si>
    <t>ORD00498</t>
  </si>
  <si>
    <t>CUST384</t>
  </si>
  <si>
    <t>ORD00499</t>
  </si>
  <si>
    <t>CUST559</t>
  </si>
  <si>
    <t>ORD00500</t>
  </si>
  <si>
    <t>ORD00501</t>
  </si>
  <si>
    <t>CUST497</t>
  </si>
  <si>
    <t>ORD00502</t>
  </si>
  <si>
    <t>ORD00503</t>
  </si>
  <si>
    <t>CUST157</t>
  </si>
  <si>
    <t>ORD00504</t>
  </si>
  <si>
    <t>CUST469</t>
  </si>
  <si>
    <t>ORD00505</t>
  </si>
  <si>
    <t>ORD00506</t>
  </si>
  <si>
    <t>ORD00507</t>
  </si>
  <si>
    <t>CUST523</t>
  </si>
  <si>
    <t>ORD00508</t>
  </si>
  <si>
    <t>ORD00509</t>
  </si>
  <si>
    <t>CUST258</t>
  </si>
  <si>
    <t>ORD00510</t>
  </si>
  <si>
    <t>ORD00511</t>
  </si>
  <si>
    <t>CUST140</t>
  </si>
  <si>
    <t>ORD00512</t>
  </si>
  <si>
    <t>CUST676</t>
  </si>
  <si>
    <t>ORD00513</t>
  </si>
  <si>
    <t>CUST214</t>
  </si>
  <si>
    <t>ORD00514</t>
  </si>
  <si>
    <t>CUST420</t>
  </si>
  <si>
    <t>ORD00515</t>
  </si>
  <si>
    <t>CUST167</t>
  </si>
  <si>
    <t>ORD00516</t>
  </si>
  <si>
    <t>CUST735</t>
  </si>
  <si>
    <t>ORD00517</t>
  </si>
  <si>
    <t>CUST722</t>
  </si>
  <si>
    <t>ORD00518</t>
  </si>
  <si>
    <t>CUST326</t>
  </si>
  <si>
    <t>ORD00519</t>
  </si>
  <si>
    <t>ORD00520</t>
  </si>
  <si>
    <t>ORD00521</t>
  </si>
  <si>
    <t>ORD00522</t>
  </si>
  <si>
    <t>ORD00523</t>
  </si>
  <si>
    <t>CUST464</t>
  </si>
  <si>
    <t>ORD00524</t>
  </si>
  <si>
    <t>CUST436</t>
  </si>
  <si>
    <t>ORD00525</t>
  </si>
  <si>
    <t>ORD00526</t>
  </si>
  <si>
    <t>CUST440</t>
  </si>
  <si>
    <t>ORD00527</t>
  </si>
  <si>
    <t>CUST543</t>
  </si>
  <si>
    <t>ORD00528</t>
  </si>
  <si>
    <t>ORD00529</t>
  </si>
  <si>
    <t>ORD00530</t>
  </si>
  <si>
    <t>CUST276</t>
  </si>
  <si>
    <t>ORD00531</t>
  </si>
  <si>
    <t>CUST597</t>
  </si>
  <si>
    <t>ORD00532</t>
  </si>
  <si>
    <t>ORD00533</t>
  </si>
  <si>
    <t>ORD00534</t>
  </si>
  <si>
    <t>CUST694</t>
  </si>
  <si>
    <t>ORD00535</t>
  </si>
  <si>
    <t>CUST607</t>
  </si>
  <si>
    <t>ORD00536</t>
  </si>
  <si>
    <t>ORD00537</t>
  </si>
  <si>
    <t>CUST871</t>
  </si>
  <si>
    <t>ORD00538</t>
  </si>
  <si>
    <t>CUST927</t>
  </si>
  <si>
    <t>ORD00539</t>
  </si>
  <si>
    <t>ORD00540</t>
  </si>
  <si>
    <t>ORD00541</t>
  </si>
  <si>
    <t>CUST504</t>
  </si>
  <si>
    <t>ORD00542</t>
  </si>
  <si>
    <t>ORD00543</t>
  </si>
  <si>
    <t>CUST784</t>
  </si>
  <si>
    <t>ORD00544</t>
  </si>
  <si>
    <t>CUST625</t>
  </si>
  <si>
    <t>ORD00545</t>
  </si>
  <si>
    <t>ORD00546</t>
  </si>
  <si>
    <t>ORD00547</t>
  </si>
  <si>
    <t>ORD00548</t>
  </si>
  <si>
    <t>CUST159</t>
  </si>
  <si>
    <t>ORD00549</t>
  </si>
  <si>
    <t>CUST754</t>
  </si>
  <si>
    <t>ORD00550</t>
  </si>
  <si>
    <t>ORD00551</t>
  </si>
  <si>
    <t>CUST399</t>
  </si>
  <si>
    <t>ORD00552</t>
  </si>
  <si>
    <t>CUST233</t>
  </si>
  <si>
    <t>ORD00553</t>
  </si>
  <si>
    <t>ORD00554</t>
  </si>
  <si>
    <t>CUST624</t>
  </si>
  <si>
    <t>ORD00555</t>
  </si>
  <si>
    <t>CUST410</t>
  </si>
  <si>
    <t>ORD00556</t>
  </si>
  <si>
    <t>CUST994</t>
  </si>
  <si>
    <t>ORD00557</t>
  </si>
  <si>
    <t>CUST131</t>
  </si>
  <si>
    <t>ORD00558</t>
  </si>
  <si>
    <t>ORD00559</t>
  </si>
  <si>
    <t>ORD00560</t>
  </si>
  <si>
    <t>ORD00561</t>
  </si>
  <si>
    <t>CUST242</t>
  </si>
  <si>
    <t>ORD00562</t>
  </si>
  <si>
    <t>ORD00563</t>
  </si>
  <si>
    <t>CUST246</t>
  </si>
  <si>
    <t>ORD00564</t>
  </si>
  <si>
    <t>CUST316</t>
  </si>
  <si>
    <t>ORD00565</t>
  </si>
  <si>
    <t>ORD00566</t>
  </si>
  <si>
    <t>ORD00567</t>
  </si>
  <si>
    <t>CUST990</t>
  </si>
  <si>
    <t>ORD00568</t>
  </si>
  <si>
    <t>CUST662</t>
  </si>
  <si>
    <t>ORD00569</t>
  </si>
  <si>
    <t>CUST179</t>
  </si>
  <si>
    <t>ORD00570</t>
  </si>
  <si>
    <t>ORD00571</t>
  </si>
  <si>
    <t>ORD00572</t>
  </si>
  <si>
    <t>ORD00573</t>
  </si>
  <si>
    <t>ORD00574</t>
  </si>
  <si>
    <t>ORD00575</t>
  </si>
  <si>
    <t>ORD00576</t>
  </si>
  <si>
    <t>ORD00577</t>
  </si>
  <si>
    <t>ORD00578</t>
  </si>
  <si>
    <t>CUST858</t>
  </si>
  <si>
    <t>ORD00579</t>
  </si>
  <si>
    <t>ORD00580</t>
  </si>
  <si>
    <t>CUST839</t>
  </si>
  <si>
    <t>ORD00581</t>
  </si>
  <si>
    <t>CUST585</t>
  </si>
  <si>
    <t>ORD00582</t>
  </si>
  <si>
    <t>CUST817</t>
  </si>
  <si>
    <t>ORD00583</t>
  </si>
  <si>
    <t>ORD00584</t>
  </si>
  <si>
    <t>ORD00585</t>
  </si>
  <si>
    <t>ORD00586</t>
  </si>
  <si>
    <t>ORD00587</t>
  </si>
  <si>
    <t>CUST910</t>
  </si>
  <si>
    <t>ORD00588</t>
  </si>
  <si>
    <t>ORD00589</t>
  </si>
  <si>
    <t>CUST536</t>
  </si>
  <si>
    <t>ORD00590</t>
  </si>
  <si>
    <t>ORD00591</t>
  </si>
  <si>
    <t>ORD00592</t>
  </si>
  <si>
    <t>CUST759</t>
  </si>
  <si>
    <t>ORD00593</t>
  </si>
  <si>
    <t>ORD00594</t>
  </si>
  <si>
    <t>ORD00595</t>
  </si>
  <si>
    <t>ORD00596</t>
  </si>
  <si>
    <t>CUST638</t>
  </si>
  <si>
    <t>ORD00597</t>
  </si>
  <si>
    <t>CUST376</t>
  </si>
  <si>
    <t>ORD00598</t>
  </si>
  <si>
    <t>ORD00599</t>
  </si>
  <si>
    <t>CUST439</t>
  </si>
  <si>
    <t>ORD00600</t>
  </si>
  <si>
    <t>CUST431</t>
  </si>
  <si>
    <t>ORD00601</t>
  </si>
  <si>
    <t>CUST143</t>
  </si>
  <si>
    <t>ORD00602</t>
  </si>
  <si>
    <t>ORD00603</t>
  </si>
  <si>
    <t>CUST767</t>
  </si>
  <si>
    <t>ORD00604</t>
  </si>
  <si>
    <t>ORD00605</t>
  </si>
  <si>
    <t>CUST351</t>
  </si>
  <si>
    <t>ORD00606</t>
  </si>
  <si>
    <t>CUST699</t>
  </si>
  <si>
    <t>ORD00607</t>
  </si>
  <si>
    <t>ORD00608</t>
  </si>
  <si>
    <t>ORD00609</t>
  </si>
  <si>
    <t>ORD00610</t>
  </si>
  <si>
    <t>ORD00611</t>
  </si>
  <si>
    <t>ORD00612</t>
  </si>
  <si>
    <t>CUST760</t>
  </si>
  <si>
    <t>ORD00613</t>
  </si>
  <si>
    <t>CUST673</t>
  </si>
  <si>
    <t>ORD00614</t>
  </si>
  <si>
    <t>ORD00615</t>
  </si>
  <si>
    <t>ORD00616</t>
  </si>
  <si>
    <t>CUST751</t>
  </si>
  <si>
    <t>ORD00617</t>
  </si>
  <si>
    <t>ORD00618</t>
  </si>
  <si>
    <t>CUST120</t>
  </si>
  <si>
    <t>ORD00619</t>
  </si>
  <si>
    <t>ORD00620</t>
  </si>
  <si>
    <t>ORD00621</t>
  </si>
  <si>
    <t>CUST808</t>
  </si>
  <si>
    <t>ORD00622</t>
  </si>
  <si>
    <t>ORD00623</t>
  </si>
  <si>
    <t>CUST972</t>
  </si>
  <si>
    <t>ORD00624</t>
  </si>
  <si>
    <t>CUST314</t>
  </si>
  <si>
    <t>ORD00625</t>
  </si>
  <si>
    <t>ORD00626</t>
  </si>
  <si>
    <t>CUST682</t>
  </si>
  <si>
    <t>ORD00627</t>
  </si>
  <si>
    <t>CUST901</t>
  </si>
  <si>
    <t>ORD00628</t>
  </si>
  <si>
    <t>CUST367</t>
  </si>
  <si>
    <t>ORD00629</t>
  </si>
  <si>
    <t>CUST491</t>
  </si>
  <si>
    <t>ORD00630</t>
  </si>
  <si>
    <t>CUST815</t>
  </si>
  <si>
    <t>ORD00631</t>
  </si>
  <si>
    <t>ORD00632</t>
  </si>
  <si>
    <t>CUST617</t>
  </si>
  <si>
    <t>ORD00633</t>
  </si>
  <si>
    <t>CUST306</t>
  </si>
  <si>
    <t>ORD00634</t>
  </si>
  <si>
    <t>ORD00635</t>
  </si>
  <si>
    <t>CUST946</t>
  </si>
  <si>
    <t>ORD00636</t>
  </si>
  <si>
    <t>CUST310</t>
  </si>
  <si>
    <t>ORD00637</t>
  </si>
  <si>
    <t>CUST101</t>
  </si>
  <si>
    <t>ORD00638</t>
  </si>
  <si>
    <t>CUST483</t>
  </si>
  <si>
    <t>ORD00639</t>
  </si>
  <si>
    <t>CUST612</t>
  </si>
  <si>
    <t>ORD00640</t>
  </si>
  <si>
    <t>ORD00641</t>
  </si>
  <si>
    <t>CUST944</t>
  </si>
  <si>
    <t>ORD00642</t>
  </si>
  <si>
    <t>ORD00643</t>
  </si>
  <si>
    <t>ORD00644</t>
  </si>
  <si>
    <t>CUST461</t>
  </si>
  <si>
    <t>ORD00645</t>
  </si>
  <si>
    <t>CUST121</t>
  </si>
  <si>
    <t>ORD00646</t>
  </si>
  <si>
    <t>ORD00647</t>
  </si>
  <si>
    <t>ORD00648</t>
  </si>
  <si>
    <t>ORD00649</t>
  </si>
  <si>
    <t>ORD00650</t>
  </si>
  <si>
    <t>ORD00651</t>
  </si>
  <si>
    <t>CUST659</t>
  </si>
  <si>
    <t>ORD00652</t>
  </si>
  <si>
    <t>ORD00653</t>
  </si>
  <si>
    <t>ORD00654</t>
  </si>
  <si>
    <t>ORD00655</t>
  </si>
  <si>
    <t>ORD00656</t>
  </si>
  <si>
    <t>ORD00657</t>
  </si>
  <si>
    <t>CUST328</t>
  </si>
  <si>
    <t>ORD00658</t>
  </si>
  <si>
    <t>CUST412</t>
  </si>
  <si>
    <t>ORD00659</t>
  </si>
  <si>
    <t>ORD00660</t>
  </si>
  <si>
    <t>ORD00661</t>
  </si>
  <si>
    <t>ORD00662</t>
  </si>
  <si>
    <t>ORD00663</t>
  </si>
  <si>
    <t>CUST604</t>
  </si>
  <si>
    <t>ORD00664</t>
  </si>
  <si>
    <t>CUST334</t>
  </si>
  <si>
    <t>ORD00665</t>
  </si>
  <si>
    <t>CUST718</t>
  </si>
  <si>
    <t>ORD00666</t>
  </si>
  <si>
    <t>ORD00667</t>
  </si>
  <si>
    <t>CUST424</t>
  </si>
  <si>
    <t>ORD00668</t>
  </si>
  <si>
    <t>CUST826</t>
  </si>
  <si>
    <t>ORD00669</t>
  </si>
  <si>
    <t>ORD00670</t>
  </si>
  <si>
    <t>CUST802</t>
  </si>
  <si>
    <t>ORD00671</t>
  </si>
  <si>
    <t>ORD00672</t>
  </si>
  <si>
    <t>CUST650</t>
  </si>
  <si>
    <t>ORD00673</t>
  </si>
  <si>
    <t>CUST513</t>
  </si>
  <si>
    <t>ORD00674</t>
  </si>
  <si>
    <t>ORD00675</t>
  </si>
  <si>
    <t>ORD00676</t>
  </si>
  <si>
    <t>CUST296</t>
  </si>
  <si>
    <t>ORD00677</t>
  </si>
  <si>
    <t>CUST344</t>
  </si>
  <si>
    <t>ORD00678</t>
  </si>
  <si>
    <t>ORD00679</t>
  </si>
  <si>
    <t>CUST683</t>
  </si>
  <si>
    <t>ORD00680</t>
  </si>
  <si>
    <t>ORD00681</t>
  </si>
  <si>
    <t>ORD00682</t>
  </si>
  <si>
    <t>ORD00683</t>
  </si>
  <si>
    <t>CUST996</t>
  </si>
  <si>
    <t>ORD00684</t>
  </si>
  <si>
    <t>CUST667</t>
  </si>
  <si>
    <t>ORD00685</t>
  </si>
  <si>
    <t>CUST835</t>
  </si>
  <si>
    <t>ORD00686</t>
  </si>
  <si>
    <t>ORD00687</t>
  </si>
  <si>
    <t>ORD00688</t>
  </si>
  <si>
    <t>ORD00689</t>
  </si>
  <si>
    <t>CUST700</t>
  </si>
  <si>
    <t>ORD00690</t>
  </si>
  <si>
    <t>ORD00691</t>
  </si>
  <si>
    <t>CUST195</t>
  </si>
  <si>
    <t>ORD00692</t>
  </si>
  <si>
    <t>CUST176</t>
  </si>
  <si>
    <t>ORD00693</t>
  </si>
  <si>
    <t>CUST511</t>
  </si>
  <si>
    <t>ORD00694</t>
  </si>
  <si>
    <t>CUST471</t>
  </si>
  <si>
    <t>ORD00695</t>
  </si>
  <si>
    <t>CUST451</t>
  </si>
  <si>
    <t>ORD00696</t>
  </si>
  <si>
    <t>ORD00697</t>
  </si>
  <si>
    <t>CUST104</t>
  </si>
  <si>
    <t>ORD00698</t>
  </si>
  <si>
    <t>ORD00699</t>
  </si>
  <si>
    <t>CUST149</t>
  </si>
  <si>
    <t>ORD00700</t>
  </si>
  <si>
    <t>ORD00701</t>
  </si>
  <si>
    <t>CUST724</t>
  </si>
  <si>
    <t>ORD00702</t>
  </si>
  <si>
    <t>CUST758</t>
  </si>
  <si>
    <t>ORD00703</t>
  </si>
  <si>
    <t>CUST573</t>
  </si>
  <si>
    <t>ORD00704</t>
  </si>
  <si>
    <t>ORD00705</t>
  </si>
  <si>
    <t>CUST915</t>
  </si>
  <si>
    <t>ORD00706</t>
  </si>
  <si>
    <t>CUST482</t>
  </si>
  <si>
    <t>ORD00707</t>
  </si>
  <si>
    <t>CUST346</t>
  </si>
  <si>
    <t>ORD00708</t>
  </si>
  <si>
    <t>ORD00709</t>
  </si>
  <si>
    <t>ORD00710</t>
  </si>
  <si>
    <t>ORD00711</t>
  </si>
  <si>
    <t>ORD00712</t>
  </si>
  <si>
    <t>ORD00713</t>
  </si>
  <si>
    <t>ORD00714</t>
  </si>
  <si>
    <t>CUST834</t>
  </si>
  <si>
    <t>ORD00715</t>
  </si>
  <si>
    <t>ORD00716</t>
  </si>
  <si>
    <t>CUST170</t>
  </si>
  <si>
    <t>ORD00717</t>
  </si>
  <si>
    <t>CUST898</t>
  </si>
  <si>
    <t>ORD00718</t>
  </si>
  <si>
    <t>ORD00719</t>
  </si>
  <si>
    <t>CUST189</t>
  </si>
  <si>
    <t>ORD00720</t>
  </si>
  <si>
    <t>ORD00721</t>
  </si>
  <si>
    <t>ORD00722</t>
  </si>
  <si>
    <t>CUST711</t>
  </si>
  <si>
    <t>ORD00723</t>
  </si>
  <si>
    <t>ORD00724</t>
  </si>
  <si>
    <t>ORD00725</t>
  </si>
  <si>
    <t>CUST628</t>
  </si>
  <si>
    <t>ORD00726</t>
  </si>
  <si>
    <t>ORD00727</t>
  </si>
  <si>
    <t>ORD00728</t>
  </si>
  <si>
    <t>ORD00729</t>
  </si>
  <si>
    <t>CUST403</t>
  </si>
  <si>
    <t>ORD00730</t>
  </si>
  <si>
    <t>CUST369</t>
  </si>
  <si>
    <t>ORD00731</t>
  </si>
  <si>
    <t>ORD00732</t>
  </si>
  <si>
    <t>ORD00733</t>
  </si>
  <si>
    <t>CUST192</t>
  </si>
  <si>
    <t>ORD00734</t>
  </si>
  <si>
    <t>ORD00735</t>
  </si>
  <si>
    <t>CUST693</t>
  </si>
  <si>
    <t>ORD00736</t>
  </si>
  <si>
    <t>ORD00737</t>
  </si>
  <si>
    <t>ORD00738</t>
  </si>
  <si>
    <t>ORD00739</t>
  </si>
  <si>
    <t>CUST426</t>
  </si>
  <si>
    <t>ORD00740</t>
  </si>
  <si>
    <t>ORD00741</t>
  </si>
  <si>
    <t>ORD00742</t>
  </si>
  <si>
    <t>ORD00743</t>
  </si>
  <si>
    <t>ORD00744</t>
  </si>
  <si>
    <t>ORD00745</t>
  </si>
  <si>
    <t>CUST327</t>
  </si>
  <si>
    <t>ORD00746</t>
  </si>
  <si>
    <t>CUST679</t>
  </si>
  <si>
    <t>ORD00747</t>
  </si>
  <si>
    <t>ORD00748</t>
  </si>
  <si>
    <t>ORD00749</t>
  </si>
  <si>
    <t>ORD00750</t>
  </si>
  <si>
    <t>ORD00751</t>
  </si>
  <si>
    <t>CUST875</t>
  </si>
  <si>
    <t>ORD00752</t>
  </si>
  <si>
    <t>ORD00753</t>
  </si>
  <si>
    <t>ORD00754</t>
  </si>
  <si>
    <t>ORD00755</t>
  </si>
  <si>
    <t>CUST701</t>
  </si>
  <si>
    <t>ORD00756</t>
  </si>
  <si>
    <t>ORD00757</t>
  </si>
  <si>
    <t>ORD00758</t>
  </si>
  <si>
    <t>ORD00759</t>
  </si>
  <si>
    <t>CUST518</t>
  </si>
  <si>
    <t>ORD00760</t>
  </si>
  <si>
    <t>ORD00761</t>
  </si>
  <si>
    <t>ORD00762</t>
  </si>
  <si>
    <t>ORD00763</t>
  </si>
  <si>
    <t>CUST836</t>
  </si>
  <si>
    <t>ORD00764</t>
  </si>
  <si>
    <t>ORD00765</t>
  </si>
  <si>
    <t>CUST438</t>
  </si>
  <si>
    <t>ORD00766</t>
  </si>
  <si>
    <t>ORD00767</t>
  </si>
  <si>
    <t>ORD00768</t>
  </si>
  <si>
    <t>ORD00769</t>
  </si>
  <si>
    <t>CUST849</t>
  </si>
  <si>
    <t>ORD00770</t>
  </si>
  <si>
    <t>ORD00771</t>
  </si>
  <si>
    <t>ORD00772</t>
  </si>
  <si>
    <t>CUST492</t>
  </si>
  <si>
    <t>ORD00773</t>
  </si>
  <si>
    <t>ORD00774</t>
  </si>
  <si>
    <t>ORD00775</t>
  </si>
  <si>
    <t>ORD00776</t>
  </si>
  <si>
    <t>ORD00777</t>
  </si>
  <si>
    <t>ORD00778</t>
  </si>
  <si>
    <t>ORD00779</t>
  </si>
  <si>
    <t>ORD00780</t>
  </si>
  <si>
    <t>CUST357</t>
  </si>
  <si>
    <t>ORD00781</t>
  </si>
  <si>
    <t>ORD00782</t>
  </si>
  <si>
    <t>CUST249</t>
  </si>
  <si>
    <t>ORD00783</t>
  </si>
  <si>
    <t>CUST417</t>
  </si>
  <si>
    <t>ORD00784</t>
  </si>
  <si>
    <t>ORD00785</t>
  </si>
  <si>
    <t>ORD00786</t>
  </si>
  <si>
    <t>ORD00787</t>
  </si>
  <si>
    <t>CUST942</t>
  </si>
  <si>
    <t>ORD00788</t>
  </si>
  <si>
    <t>CUST538</t>
  </si>
  <si>
    <t>ORD00789</t>
  </si>
  <si>
    <t>CUST882</t>
  </si>
  <si>
    <t>ORD00790</t>
  </si>
  <si>
    <t>ORD00791</t>
  </si>
  <si>
    <t>CUST545</t>
  </si>
  <si>
    <t>ORD00792</t>
  </si>
  <si>
    <t>ORD00793</t>
  </si>
  <si>
    <t>CUST641</t>
  </si>
  <si>
    <t>ORD00794</t>
  </si>
  <si>
    <t>ORD00795</t>
  </si>
  <si>
    <t>ORD00796</t>
  </si>
  <si>
    <t>CUST414</t>
  </si>
  <si>
    <t>ORD00797</t>
  </si>
  <si>
    <t>CUST487</t>
  </si>
  <si>
    <t>ORD00798</t>
  </si>
  <si>
    <t>ORD00799</t>
  </si>
  <si>
    <t>CUST552</t>
  </si>
  <si>
    <t>ORD00800</t>
  </si>
  <si>
    <t>ORD00801</t>
  </si>
  <si>
    <t>ORD00802</t>
  </si>
  <si>
    <t>ORD00803</t>
  </si>
  <si>
    <t>CUST818</t>
  </si>
  <si>
    <t>ORD00804</t>
  </si>
  <si>
    <t>ORD00805</t>
  </si>
  <si>
    <t>ORD00806</t>
  </si>
  <si>
    <t>ORD00807</t>
  </si>
  <si>
    <t>CUST827</t>
  </si>
  <si>
    <t>ORD00808</t>
  </si>
  <si>
    <t>CUST654</t>
  </si>
  <si>
    <t>ORD00809</t>
  </si>
  <si>
    <t>ORD00810</t>
  </si>
  <si>
    <t>CUST917</t>
  </si>
  <si>
    <t>ORD00811</t>
  </si>
  <si>
    <t>CUST745</t>
  </si>
  <si>
    <t>ORD00812</t>
  </si>
  <si>
    <t>ORD00813</t>
  </si>
  <si>
    <t>CUST765</t>
  </si>
  <si>
    <t>ORD00814</t>
  </si>
  <si>
    <t>ORD00815</t>
  </si>
  <si>
    <t>ORD00816</t>
  </si>
  <si>
    <t>ORD00817</t>
  </si>
  <si>
    <t>ORD00818</t>
  </si>
  <si>
    <t>CUST514</t>
  </si>
  <si>
    <t>ORD00819</t>
  </si>
  <si>
    <t>ORD00820</t>
  </si>
  <si>
    <t>ORD00821</t>
  </si>
  <si>
    <t>CUST190</t>
  </si>
  <si>
    <t>ORD00822</t>
  </si>
  <si>
    <t>ORD00823</t>
  </si>
  <si>
    <t>ORD00824</t>
  </si>
  <si>
    <t>ORD00825</t>
  </si>
  <si>
    <t>CUST869</t>
  </si>
  <si>
    <t>ORD00826</t>
  </si>
  <si>
    <t>CUST730</t>
  </si>
  <si>
    <t>ORD00827</t>
  </si>
  <si>
    <t>ORD00828</t>
  </si>
  <si>
    <t>ORD00829</t>
  </si>
  <si>
    <t>CUST773</t>
  </si>
  <si>
    <t>ORD00830</t>
  </si>
  <si>
    <t>ORD00831</t>
  </si>
  <si>
    <t>ORD00832</t>
  </si>
  <si>
    <t>ORD00833</t>
  </si>
  <si>
    <t>ORD00834</t>
  </si>
  <si>
    <t>ORD00835</t>
  </si>
  <si>
    <t>CUST594</t>
  </si>
  <si>
    <t>ORD00836</t>
  </si>
  <si>
    <t>CUST305</t>
  </si>
  <si>
    <t>ORD00837</t>
  </si>
  <si>
    <t>ORD00838</t>
  </si>
  <si>
    <t>ORD00839</t>
  </si>
  <si>
    <t>ORD00840</t>
  </si>
  <si>
    <t>ORD00841</t>
  </si>
  <si>
    <t>CUST397</t>
  </si>
  <si>
    <t>ORD00842</t>
  </si>
  <si>
    <t>CUST288</t>
  </si>
  <si>
    <t>ORD00843</t>
  </si>
  <si>
    <t>ORD00844</t>
  </si>
  <si>
    <t>ORD00845</t>
  </si>
  <si>
    <t>CUST162</t>
  </si>
  <si>
    <t>ORD00846</t>
  </si>
  <si>
    <t>CUST459</t>
  </si>
  <si>
    <t>ORD00847</t>
  </si>
  <si>
    <t>ORD00848</t>
  </si>
  <si>
    <t>CUST891</t>
  </si>
  <si>
    <t>ORD00849</t>
  </si>
  <si>
    <t>CUST681</t>
  </si>
  <si>
    <t>ORD00850</t>
  </si>
  <si>
    <t>ORD00851</t>
  </si>
  <si>
    <t>ORD00852</t>
  </si>
  <si>
    <t>CUST495</t>
  </si>
  <si>
    <t>ORD00853</t>
  </si>
  <si>
    <t>ORD00854</t>
  </si>
  <si>
    <t>ORD00855</t>
  </si>
  <si>
    <t>CUST177</t>
  </si>
  <si>
    <t>ORD00856</t>
  </si>
  <si>
    <t>CUST219</t>
  </si>
  <si>
    <t>ORD00857</t>
  </si>
  <si>
    <t>CUST763</t>
  </si>
  <si>
    <t>ORD00858</t>
  </si>
  <si>
    <t>CUST418</t>
  </si>
  <si>
    <t>ORD00859</t>
  </si>
  <si>
    <t>CUST830</t>
  </si>
  <si>
    <t>ORD00860</t>
  </si>
  <si>
    <t>ORD00861</t>
  </si>
  <si>
    <t>CUST312</t>
  </si>
  <si>
    <t>ORD00862</t>
  </si>
  <si>
    <t>ORD00863</t>
  </si>
  <si>
    <t>ORD00864</t>
  </si>
  <si>
    <t>CUST293</t>
  </si>
  <si>
    <t>ORD00865</t>
  </si>
  <si>
    <t>ORD00866</t>
  </si>
  <si>
    <t>CUST379</t>
  </si>
  <si>
    <t>ORD00867</t>
  </si>
  <si>
    <t>CUST366</t>
  </si>
  <si>
    <t>ORD00868</t>
  </si>
  <si>
    <t>CUST770</t>
  </si>
  <si>
    <t>ORD00869</t>
  </si>
  <si>
    <t>ORD00870</t>
  </si>
  <si>
    <t>CUST103</t>
  </si>
  <si>
    <t>ORD00871</t>
  </si>
  <si>
    <t>ORD00872</t>
  </si>
  <si>
    <t>CUST685</t>
  </si>
  <si>
    <t>ORD00873</t>
  </si>
  <si>
    <t>ORD00874</t>
  </si>
  <si>
    <t>ORD00875</t>
  </si>
  <si>
    <t>ORD00876</t>
  </si>
  <si>
    <t>CUST458</t>
  </si>
  <si>
    <t>ORD00877</t>
  </si>
  <si>
    <t>CUST929</t>
  </si>
  <si>
    <t>ORD00878</t>
  </si>
  <si>
    <t>ORD00879</t>
  </si>
  <si>
    <t>CUST419</t>
  </si>
  <si>
    <t>ORD00880</t>
  </si>
  <si>
    <t>ORD00881</t>
  </si>
  <si>
    <t>ORD00882</t>
  </si>
  <si>
    <t>ORD00883</t>
  </si>
  <si>
    <t>CUST321</t>
  </si>
  <si>
    <t>ORD00884</t>
  </si>
  <si>
    <t>CUST575</t>
  </si>
  <si>
    <t>ORD00885</t>
  </si>
  <si>
    <t>CUST250</t>
  </si>
  <si>
    <t>ORD00886</t>
  </si>
  <si>
    <t>ORD00887</t>
  </si>
  <si>
    <t>CUST553</t>
  </si>
  <si>
    <t>ORD00888</t>
  </si>
  <si>
    <t>ORD00889</t>
  </si>
  <si>
    <t>ORD00890</t>
  </si>
  <si>
    <t>CUST935</t>
  </si>
  <si>
    <t>ORD00891</t>
  </si>
  <si>
    <t>ORD00892</t>
  </si>
  <si>
    <t>ORD00893</t>
  </si>
  <si>
    <t>ORD00894</t>
  </si>
  <si>
    <t>ORD00895</t>
  </si>
  <si>
    <t>CUST900</t>
  </si>
  <si>
    <t>ORD00896</t>
  </si>
  <si>
    <t>ORD00897</t>
  </si>
  <si>
    <t>ORD00898</t>
  </si>
  <si>
    <t>ORD00899</t>
  </si>
  <si>
    <t>ORD00900</t>
  </si>
  <si>
    <t>CUST294</t>
  </si>
  <si>
    <t>ORD00901</t>
  </si>
  <si>
    <t>ORD00902</t>
  </si>
  <si>
    <t>ORD00903</t>
  </si>
  <si>
    <t>ORD00904</t>
  </si>
  <si>
    <t>CUST702</t>
  </si>
  <si>
    <t>ORD00905</t>
  </si>
  <si>
    <t>CUST703</t>
  </si>
  <si>
    <t>ORD00906</t>
  </si>
  <si>
    <t>ORD00907</t>
  </si>
  <si>
    <t>ORD00908</t>
  </si>
  <si>
    <t>CUST853</t>
  </si>
  <si>
    <t>ORD00909</t>
  </si>
  <si>
    <t>ORD00910</t>
  </si>
  <si>
    <t>ORD00911</t>
  </si>
  <si>
    <t>ORD00912</t>
  </si>
  <si>
    <t>ORD00913</t>
  </si>
  <si>
    <t>CUST107</t>
  </si>
  <si>
    <t>ORD00914</t>
  </si>
  <si>
    <t>ORD00915</t>
  </si>
  <si>
    <t>CUST605</t>
  </si>
  <si>
    <t>ORD00916</t>
  </si>
  <si>
    <t>ORD00917</t>
  </si>
  <si>
    <t>CUST223</t>
  </si>
  <si>
    <t>ORD00918</t>
  </si>
  <si>
    <t>CUST283</t>
  </si>
  <si>
    <t>ORD00919</t>
  </si>
  <si>
    <t>ORD00920</t>
  </si>
  <si>
    <t>ORD00921</t>
  </si>
  <si>
    <t>ORD00922</t>
  </si>
  <si>
    <t>CUST251</t>
  </si>
  <si>
    <t>ORD00923</t>
  </si>
  <si>
    <t>CUST613</t>
  </si>
  <si>
    <t>ORD00924</t>
  </si>
  <si>
    <t>ORD00925</t>
  </si>
  <si>
    <t>ORD00926</t>
  </si>
  <si>
    <t>CUST300</t>
  </si>
  <si>
    <t>ORD00927</t>
  </si>
  <si>
    <t>ORD00928</t>
  </si>
  <si>
    <t>ORD00929</t>
  </si>
  <si>
    <t>ORD00930</t>
  </si>
  <si>
    <t>CUST222</t>
  </si>
  <si>
    <t>ORD00931</t>
  </si>
  <si>
    <t>ORD00932</t>
  </si>
  <si>
    <t>ORD00933</t>
  </si>
  <si>
    <t>ORD00934</t>
  </si>
  <si>
    <t>ORD00935</t>
  </si>
  <si>
    <t>ORD00936</t>
  </si>
  <si>
    <t>CUST368</t>
  </si>
  <si>
    <t>ORD00937</t>
  </si>
  <si>
    <t>ORD00938</t>
  </si>
  <si>
    <t>ORD00939</t>
  </si>
  <si>
    <t>ORD00940</t>
  </si>
  <si>
    <t>CUST232</t>
  </si>
  <si>
    <t>ORD00941</t>
  </si>
  <si>
    <t>CUST928</t>
  </si>
  <si>
    <t>ORD00942</t>
  </si>
  <si>
    <t>ORD00943</t>
  </si>
  <si>
    <t>ORD00944</t>
  </si>
  <si>
    <t>CUST621</t>
  </si>
  <si>
    <t>ORD00945</t>
  </si>
  <si>
    <t>ORD00946</t>
  </si>
  <si>
    <t>CUST501</t>
  </si>
  <si>
    <t>ORD00947</t>
  </si>
  <si>
    <t>ORD00948</t>
  </si>
  <si>
    <t>ORD00949</t>
  </si>
  <si>
    <t>CUST787</t>
  </si>
  <si>
    <t>ORD00950</t>
  </si>
  <si>
    <t>CUST171</t>
  </si>
  <si>
    <t>ORD00951</t>
  </si>
  <si>
    <t>CUST398</t>
  </si>
  <si>
    <t>ORD00952</t>
  </si>
  <si>
    <t>ORD00953</t>
  </si>
  <si>
    <t>ORD00954</t>
  </si>
  <si>
    <t>CUST761</t>
  </si>
  <si>
    <t>ORD00955</t>
  </si>
  <si>
    <t>USB Cable</t>
  </si>
  <si>
    <t>ORD00956</t>
  </si>
  <si>
    <t>ORD00957</t>
  </si>
  <si>
    <t>ORD00958</t>
  </si>
  <si>
    <t>ORD00959</t>
  </si>
  <si>
    <t>ORD00960</t>
  </si>
  <si>
    <t>ORD00961</t>
  </si>
  <si>
    <t>ORD00962</t>
  </si>
  <si>
    <t>ORD00963</t>
  </si>
  <si>
    <t>ORD00964</t>
  </si>
  <si>
    <t>ORD00965</t>
  </si>
  <si>
    <t>CUST175</t>
  </si>
  <si>
    <t>ORD00966</t>
  </si>
  <si>
    <t>ORD00967</t>
  </si>
  <si>
    <t>ORD00968</t>
  </si>
  <si>
    <t>ORD00969</t>
  </si>
  <si>
    <t>CUST466</t>
  </si>
  <si>
    <t>ORD00970</t>
  </si>
  <si>
    <t>CUST886</t>
  </si>
  <si>
    <t>ORD00971</t>
  </si>
  <si>
    <t>CUST692</t>
  </si>
  <si>
    <t>ORD00972</t>
  </si>
  <si>
    <t>ORD00973</t>
  </si>
  <si>
    <t>CUST798</t>
  </si>
  <si>
    <t>ORD00974</t>
  </si>
  <si>
    <t>ORD00975</t>
  </si>
  <si>
    <t>ORD00976</t>
  </si>
  <si>
    <t>ORD00977</t>
  </si>
  <si>
    <t>ORD00978</t>
  </si>
  <si>
    <t>ORD00979</t>
  </si>
  <si>
    <t>ORD00980</t>
  </si>
  <si>
    <t>ORD00981</t>
  </si>
  <si>
    <t>CUST139</t>
  </si>
  <si>
    <t>ORD00982</t>
  </si>
  <si>
    <t>CUST106</t>
  </si>
  <si>
    <t>ORD00983</t>
  </si>
  <si>
    <t>ORD00984</t>
  </si>
  <si>
    <t>CUST396</t>
  </si>
  <si>
    <t>ORD00985</t>
  </si>
  <si>
    <t>ORD00986</t>
  </si>
  <si>
    <t>CUST180</t>
  </si>
  <si>
    <t>ORD00987</t>
  </si>
  <si>
    <t>CUST544</t>
  </si>
  <si>
    <t>ORD00988</t>
  </si>
  <si>
    <t>ORD00989</t>
  </si>
  <si>
    <t>CUST852</t>
  </si>
  <si>
    <t>ORD00990</t>
  </si>
  <si>
    <t>ORD00991</t>
  </si>
  <si>
    <t>ORD00992</t>
  </si>
  <si>
    <t>ORD00993</t>
  </si>
  <si>
    <t>CUST225</t>
  </si>
  <si>
    <t>ORD00994</t>
  </si>
  <si>
    <t>ORD00995</t>
  </si>
  <si>
    <t>CUST205</t>
  </si>
  <si>
    <t>ORD00996</t>
  </si>
  <si>
    <t>ORD00997</t>
  </si>
  <si>
    <t>CUST522</t>
  </si>
  <si>
    <t>ORD00998</t>
  </si>
  <si>
    <t>CUST640</t>
  </si>
  <si>
    <t>ORD00999</t>
  </si>
  <si>
    <t>ORD01000</t>
  </si>
  <si>
    <t>ORD01001</t>
  </si>
  <si>
    <t>TotalAmountEWTShipping</t>
  </si>
  <si>
    <t>Sum of TotalAmount</t>
  </si>
  <si>
    <t>Row Labels</t>
  </si>
  <si>
    <t>Grand Total</t>
  </si>
  <si>
    <t>Sum of Quantity</t>
  </si>
  <si>
    <t>Column Labels</t>
  </si>
  <si>
    <t>Jan</t>
  </si>
  <si>
    <t>Feb</t>
  </si>
  <si>
    <t>Mar</t>
  </si>
  <si>
    <t>Apr</t>
  </si>
  <si>
    <t>May</t>
  </si>
  <si>
    <t>Jun</t>
  </si>
  <si>
    <t>Jul</t>
  </si>
  <si>
    <t>Aug</t>
  </si>
  <si>
    <t>Sep</t>
  </si>
  <si>
    <t>Oct</t>
  </si>
  <si>
    <t>Nov</t>
  </si>
  <si>
    <t>Dec</t>
  </si>
  <si>
    <t>Average of Rating</t>
  </si>
  <si>
    <t>Average of DeliveryDays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</si>
</sst>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5" formatCode="0.0"/>
    <numFmt numFmtId="176" formatCode="0.0%"/>
  </numFmts>
  <fonts count="4" x14ac:knownFonts="1">
    <font>
      <sz val="11"/>
      <color theme="1"/>
      <name val="Calibri"/>
      <family val="2"/>
      <scheme val="minor"/>
    </font>
    <font>
      <b/>
      <sz val="11"/>
      <color theme="1"/>
      <name val="Calibri"/>
      <family val="2"/>
      <scheme val="minor"/>
    </font>
    <font>
      <sz val="10"/>
      <color indexed="9"/>
      <name val="Calibri"/>
      <family val="2"/>
      <scheme val="minor"/>
    </font>
    <font>
      <sz val="11"/>
      <color theme="1"/>
      <name val="Calibri"/>
      <family val="2"/>
      <scheme val="minor"/>
    </font>
  </fonts>
  <fills count="4">
    <fill>
      <patternFill patternType="none"/>
    </fill>
    <fill>
      <patternFill patternType="gray125"/>
    </fill>
    <fill>
      <patternFill patternType="solid">
        <fgColor indexed="20"/>
        <bgColor indexed="24"/>
      </patternFill>
    </fill>
    <fill>
      <patternFill patternType="solid">
        <fgColor theme="4" tint="0.79998168889431442"/>
        <bgColor theme="4" tint="0.79998168889431442"/>
      </patternFill>
    </fill>
  </fills>
  <borders count="4">
    <border>
      <left/>
      <right/>
      <top/>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16">
    <xf numFmtId="0" fontId="0" fillId="0" borderId="0" xfId="0"/>
    <xf numFmtId="0" fontId="0" fillId="0" borderId="0" xfId="0" pivotButton="1"/>
    <xf numFmtId="0" fontId="0" fillId="0" borderId="0" xfId="0" applyAlignment="1">
      <alignment horizontal="left"/>
    </xf>
    <xf numFmtId="0" fontId="1" fillId="3" borderId="1" xfId="0" applyFont="1" applyFill="1" applyBorder="1"/>
    <xf numFmtId="0" fontId="1" fillId="3" borderId="2" xfId="0" applyFont="1" applyFill="1" applyBorder="1" applyAlignment="1">
      <alignment horizontal="left"/>
    </xf>
    <xf numFmtId="10" fontId="0" fillId="0" borderId="0" xfId="0" applyNumberFormat="1"/>
    <xf numFmtId="1" fontId="0" fillId="0" borderId="0" xfId="0" applyNumberFormat="1"/>
    <xf numFmtId="165" fontId="0" fillId="0" borderId="0" xfId="0" applyNumberFormat="1"/>
    <xf numFmtId="2" fontId="0" fillId="0" borderId="0" xfId="0" applyNumberFormat="1"/>
    <xf numFmtId="0" fontId="0" fillId="0" borderId="0" xfId="0" applyNumberFormat="1"/>
    <xf numFmtId="10" fontId="0" fillId="0" borderId="0" xfId="1" applyNumberFormat="1" applyFont="1"/>
    <xf numFmtId="176" fontId="0" fillId="0" borderId="0" xfId="0" applyNumberFormat="1"/>
    <xf numFmtId="0" fontId="2" fillId="2" borderId="3" xfId="0" applyFont="1" applyFill="1" applyBorder="1" applyAlignment="1">
      <alignment horizontal="center" vertical="center"/>
    </xf>
    <xf numFmtId="0" fontId="0" fillId="0" borderId="3" xfId="0" applyBorder="1"/>
    <xf numFmtId="0" fontId="0" fillId="0" borderId="3" xfId="0" applyBorder="1" applyAlignment="1">
      <alignment horizontal="center" vertical="center"/>
    </xf>
    <xf numFmtId="15" fontId="0" fillId="0" borderId="3" xfId="0" applyNumberFormat="1" applyBorder="1" applyAlignment="1">
      <alignment horizontal="center" vertical="center"/>
    </xf>
  </cellXfs>
  <cellStyles count="2">
    <cellStyle name="Normal" xfId="0" builtinId="0"/>
    <cellStyle name="Percent" xfId="1" builtinId="5"/>
  </cellStyles>
  <dxfs count="337">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65" formatCode="0.0"/>
    </dxf>
    <dxf>
      <numFmt numFmtId="165" formatCode="0.0"/>
    </dxf>
    <dxf>
      <numFmt numFmtId="165" formatCode="0.0"/>
    </dxf>
    <dxf>
      <numFmt numFmtId="1" formatCode="0"/>
    </dxf>
    <dxf>
      <numFmt numFmtId="1" formatCode="0"/>
    </dxf>
    <dxf>
      <numFmt numFmtId="1" formatCode="0"/>
    </dxf>
    <dxf>
      <numFmt numFmtId="2" formatCode="0.00"/>
    </dxf>
    <dxf>
      <numFmt numFmtId="2" formatCode="0.00"/>
    </dxf>
    <dxf>
      <numFmt numFmtId="2" formatCode="0.00"/>
    </dxf>
    <dxf>
      <numFmt numFmtId="176" formatCode="0.0%"/>
    </dxf>
    <dxf>
      <numFmt numFmtId="176" formatCode="0.0%"/>
    </dxf>
    <dxf>
      <numFmt numFmtId="165" formatCode="0.0"/>
    </dxf>
    <dxf>
      <numFmt numFmtId="14" formatCode="0.00%"/>
    </dxf>
    <dxf>
      <numFmt numFmtId="176" formatCode="0.0%"/>
    </dxf>
    <dxf>
      <numFmt numFmtId="176"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07/relationships/slicerCache" Target="slicerCaches/slicerCache9.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microsoft.com/office/2007/relationships/slicerCache" Target="slicerCaches/slicerCache8.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theme" Target="theme/theme1.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[Dashboard.xlsx]kpi!totalprice</c:name>
    <c:fmtId val="7"/>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312698181259419"/>
          <c:y val="0.15477398801889194"/>
          <c:w val="0.70530234567365835"/>
          <c:h val="0.78125894127057971"/>
        </c:manualLayout>
      </c:layout>
      <c:barChart>
        <c:barDir val="col"/>
        <c:grouping val="clustered"/>
        <c:varyColors val="0"/>
        <c:ser>
          <c:idx val="1"/>
          <c:order val="1"/>
          <c:tx>
            <c:strRef>
              <c:f>kpi!$C$3</c:f>
              <c:strCache>
                <c:ptCount val="1"/>
                <c:pt idx="0">
                  <c:v>Sum of TotalAmount</c:v>
                </c:pt>
              </c:strCache>
            </c:strRef>
          </c:tx>
          <c:spPr>
            <a:solidFill>
              <a:schemeClr val="accent2"/>
            </a:solidFill>
            <a:ln>
              <a:noFill/>
            </a:ln>
            <a:effectLst/>
          </c:spPr>
          <c:invertIfNegative val="0"/>
          <c:cat>
            <c:strRef>
              <c:f>kpi!$A$4:$A$7</c:f>
              <c:strCache>
                <c:ptCount val="3"/>
                <c:pt idx="0">
                  <c:v>Accessories</c:v>
                </c:pt>
                <c:pt idx="1">
                  <c:v>Electronics</c:v>
                </c:pt>
                <c:pt idx="2">
                  <c:v>Fashion</c:v>
                </c:pt>
              </c:strCache>
            </c:strRef>
          </c:cat>
          <c:val>
            <c:numRef>
              <c:f>kpi!$C$4:$C$7</c:f>
              <c:numCache>
                <c:formatCode>General</c:formatCode>
                <c:ptCount val="3"/>
                <c:pt idx="0">
                  <c:v>583097.55999999994</c:v>
                </c:pt>
                <c:pt idx="1">
                  <c:v>5815926.5299999993</c:v>
                </c:pt>
                <c:pt idx="2">
                  <c:v>1720376.4300000002</c:v>
                </c:pt>
              </c:numCache>
            </c:numRef>
          </c:val>
          <c:extLst>
            <c:ext xmlns:c16="http://schemas.microsoft.com/office/drawing/2014/chart" uri="{C3380CC4-5D6E-409C-BE32-E72D297353CC}">
              <c16:uniqueId val="{00000001-E54D-4753-9FF8-99FBF5A311E4}"/>
            </c:ext>
          </c:extLst>
        </c:ser>
        <c:dLbls>
          <c:showLegendKey val="0"/>
          <c:showVal val="0"/>
          <c:showCatName val="0"/>
          <c:showSerName val="0"/>
          <c:showPercent val="0"/>
          <c:showBubbleSize val="0"/>
        </c:dLbls>
        <c:gapWidth val="219"/>
        <c:overlap val="-27"/>
        <c:axId val="78593456"/>
        <c:axId val="1972428912"/>
      </c:barChart>
      <c:lineChart>
        <c:grouping val="stacked"/>
        <c:varyColors val="0"/>
        <c:ser>
          <c:idx val="0"/>
          <c:order val="0"/>
          <c:tx>
            <c:strRef>
              <c:f>kpi!$B$3</c:f>
              <c:strCache>
                <c:ptCount val="1"/>
                <c:pt idx="0">
                  <c:v>Sum of Quantity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kpi!$A$4:$A$7</c:f>
              <c:strCache>
                <c:ptCount val="3"/>
                <c:pt idx="0">
                  <c:v>Accessories</c:v>
                </c:pt>
                <c:pt idx="1">
                  <c:v>Electronics</c:v>
                </c:pt>
                <c:pt idx="2">
                  <c:v>Fashion</c:v>
                </c:pt>
              </c:strCache>
            </c:strRef>
          </c:cat>
          <c:val>
            <c:numRef>
              <c:f>kpi!$B$4:$B$7</c:f>
              <c:numCache>
                <c:formatCode>General</c:formatCode>
                <c:ptCount val="3"/>
                <c:pt idx="0">
                  <c:v>16</c:v>
                </c:pt>
                <c:pt idx="1">
                  <c:v>191</c:v>
                </c:pt>
                <c:pt idx="2">
                  <c:v>54</c:v>
                </c:pt>
              </c:numCache>
            </c:numRef>
          </c:val>
          <c:smooth val="0"/>
          <c:extLst>
            <c:ext xmlns:c16="http://schemas.microsoft.com/office/drawing/2014/chart" uri="{C3380CC4-5D6E-409C-BE32-E72D297353CC}">
              <c16:uniqueId val="{00000000-E54D-4753-9FF8-99FBF5A311E4}"/>
            </c:ext>
          </c:extLst>
        </c:ser>
        <c:dLbls>
          <c:showLegendKey val="0"/>
          <c:showVal val="0"/>
          <c:showCatName val="0"/>
          <c:showSerName val="0"/>
          <c:showPercent val="0"/>
          <c:showBubbleSize val="0"/>
        </c:dLbls>
        <c:marker val="1"/>
        <c:smooth val="0"/>
        <c:axId val="75415344"/>
        <c:axId val="2082775088"/>
      </c:lineChart>
      <c:catAx>
        <c:axId val="78593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428912"/>
        <c:crosses val="autoZero"/>
        <c:auto val="1"/>
        <c:lblAlgn val="ctr"/>
        <c:lblOffset val="100"/>
        <c:noMultiLvlLbl val="0"/>
      </c:catAx>
      <c:valAx>
        <c:axId val="197242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593456"/>
        <c:crosses val="autoZero"/>
        <c:crossBetween val="between"/>
      </c:valAx>
      <c:valAx>
        <c:axId val="20827750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5344"/>
        <c:crosses val="max"/>
        <c:crossBetween val="between"/>
      </c:valAx>
      <c:catAx>
        <c:axId val="75415344"/>
        <c:scaling>
          <c:orientation val="minMax"/>
        </c:scaling>
        <c:delete val="1"/>
        <c:axPos val="b"/>
        <c:numFmt formatCode="General" sourceLinked="1"/>
        <c:majorTickMark val="out"/>
        <c:minorTickMark val="none"/>
        <c:tickLblPos val="nextTo"/>
        <c:crossAx val="2082775088"/>
        <c:auto val="1"/>
        <c:lblAlgn val="ctr"/>
        <c:lblOffset val="100"/>
        <c:noMultiLvlLbl val="0"/>
      </c:catAx>
      <c:spPr>
        <a:noFill/>
        <a:ln>
          <a:noFill/>
        </a:ln>
        <a:effectLst/>
      </c:spPr>
    </c:plotArea>
    <c:legend>
      <c:legendPos val="r"/>
      <c:layout>
        <c:manualLayout>
          <c:xMode val="edge"/>
          <c:yMode val="edge"/>
          <c:x val="0.29082151911594112"/>
          <c:y val="1.2267747390207896E-2"/>
          <c:w val="0.60945742200707864"/>
          <c:h val="7.965616422323082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[Dashboard.xlsx]kpi!PivotTable6</c:name>
    <c:fmtId val="7"/>
  </c:pivotSource>
  <c:chart>
    <c:autoTitleDeleted val="0"/>
    <c:pivotFmts>
      <c:pivotFmt>
        <c:idx val="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kpi!$J$46:$J$47</c:f>
              <c:strCache>
                <c:ptCount val="1"/>
                <c:pt idx="0">
                  <c:v>Accessories</c:v>
                </c:pt>
              </c:strCache>
            </c:strRef>
          </c:tx>
          <c:spPr>
            <a:ln w="28575" cap="rnd">
              <a:solidFill>
                <a:schemeClr val="accent2"/>
              </a:solidFill>
              <a:round/>
            </a:ln>
            <a:effectLst/>
          </c:spPr>
          <c:marker>
            <c:symbol val="none"/>
          </c:marker>
          <c:cat>
            <c:strRef>
              <c:f>kpi!$I$48:$I$83</c:f>
              <c:strCache>
                <c:ptCount val="35"/>
                <c:pt idx="0">
                  <c:v>18</c:v>
                </c:pt>
                <c:pt idx="1">
                  <c:v>19</c:v>
                </c:pt>
                <c:pt idx="2">
                  <c:v>22</c:v>
                </c:pt>
                <c:pt idx="3">
                  <c:v>23</c:v>
                </c:pt>
                <c:pt idx="4">
                  <c:v>24</c:v>
                </c:pt>
                <c:pt idx="5">
                  <c:v>25</c:v>
                </c:pt>
                <c:pt idx="6">
                  <c:v>27</c:v>
                </c:pt>
                <c:pt idx="7">
                  <c:v>28</c:v>
                </c:pt>
                <c:pt idx="8">
                  <c:v>29</c:v>
                </c:pt>
                <c:pt idx="9">
                  <c:v>30</c:v>
                </c:pt>
                <c:pt idx="10">
                  <c:v>31</c:v>
                </c:pt>
                <c:pt idx="11">
                  <c:v>32</c:v>
                </c:pt>
                <c:pt idx="12">
                  <c:v>33</c:v>
                </c:pt>
                <c:pt idx="13">
                  <c:v>34</c:v>
                </c:pt>
                <c:pt idx="14">
                  <c:v>35</c:v>
                </c:pt>
                <c:pt idx="15">
                  <c:v>37</c:v>
                </c:pt>
                <c:pt idx="16">
                  <c:v>39</c:v>
                </c:pt>
                <c:pt idx="17">
                  <c:v>40</c:v>
                </c:pt>
                <c:pt idx="18">
                  <c:v>41</c:v>
                </c:pt>
                <c:pt idx="19">
                  <c:v>42</c:v>
                </c:pt>
                <c:pt idx="20">
                  <c:v>43</c:v>
                </c:pt>
                <c:pt idx="21">
                  <c:v>44</c:v>
                </c:pt>
                <c:pt idx="22">
                  <c:v>45</c:v>
                </c:pt>
                <c:pt idx="23">
                  <c:v>47</c:v>
                </c:pt>
                <c:pt idx="24">
                  <c:v>49</c:v>
                </c:pt>
                <c:pt idx="25">
                  <c:v>50</c:v>
                </c:pt>
                <c:pt idx="26">
                  <c:v>52</c:v>
                </c:pt>
                <c:pt idx="27">
                  <c:v>53</c:v>
                </c:pt>
                <c:pt idx="28">
                  <c:v>54</c:v>
                </c:pt>
                <c:pt idx="29">
                  <c:v>55</c:v>
                </c:pt>
                <c:pt idx="30">
                  <c:v>56</c:v>
                </c:pt>
                <c:pt idx="31">
                  <c:v>57</c:v>
                </c:pt>
                <c:pt idx="32">
                  <c:v>58</c:v>
                </c:pt>
                <c:pt idx="33">
                  <c:v>59</c:v>
                </c:pt>
                <c:pt idx="34">
                  <c:v>60</c:v>
                </c:pt>
              </c:strCache>
            </c:strRef>
          </c:cat>
          <c:val>
            <c:numRef>
              <c:f>kpi!$J$48:$J$83</c:f>
              <c:numCache>
                <c:formatCode>General</c:formatCode>
                <c:ptCount val="35"/>
                <c:pt idx="1">
                  <c:v>3</c:v>
                </c:pt>
                <c:pt idx="5">
                  <c:v>5</c:v>
                </c:pt>
                <c:pt idx="9">
                  <c:v>1</c:v>
                </c:pt>
                <c:pt idx="11">
                  <c:v>3</c:v>
                </c:pt>
                <c:pt idx="25">
                  <c:v>4</c:v>
                </c:pt>
              </c:numCache>
            </c:numRef>
          </c:val>
          <c:smooth val="0"/>
          <c:extLst>
            <c:ext xmlns:c16="http://schemas.microsoft.com/office/drawing/2014/chart" uri="{C3380CC4-5D6E-409C-BE32-E72D297353CC}">
              <c16:uniqueId val="{00000000-F0E8-4D2F-830C-5A27B7564EE6}"/>
            </c:ext>
          </c:extLst>
        </c:ser>
        <c:ser>
          <c:idx val="1"/>
          <c:order val="1"/>
          <c:tx>
            <c:strRef>
              <c:f>kpi!$K$46:$K$47</c:f>
              <c:strCache>
                <c:ptCount val="1"/>
                <c:pt idx="0">
                  <c:v>Electronics</c:v>
                </c:pt>
              </c:strCache>
            </c:strRef>
          </c:tx>
          <c:spPr>
            <a:ln w="28575" cap="rnd">
              <a:solidFill>
                <a:schemeClr val="accent4"/>
              </a:solidFill>
              <a:round/>
            </a:ln>
            <a:effectLst/>
          </c:spPr>
          <c:marker>
            <c:symbol val="none"/>
          </c:marker>
          <c:cat>
            <c:strRef>
              <c:f>kpi!$I$48:$I$83</c:f>
              <c:strCache>
                <c:ptCount val="35"/>
                <c:pt idx="0">
                  <c:v>18</c:v>
                </c:pt>
                <c:pt idx="1">
                  <c:v>19</c:v>
                </c:pt>
                <c:pt idx="2">
                  <c:v>22</c:v>
                </c:pt>
                <c:pt idx="3">
                  <c:v>23</c:v>
                </c:pt>
                <c:pt idx="4">
                  <c:v>24</c:v>
                </c:pt>
                <c:pt idx="5">
                  <c:v>25</c:v>
                </c:pt>
                <c:pt idx="6">
                  <c:v>27</c:v>
                </c:pt>
                <c:pt idx="7">
                  <c:v>28</c:v>
                </c:pt>
                <c:pt idx="8">
                  <c:v>29</c:v>
                </c:pt>
                <c:pt idx="9">
                  <c:v>30</c:v>
                </c:pt>
                <c:pt idx="10">
                  <c:v>31</c:v>
                </c:pt>
                <c:pt idx="11">
                  <c:v>32</c:v>
                </c:pt>
                <c:pt idx="12">
                  <c:v>33</c:v>
                </c:pt>
                <c:pt idx="13">
                  <c:v>34</c:v>
                </c:pt>
                <c:pt idx="14">
                  <c:v>35</c:v>
                </c:pt>
                <c:pt idx="15">
                  <c:v>37</c:v>
                </c:pt>
                <c:pt idx="16">
                  <c:v>39</c:v>
                </c:pt>
                <c:pt idx="17">
                  <c:v>40</c:v>
                </c:pt>
                <c:pt idx="18">
                  <c:v>41</c:v>
                </c:pt>
                <c:pt idx="19">
                  <c:v>42</c:v>
                </c:pt>
                <c:pt idx="20">
                  <c:v>43</c:v>
                </c:pt>
                <c:pt idx="21">
                  <c:v>44</c:v>
                </c:pt>
                <c:pt idx="22">
                  <c:v>45</c:v>
                </c:pt>
                <c:pt idx="23">
                  <c:v>47</c:v>
                </c:pt>
                <c:pt idx="24">
                  <c:v>49</c:v>
                </c:pt>
                <c:pt idx="25">
                  <c:v>50</c:v>
                </c:pt>
                <c:pt idx="26">
                  <c:v>52</c:v>
                </c:pt>
                <c:pt idx="27">
                  <c:v>53</c:v>
                </c:pt>
                <c:pt idx="28">
                  <c:v>54</c:v>
                </c:pt>
                <c:pt idx="29">
                  <c:v>55</c:v>
                </c:pt>
                <c:pt idx="30">
                  <c:v>56</c:v>
                </c:pt>
                <c:pt idx="31">
                  <c:v>57</c:v>
                </c:pt>
                <c:pt idx="32">
                  <c:v>58</c:v>
                </c:pt>
                <c:pt idx="33">
                  <c:v>59</c:v>
                </c:pt>
                <c:pt idx="34">
                  <c:v>60</c:v>
                </c:pt>
              </c:strCache>
            </c:strRef>
          </c:cat>
          <c:val>
            <c:numRef>
              <c:f>kpi!$K$48:$K$83</c:f>
              <c:numCache>
                <c:formatCode>General</c:formatCode>
                <c:ptCount val="35"/>
                <c:pt idx="0">
                  <c:v>5</c:v>
                </c:pt>
                <c:pt idx="1">
                  <c:v>6</c:v>
                </c:pt>
                <c:pt idx="2">
                  <c:v>4</c:v>
                </c:pt>
                <c:pt idx="3">
                  <c:v>4</c:v>
                </c:pt>
                <c:pt idx="4">
                  <c:v>6</c:v>
                </c:pt>
                <c:pt idx="5">
                  <c:v>3</c:v>
                </c:pt>
                <c:pt idx="6">
                  <c:v>9</c:v>
                </c:pt>
                <c:pt idx="7">
                  <c:v>13</c:v>
                </c:pt>
                <c:pt idx="8">
                  <c:v>13</c:v>
                </c:pt>
                <c:pt idx="9">
                  <c:v>6</c:v>
                </c:pt>
                <c:pt idx="11">
                  <c:v>4</c:v>
                </c:pt>
                <c:pt idx="12">
                  <c:v>6</c:v>
                </c:pt>
                <c:pt idx="13">
                  <c:v>14</c:v>
                </c:pt>
                <c:pt idx="14">
                  <c:v>3</c:v>
                </c:pt>
                <c:pt idx="15">
                  <c:v>8</c:v>
                </c:pt>
                <c:pt idx="17">
                  <c:v>3</c:v>
                </c:pt>
                <c:pt idx="18">
                  <c:v>3</c:v>
                </c:pt>
                <c:pt idx="19">
                  <c:v>2</c:v>
                </c:pt>
                <c:pt idx="20">
                  <c:v>2</c:v>
                </c:pt>
                <c:pt idx="21">
                  <c:v>6</c:v>
                </c:pt>
                <c:pt idx="22">
                  <c:v>1</c:v>
                </c:pt>
                <c:pt idx="23">
                  <c:v>9</c:v>
                </c:pt>
                <c:pt idx="25">
                  <c:v>2</c:v>
                </c:pt>
                <c:pt idx="26">
                  <c:v>8</c:v>
                </c:pt>
                <c:pt idx="27">
                  <c:v>1</c:v>
                </c:pt>
                <c:pt idx="28">
                  <c:v>5</c:v>
                </c:pt>
                <c:pt idx="29">
                  <c:v>10</c:v>
                </c:pt>
                <c:pt idx="30">
                  <c:v>5</c:v>
                </c:pt>
                <c:pt idx="31">
                  <c:v>10</c:v>
                </c:pt>
                <c:pt idx="32">
                  <c:v>8</c:v>
                </c:pt>
                <c:pt idx="33">
                  <c:v>7</c:v>
                </c:pt>
                <c:pt idx="34">
                  <c:v>5</c:v>
                </c:pt>
              </c:numCache>
            </c:numRef>
          </c:val>
          <c:smooth val="0"/>
          <c:extLst>
            <c:ext xmlns:c16="http://schemas.microsoft.com/office/drawing/2014/chart" uri="{C3380CC4-5D6E-409C-BE32-E72D297353CC}">
              <c16:uniqueId val="{00000013-F0E8-4D2F-830C-5A27B7564EE6}"/>
            </c:ext>
          </c:extLst>
        </c:ser>
        <c:ser>
          <c:idx val="2"/>
          <c:order val="2"/>
          <c:tx>
            <c:strRef>
              <c:f>kpi!$L$46:$L$47</c:f>
              <c:strCache>
                <c:ptCount val="1"/>
                <c:pt idx="0">
                  <c:v>Fashion</c:v>
                </c:pt>
              </c:strCache>
            </c:strRef>
          </c:tx>
          <c:spPr>
            <a:ln w="28575" cap="rnd">
              <a:solidFill>
                <a:schemeClr val="accent6"/>
              </a:solidFill>
              <a:round/>
            </a:ln>
            <a:effectLst/>
          </c:spPr>
          <c:marker>
            <c:symbol val="none"/>
          </c:marker>
          <c:cat>
            <c:strRef>
              <c:f>kpi!$I$48:$I$83</c:f>
              <c:strCache>
                <c:ptCount val="35"/>
                <c:pt idx="0">
                  <c:v>18</c:v>
                </c:pt>
                <c:pt idx="1">
                  <c:v>19</c:v>
                </c:pt>
                <c:pt idx="2">
                  <c:v>22</c:v>
                </c:pt>
                <c:pt idx="3">
                  <c:v>23</c:v>
                </c:pt>
                <c:pt idx="4">
                  <c:v>24</c:v>
                </c:pt>
                <c:pt idx="5">
                  <c:v>25</c:v>
                </c:pt>
                <c:pt idx="6">
                  <c:v>27</c:v>
                </c:pt>
                <c:pt idx="7">
                  <c:v>28</c:v>
                </c:pt>
                <c:pt idx="8">
                  <c:v>29</c:v>
                </c:pt>
                <c:pt idx="9">
                  <c:v>30</c:v>
                </c:pt>
                <c:pt idx="10">
                  <c:v>31</c:v>
                </c:pt>
                <c:pt idx="11">
                  <c:v>32</c:v>
                </c:pt>
                <c:pt idx="12">
                  <c:v>33</c:v>
                </c:pt>
                <c:pt idx="13">
                  <c:v>34</c:v>
                </c:pt>
                <c:pt idx="14">
                  <c:v>35</c:v>
                </c:pt>
                <c:pt idx="15">
                  <c:v>37</c:v>
                </c:pt>
                <c:pt idx="16">
                  <c:v>39</c:v>
                </c:pt>
                <c:pt idx="17">
                  <c:v>40</c:v>
                </c:pt>
                <c:pt idx="18">
                  <c:v>41</c:v>
                </c:pt>
                <c:pt idx="19">
                  <c:v>42</c:v>
                </c:pt>
                <c:pt idx="20">
                  <c:v>43</c:v>
                </c:pt>
                <c:pt idx="21">
                  <c:v>44</c:v>
                </c:pt>
                <c:pt idx="22">
                  <c:v>45</c:v>
                </c:pt>
                <c:pt idx="23">
                  <c:v>47</c:v>
                </c:pt>
                <c:pt idx="24">
                  <c:v>49</c:v>
                </c:pt>
                <c:pt idx="25">
                  <c:v>50</c:v>
                </c:pt>
                <c:pt idx="26">
                  <c:v>52</c:v>
                </c:pt>
                <c:pt idx="27">
                  <c:v>53</c:v>
                </c:pt>
                <c:pt idx="28">
                  <c:v>54</c:v>
                </c:pt>
                <c:pt idx="29">
                  <c:v>55</c:v>
                </c:pt>
                <c:pt idx="30">
                  <c:v>56</c:v>
                </c:pt>
                <c:pt idx="31">
                  <c:v>57</c:v>
                </c:pt>
                <c:pt idx="32">
                  <c:v>58</c:v>
                </c:pt>
                <c:pt idx="33">
                  <c:v>59</c:v>
                </c:pt>
                <c:pt idx="34">
                  <c:v>60</c:v>
                </c:pt>
              </c:strCache>
            </c:strRef>
          </c:cat>
          <c:val>
            <c:numRef>
              <c:f>kpi!$L$48:$L$83</c:f>
              <c:numCache>
                <c:formatCode>General</c:formatCode>
                <c:ptCount val="35"/>
                <c:pt idx="1">
                  <c:v>2</c:v>
                </c:pt>
                <c:pt idx="3">
                  <c:v>6</c:v>
                </c:pt>
                <c:pt idx="4">
                  <c:v>2</c:v>
                </c:pt>
                <c:pt idx="5">
                  <c:v>5</c:v>
                </c:pt>
                <c:pt idx="9">
                  <c:v>5</c:v>
                </c:pt>
                <c:pt idx="10">
                  <c:v>2</c:v>
                </c:pt>
                <c:pt idx="12">
                  <c:v>2</c:v>
                </c:pt>
                <c:pt idx="16">
                  <c:v>4</c:v>
                </c:pt>
                <c:pt idx="18">
                  <c:v>2</c:v>
                </c:pt>
                <c:pt idx="19">
                  <c:v>1</c:v>
                </c:pt>
                <c:pt idx="20">
                  <c:v>2</c:v>
                </c:pt>
                <c:pt idx="23">
                  <c:v>1</c:v>
                </c:pt>
                <c:pt idx="24">
                  <c:v>2</c:v>
                </c:pt>
                <c:pt idx="31">
                  <c:v>10</c:v>
                </c:pt>
                <c:pt idx="32">
                  <c:v>3</c:v>
                </c:pt>
                <c:pt idx="33">
                  <c:v>3</c:v>
                </c:pt>
                <c:pt idx="34">
                  <c:v>2</c:v>
                </c:pt>
              </c:numCache>
            </c:numRef>
          </c:val>
          <c:smooth val="0"/>
          <c:extLst>
            <c:ext xmlns:c16="http://schemas.microsoft.com/office/drawing/2014/chart" uri="{C3380CC4-5D6E-409C-BE32-E72D297353CC}">
              <c16:uniqueId val="{00000016-F0E8-4D2F-830C-5A27B7564EE6}"/>
            </c:ext>
          </c:extLst>
        </c:ser>
        <c:dLbls>
          <c:showLegendKey val="0"/>
          <c:showVal val="0"/>
          <c:showCatName val="0"/>
          <c:showSerName val="0"/>
          <c:showPercent val="0"/>
          <c:showBubbleSize val="0"/>
        </c:dLbls>
        <c:smooth val="0"/>
        <c:axId val="184809152"/>
        <c:axId val="2013411344"/>
      </c:lineChart>
      <c:catAx>
        <c:axId val="18480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411344"/>
        <c:crosses val="autoZero"/>
        <c:auto val="1"/>
        <c:lblAlgn val="ctr"/>
        <c:lblOffset val="100"/>
        <c:noMultiLvlLbl val="0"/>
      </c:catAx>
      <c:valAx>
        <c:axId val="20134113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809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[Dashboard.xlsx]kpi!PivotTable7</c:name>
    <c:fmtId val="7"/>
  </c:pivotSource>
  <c:chart>
    <c:title>
      <c:tx>
        <c:strRef>
          <c:f>kpi!$O$4</c:f>
          <c:strCache>
            <c:ptCount val="1"/>
            <c:pt idx="0">
              <c:v>8119400.52</c:v>
            </c:pt>
          </c:strCache>
        </c:strRef>
      </c:tx>
      <c:layout>
        <c:manualLayout>
          <c:xMode val="edge"/>
          <c:yMode val="edge"/>
          <c:x val="0.48291836230859575"/>
          <c:y val="3.396335612787279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959929415218704"/>
          <c:y val="0.13490344566025972"/>
          <c:w val="0.58486067991745261"/>
          <c:h val="0.69644917040583321"/>
        </c:manualLayout>
      </c:layout>
      <c:barChart>
        <c:barDir val="bar"/>
        <c:grouping val="clustered"/>
        <c:varyColors val="0"/>
        <c:ser>
          <c:idx val="0"/>
          <c:order val="0"/>
          <c:tx>
            <c:strRef>
              <c:f>kpi!$O$4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kpi!$O$4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c:f>
              <c:numCache>
                <c:formatCode>0.00%</c:formatCode>
                <c:ptCount val="12"/>
                <c:pt idx="0">
                  <c:v>7.6969454636535151E-2</c:v>
                </c:pt>
                <c:pt idx="1">
                  <c:v>3.9377960135411574E-2</c:v>
                </c:pt>
                <c:pt idx="2">
                  <c:v>0.12135844605433999</c:v>
                </c:pt>
                <c:pt idx="3">
                  <c:v>8.0488241513672731E-2</c:v>
                </c:pt>
                <c:pt idx="4">
                  <c:v>7.4206452621209049E-2</c:v>
                </c:pt>
                <c:pt idx="5">
                  <c:v>5.0755653571330411E-2</c:v>
                </c:pt>
                <c:pt idx="6">
                  <c:v>7.2623838243663835E-2</c:v>
                </c:pt>
                <c:pt idx="7">
                  <c:v>6.722245671408264E-2</c:v>
                </c:pt>
                <c:pt idx="8">
                  <c:v>4.6712826774063368E-2</c:v>
                </c:pt>
                <c:pt idx="9">
                  <c:v>0.16754745090466358</c:v>
                </c:pt>
                <c:pt idx="10">
                  <c:v>7.7016179761015158E-2</c:v>
                </c:pt>
                <c:pt idx="11">
                  <c:v>0.12572103907001253</c:v>
                </c:pt>
              </c:numCache>
            </c:numRef>
          </c:val>
          <c:extLst>
            <c:ext xmlns:c16="http://schemas.microsoft.com/office/drawing/2014/chart" uri="{C3380CC4-5D6E-409C-BE32-E72D297353CC}">
              <c16:uniqueId val="{00000000-63F7-4726-8AC8-569DD74A5801}"/>
            </c:ext>
          </c:extLst>
        </c:ser>
        <c:dLbls>
          <c:dLblPos val="outEnd"/>
          <c:showLegendKey val="0"/>
          <c:showVal val="1"/>
          <c:showCatName val="0"/>
          <c:showSerName val="0"/>
          <c:showPercent val="0"/>
          <c:showBubbleSize val="0"/>
        </c:dLbls>
        <c:gapWidth val="115"/>
        <c:overlap val="-20"/>
        <c:axId val="215627808"/>
        <c:axId val="1972467312"/>
      </c:barChart>
      <c:catAx>
        <c:axId val="2156278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467312"/>
        <c:crosses val="autoZero"/>
        <c:auto val="1"/>
        <c:lblAlgn val="ctr"/>
        <c:lblOffset val="100"/>
        <c:noMultiLvlLbl val="0"/>
      </c:catAx>
      <c:valAx>
        <c:axId val="1972467312"/>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62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5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nchor="ctr"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[Dashboard.xlsx]kpi!PivotTable10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kpi!$I$21</c:f>
              <c:strCache>
                <c:ptCount val="1"/>
                <c:pt idx="0">
                  <c:v>Total</c:v>
                </c:pt>
              </c:strCache>
            </c:strRef>
          </c:tx>
          <c:dPt>
            <c:idx val="0"/>
            <c:bubble3D val="0"/>
            <c:spPr>
              <a:solidFill>
                <a:schemeClr val="accent4">
                  <a:shade val="58000"/>
                </a:schemeClr>
              </a:solidFill>
              <a:ln w="19050">
                <a:solidFill>
                  <a:schemeClr val="lt1"/>
                </a:solidFill>
              </a:ln>
              <a:effectLst/>
            </c:spPr>
          </c:dPt>
          <c:dPt>
            <c:idx val="1"/>
            <c:bubble3D val="0"/>
            <c:spPr>
              <a:solidFill>
                <a:schemeClr val="accent4">
                  <a:shade val="86000"/>
                </a:schemeClr>
              </a:solidFill>
              <a:ln w="19050">
                <a:solidFill>
                  <a:schemeClr val="lt1"/>
                </a:solidFill>
              </a:ln>
              <a:effectLst/>
            </c:spPr>
          </c:dPt>
          <c:dPt>
            <c:idx val="2"/>
            <c:bubble3D val="0"/>
            <c:spPr>
              <a:solidFill>
                <a:schemeClr val="accent4">
                  <a:tint val="86000"/>
                </a:schemeClr>
              </a:solidFill>
              <a:ln w="19050">
                <a:solidFill>
                  <a:schemeClr val="lt1"/>
                </a:solidFill>
              </a:ln>
              <a:effectLst/>
            </c:spPr>
          </c:dPt>
          <c:dPt>
            <c:idx val="3"/>
            <c:bubble3D val="0"/>
            <c:spPr>
              <a:solidFill>
                <a:schemeClr val="accent4">
                  <a:tint val="58000"/>
                </a:schemeClr>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kpi!$H$22:$H$26</c:f>
              <c:strCache>
                <c:ptCount val="4"/>
                <c:pt idx="0">
                  <c:v>Cancelled</c:v>
                </c:pt>
                <c:pt idx="1">
                  <c:v>Delivered</c:v>
                </c:pt>
                <c:pt idx="2">
                  <c:v>Returned</c:v>
                </c:pt>
                <c:pt idx="3">
                  <c:v>Shipped</c:v>
                </c:pt>
              </c:strCache>
            </c:strRef>
          </c:cat>
          <c:val>
            <c:numRef>
              <c:f>kpi!$I$22:$I$26</c:f>
              <c:numCache>
                <c:formatCode>0.0%</c:formatCode>
                <c:ptCount val="4"/>
                <c:pt idx="0">
                  <c:v>0.21839080459770116</c:v>
                </c:pt>
                <c:pt idx="1">
                  <c:v>0.30268199233716475</c:v>
                </c:pt>
                <c:pt idx="2">
                  <c:v>0.18773946360153257</c:v>
                </c:pt>
                <c:pt idx="3">
                  <c:v>0.29118773946360155</c:v>
                </c:pt>
              </c:numCache>
            </c:numRef>
          </c:val>
          <c:extLst>
            <c:ext xmlns:c16="http://schemas.microsoft.com/office/drawing/2014/chart" uri="{C3380CC4-5D6E-409C-BE32-E72D297353CC}">
              <c16:uniqueId val="{00000000-69A2-4640-979E-A6F7503ADA3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[Dashboard.xlsx]kpi!PivotTable11</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40924248640347"/>
          <c:y val="0.1499351010000276"/>
          <c:w val="0.64013545688207218"/>
          <c:h val="0.58719786677140517"/>
        </c:manualLayout>
      </c:layout>
      <c:barChart>
        <c:barDir val="col"/>
        <c:grouping val="clustered"/>
        <c:varyColors val="0"/>
        <c:ser>
          <c:idx val="0"/>
          <c:order val="0"/>
          <c:tx>
            <c:strRef>
              <c:f>kpi!$L$23:$L$24</c:f>
              <c:strCache>
                <c:ptCount val="1"/>
                <c:pt idx="0">
                  <c:v>Mobile App</c:v>
                </c:pt>
              </c:strCache>
            </c:strRef>
          </c:tx>
          <c:spPr>
            <a:solidFill>
              <a:schemeClr val="accent1"/>
            </a:solidFill>
            <a:ln>
              <a:noFill/>
            </a:ln>
            <a:effectLst/>
          </c:spPr>
          <c:invertIfNegative val="0"/>
          <c:cat>
            <c:strRef>
              <c:f>kpi!$K$25:$K$29</c:f>
              <c:strCache>
                <c:ptCount val="4"/>
                <c:pt idx="0">
                  <c:v>Card</c:v>
                </c:pt>
                <c:pt idx="1">
                  <c:v>Cash on Delivery</c:v>
                </c:pt>
                <c:pt idx="2">
                  <c:v>Net Banking</c:v>
                </c:pt>
                <c:pt idx="3">
                  <c:v>UPI</c:v>
                </c:pt>
              </c:strCache>
            </c:strRef>
          </c:cat>
          <c:val>
            <c:numRef>
              <c:f>kpi!$L$25:$L$29</c:f>
              <c:numCache>
                <c:formatCode>0.00%</c:formatCode>
                <c:ptCount val="4"/>
                <c:pt idx="0">
                  <c:v>0.10344827586206896</c:v>
                </c:pt>
                <c:pt idx="1">
                  <c:v>0.12643678160919541</c:v>
                </c:pt>
                <c:pt idx="2">
                  <c:v>0.18773946360153257</c:v>
                </c:pt>
                <c:pt idx="3">
                  <c:v>7.2796934865900387E-2</c:v>
                </c:pt>
              </c:numCache>
            </c:numRef>
          </c:val>
          <c:extLst>
            <c:ext xmlns:c16="http://schemas.microsoft.com/office/drawing/2014/chart" uri="{C3380CC4-5D6E-409C-BE32-E72D297353CC}">
              <c16:uniqueId val="{00000000-039C-4CD5-8FE3-40412F805ED0}"/>
            </c:ext>
          </c:extLst>
        </c:ser>
        <c:ser>
          <c:idx val="1"/>
          <c:order val="1"/>
          <c:tx>
            <c:strRef>
              <c:f>kpi!$M$23:$M$24</c:f>
              <c:strCache>
                <c:ptCount val="1"/>
                <c:pt idx="0">
                  <c:v>Website</c:v>
                </c:pt>
              </c:strCache>
            </c:strRef>
          </c:tx>
          <c:spPr>
            <a:solidFill>
              <a:schemeClr val="accent2"/>
            </a:solidFill>
            <a:ln>
              <a:noFill/>
            </a:ln>
            <a:effectLst/>
          </c:spPr>
          <c:invertIfNegative val="0"/>
          <c:cat>
            <c:strRef>
              <c:f>kpi!$K$25:$K$29</c:f>
              <c:strCache>
                <c:ptCount val="4"/>
                <c:pt idx="0">
                  <c:v>Card</c:v>
                </c:pt>
                <c:pt idx="1">
                  <c:v>Cash on Delivery</c:v>
                </c:pt>
                <c:pt idx="2">
                  <c:v>Net Banking</c:v>
                </c:pt>
                <c:pt idx="3">
                  <c:v>UPI</c:v>
                </c:pt>
              </c:strCache>
            </c:strRef>
          </c:cat>
          <c:val>
            <c:numRef>
              <c:f>kpi!$M$25:$M$29</c:f>
              <c:numCache>
                <c:formatCode>0.00%</c:formatCode>
                <c:ptCount val="4"/>
                <c:pt idx="0">
                  <c:v>0.18390804597701149</c:v>
                </c:pt>
                <c:pt idx="1">
                  <c:v>0.14559386973180077</c:v>
                </c:pt>
                <c:pt idx="2">
                  <c:v>0.11877394636015326</c:v>
                </c:pt>
                <c:pt idx="3">
                  <c:v>6.1302681992337162E-2</c:v>
                </c:pt>
              </c:numCache>
            </c:numRef>
          </c:val>
          <c:extLst>
            <c:ext xmlns:c16="http://schemas.microsoft.com/office/drawing/2014/chart" uri="{C3380CC4-5D6E-409C-BE32-E72D297353CC}">
              <c16:uniqueId val="{0000000B-039C-4CD5-8FE3-40412F805ED0}"/>
            </c:ext>
          </c:extLst>
        </c:ser>
        <c:dLbls>
          <c:showLegendKey val="0"/>
          <c:showVal val="0"/>
          <c:showCatName val="0"/>
          <c:showSerName val="0"/>
          <c:showPercent val="0"/>
          <c:showBubbleSize val="0"/>
        </c:dLbls>
        <c:gapWidth val="219"/>
        <c:overlap val="-27"/>
        <c:axId val="215691840"/>
        <c:axId val="2013416624"/>
      </c:barChart>
      <c:catAx>
        <c:axId val="215691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416624"/>
        <c:crosses val="autoZero"/>
        <c:auto val="1"/>
        <c:lblAlgn val="ctr"/>
        <c:lblOffset val="100"/>
        <c:noMultiLvlLbl val="0"/>
      </c:catAx>
      <c:valAx>
        <c:axId val="2013416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691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kpi!$M$34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kpi!$L$35:$L$37</c:f>
              <c:strCache>
                <c:ptCount val="2"/>
                <c:pt idx="0">
                  <c:v>Female</c:v>
                </c:pt>
                <c:pt idx="1">
                  <c:v>Male</c:v>
                </c:pt>
              </c:strCache>
            </c:strRef>
          </c:cat>
          <c:val>
            <c:numRef>
              <c:f>kpi!$M$35:$M$37</c:f>
              <c:numCache>
                <c:formatCode>0.0%</c:formatCode>
                <c:ptCount val="2"/>
                <c:pt idx="0">
                  <c:v>0.47929654910040093</c:v>
                </c:pt>
                <c:pt idx="1">
                  <c:v>0.52070345089959913</c:v>
                </c:pt>
              </c:numCache>
            </c:numRef>
          </c:val>
          <c:extLst>
            <c:ext xmlns:c16="http://schemas.microsoft.com/office/drawing/2014/chart" uri="{C3380CC4-5D6E-409C-BE32-E72D297353CC}">
              <c16:uniqueId val="{00000000-3B1B-477D-93B8-245224B55C0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kpi!$M$40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kpi!$L$41:$L$43</c:f>
              <c:strCache>
                <c:ptCount val="2"/>
                <c:pt idx="0">
                  <c:v>Mobile App</c:v>
                </c:pt>
                <c:pt idx="1">
                  <c:v>Website</c:v>
                </c:pt>
              </c:strCache>
            </c:strRef>
          </c:cat>
          <c:val>
            <c:numRef>
              <c:f>kpi!$M$41:$M$43</c:f>
              <c:numCache>
                <c:formatCode>0.0%</c:formatCode>
                <c:ptCount val="2"/>
                <c:pt idx="0">
                  <c:v>0.48218599887470515</c:v>
                </c:pt>
                <c:pt idx="1">
                  <c:v>0.51781400112529485</c:v>
                </c:pt>
              </c:numCache>
            </c:numRef>
          </c:val>
          <c:extLst>
            <c:ext xmlns:c16="http://schemas.microsoft.com/office/drawing/2014/chart" uri="{C3380CC4-5D6E-409C-BE32-E72D297353CC}">
              <c16:uniqueId val="{00000000-FF5F-4B1B-9BD5-DE85269E6F5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[Dashboard.xlsx]kpi!PivotTable12</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kpi!$I$30</c:f>
              <c:strCache>
                <c:ptCount val="1"/>
                <c:pt idx="0">
                  <c:v>Sum of TotalAmount</c:v>
                </c:pt>
              </c:strCache>
            </c:strRef>
          </c:tx>
          <c:spPr>
            <a:solidFill>
              <a:schemeClr val="accent1"/>
            </a:solidFill>
            <a:ln>
              <a:noFill/>
            </a:ln>
            <a:effectLst/>
          </c:spPr>
          <c:invertIfNegative val="0"/>
          <c:cat>
            <c:strRef>
              <c:f>kpi!$H$31:$H$32</c:f>
              <c:strCache>
                <c:ptCount val="1"/>
                <c:pt idx="0">
                  <c:v>Nike</c:v>
                </c:pt>
              </c:strCache>
            </c:strRef>
          </c:cat>
          <c:val>
            <c:numRef>
              <c:f>kpi!$I$31:$I$32</c:f>
              <c:numCache>
                <c:formatCode>General</c:formatCode>
                <c:ptCount val="1"/>
                <c:pt idx="0">
                  <c:v>8119400.5199999977</c:v>
                </c:pt>
              </c:numCache>
            </c:numRef>
          </c:val>
          <c:extLst>
            <c:ext xmlns:c16="http://schemas.microsoft.com/office/drawing/2014/chart" uri="{C3380CC4-5D6E-409C-BE32-E72D297353CC}">
              <c16:uniqueId val="{00000000-5283-436C-AA10-CD87DC6A4DCB}"/>
            </c:ext>
          </c:extLst>
        </c:ser>
        <c:dLbls>
          <c:showLegendKey val="0"/>
          <c:showVal val="0"/>
          <c:showCatName val="0"/>
          <c:showSerName val="0"/>
          <c:showPercent val="0"/>
          <c:showBubbleSize val="0"/>
        </c:dLbls>
        <c:gapWidth val="219"/>
        <c:overlap val="-27"/>
        <c:axId val="320950736"/>
        <c:axId val="1966539184"/>
      </c:barChart>
      <c:lineChart>
        <c:grouping val="standard"/>
        <c:varyColors val="0"/>
        <c:ser>
          <c:idx val="1"/>
          <c:order val="1"/>
          <c:tx>
            <c:strRef>
              <c:f>kpi!$J$30</c:f>
              <c:strCache>
                <c:ptCount val="1"/>
                <c:pt idx="0">
                  <c:v>Average of Rating</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kpi!$H$31:$H$32</c:f>
              <c:strCache>
                <c:ptCount val="1"/>
                <c:pt idx="0">
                  <c:v>Nike</c:v>
                </c:pt>
              </c:strCache>
            </c:strRef>
          </c:cat>
          <c:val>
            <c:numRef>
              <c:f>kpi!$J$31:$J$32</c:f>
              <c:numCache>
                <c:formatCode>0.0</c:formatCode>
                <c:ptCount val="1"/>
                <c:pt idx="0">
                  <c:v>3.1555555555555554</c:v>
                </c:pt>
              </c:numCache>
            </c:numRef>
          </c:val>
          <c:smooth val="0"/>
          <c:extLst>
            <c:ext xmlns:c16="http://schemas.microsoft.com/office/drawing/2014/chart" uri="{C3380CC4-5D6E-409C-BE32-E72D297353CC}">
              <c16:uniqueId val="{00000001-5283-436C-AA10-CD87DC6A4DCB}"/>
            </c:ext>
          </c:extLst>
        </c:ser>
        <c:dLbls>
          <c:showLegendKey val="0"/>
          <c:showVal val="0"/>
          <c:showCatName val="0"/>
          <c:showSerName val="0"/>
          <c:showPercent val="0"/>
          <c:showBubbleSize val="0"/>
        </c:dLbls>
        <c:marker val="1"/>
        <c:smooth val="0"/>
        <c:axId val="215727568"/>
        <c:axId val="1972463472"/>
      </c:lineChart>
      <c:catAx>
        <c:axId val="32095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6539184"/>
        <c:crosses val="autoZero"/>
        <c:auto val="1"/>
        <c:lblAlgn val="ctr"/>
        <c:lblOffset val="100"/>
        <c:noMultiLvlLbl val="0"/>
      </c:catAx>
      <c:valAx>
        <c:axId val="1966539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0950736"/>
        <c:crosses val="autoZero"/>
        <c:crossBetween val="between"/>
      </c:valAx>
      <c:valAx>
        <c:axId val="1972463472"/>
        <c:scaling>
          <c:orientation val="minMax"/>
        </c:scaling>
        <c:delete val="0"/>
        <c:axPos val="r"/>
        <c:numFmt formatCode="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5727568"/>
        <c:crosses val="max"/>
        <c:crossBetween val="between"/>
      </c:valAx>
      <c:catAx>
        <c:axId val="215727568"/>
        <c:scaling>
          <c:orientation val="minMax"/>
        </c:scaling>
        <c:delete val="1"/>
        <c:axPos val="b"/>
        <c:numFmt formatCode="General" sourceLinked="1"/>
        <c:majorTickMark val="out"/>
        <c:minorTickMark val="none"/>
        <c:tickLblPos val="nextTo"/>
        <c:crossAx val="1972463472"/>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[Dashboard.xlsx]kpi!PivotTable7</c:name>
    <c:fmtId val="19"/>
  </c:pivotSource>
  <c:chart>
    <c:title>
      <c:tx>
        <c:strRef>
          <c:f>kpi!$O$4</c:f>
          <c:strCache>
            <c:ptCount val="1"/>
            <c:pt idx="0">
              <c:v>8119400.52</c:v>
            </c:pt>
          </c:strCache>
        </c:strRef>
      </c:tx>
      <c:layout>
        <c:manualLayout>
          <c:xMode val="edge"/>
          <c:yMode val="edge"/>
          <c:x val="0.28720531453910875"/>
          <c:y val="2.857142857142857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dk1"/>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kpi!$O$4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kpi!$O$4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kpi!$O$4</c:f>
              <c:numCache>
                <c:formatCode>0.00%</c:formatCode>
                <c:ptCount val="12"/>
                <c:pt idx="0">
                  <c:v>7.6969454636535151E-2</c:v>
                </c:pt>
                <c:pt idx="1">
                  <c:v>3.9377960135411574E-2</c:v>
                </c:pt>
                <c:pt idx="2">
                  <c:v>0.12135844605433999</c:v>
                </c:pt>
                <c:pt idx="3">
                  <c:v>8.0488241513672731E-2</c:v>
                </c:pt>
                <c:pt idx="4">
                  <c:v>7.4206452621209049E-2</c:v>
                </c:pt>
                <c:pt idx="5">
                  <c:v>5.0755653571330411E-2</c:v>
                </c:pt>
                <c:pt idx="6">
                  <c:v>7.2623838243663835E-2</c:v>
                </c:pt>
                <c:pt idx="7">
                  <c:v>6.722245671408264E-2</c:v>
                </c:pt>
                <c:pt idx="8">
                  <c:v>4.6712826774063368E-2</c:v>
                </c:pt>
                <c:pt idx="9">
                  <c:v>0.16754745090466358</c:v>
                </c:pt>
                <c:pt idx="10">
                  <c:v>7.7016179761015158E-2</c:v>
                </c:pt>
                <c:pt idx="11">
                  <c:v>0.12572103907001253</c:v>
                </c:pt>
              </c:numCache>
            </c:numRef>
          </c:val>
          <c:extLst>
            <c:ext xmlns:c16="http://schemas.microsoft.com/office/drawing/2014/chart" uri="{C3380CC4-5D6E-409C-BE32-E72D297353CC}">
              <c16:uniqueId val="{00000000-2C95-4290-8058-F889CC96F422}"/>
            </c:ext>
          </c:extLst>
        </c:ser>
        <c:dLbls>
          <c:dLblPos val="outEnd"/>
          <c:showLegendKey val="0"/>
          <c:showVal val="0"/>
          <c:showCatName val="0"/>
          <c:showSerName val="0"/>
          <c:showPercent val="0"/>
          <c:showBubbleSize val="0"/>
        </c:dLbls>
        <c:gapWidth val="150"/>
        <c:axId val="215627808"/>
        <c:axId val="1972467312"/>
      </c:barChart>
      <c:catAx>
        <c:axId val="2156278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972467312"/>
        <c:crosses val="autoZero"/>
        <c:auto val="1"/>
        <c:lblAlgn val="ctr"/>
        <c:lblOffset val="100"/>
        <c:noMultiLvlLbl val="0"/>
      </c:catAx>
      <c:valAx>
        <c:axId val="197246731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562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nchor="ctr" anchorCtr="1"/>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[Dashboard.xlsx]kpi!totalprice</c:name>
    <c:fmtId val="15"/>
  </c:pivotSource>
  <c:chart>
    <c:autoTitleDeleted val="1"/>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rgbClr val="00206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1"/>
          <c:order val="1"/>
          <c:tx>
            <c:strRef>
              <c:f>kpi!$C$3</c:f>
              <c:strCache>
                <c:ptCount val="1"/>
                <c:pt idx="0">
                  <c:v>Sum of TotalAmount</c:v>
                </c:pt>
              </c:strCache>
            </c:strRef>
          </c:tx>
          <c:spPr>
            <a:solidFill>
              <a:schemeClr val="accent2"/>
            </a:solidFill>
            <a:ln>
              <a:noFill/>
            </a:ln>
            <a:effectLst/>
          </c:spPr>
          <c:invertIfNegative val="0"/>
          <c:cat>
            <c:strRef>
              <c:f>kpi!$A$4:$A$7</c:f>
              <c:strCache>
                <c:ptCount val="3"/>
                <c:pt idx="0">
                  <c:v>Accessories</c:v>
                </c:pt>
                <c:pt idx="1">
                  <c:v>Electronics</c:v>
                </c:pt>
                <c:pt idx="2">
                  <c:v>Fashion</c:v>
                </c:pt>
              </c:strCache>
            </c:strRef>
          </c:cat>
          <c:val>
            <c:numRef>
              <c:f>kpi!$C$4:$C$7</c:f>
              <c:numCache>
                <c:formatCode>General</c:formatCode>
                <c:ptCount val="3"/>
                <c:pt idx="0">
                  <c:v>583097.55999999994</c:v>
                </c:pt>
                <c:pt idx="1">
                  <c:v>5815926.5299999993</c:v>
                </c:pt>
                <c:pt idx="2">
                  <c:v>1720376.4300000002</c:v>
                </c:pt>
              </c:numCache>
            </c:numRef>
          </c:val>
          <c:extLst>
            <c:ext xmlns:c16="http://schemas.microsoft.com/office/drawing/2014/chart" uri="{C3380CC4-5D6E-409C-BE32-E72D297353CC}">
              <c16:uniqueId val="{00000000-B787-4034-8650-AD68119DF2BD}"/>
            </c:ext>
          </c:extLst>
        </c:ser>
        <c:dLbls>
          <c:showLegendKey val="0"/>
          <c:showVal val="0"/>
          <c:showCatName val="0"/>
          <c:showSerName val="0"/>
          <c:showPercent val="0"/>
          <c:showBubbleSize val="0"/>
        </c:dLbls>
        <c:gapWidth val="75"/>
        <c:axId val="78593456"/>
        <c:axId val="1972428912"/>
      </c:barChart>
      <c:lineChart>
        <c:grouping val="stacked"/>
        <c:varyColors val="0"/>
        <c:ser>
          <c:idx val="0"/>
          <c:order val="0"/>
          <c:tx>
            <c:strRef>
              <c:f>kpi!$B$3</c:f>
              <c:strCache>
                <c:ptCount val="1"/>
                <c:pt idx="0">
                  <c:v>Sum of Quantity</c:v>
                </c:pt>
              </c:strCache>
            </c:strRef>
          </c:tx>
          <c:spPr>
            <a:ln w="28575" cap="rnd">
              <a:solidFill>
                <a:schemeClr val="accent1"/>
              </a:solidFill>
              <a:round/>
            </a:ln>
            <a:effectLst/>
          </c:spPr>
          <c:marker>
            <c:symbol val="circle"/>
            <c:size val="5"/>
            <c:spPr>
              <a:solidFill>
                <a:srgbClr val="00206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kpi!$A$4:$A$7</c:f>
              <c:strCache>
                <c:ptCount val="3"/>
                <c:pt idx="0">
                  <c:v>Accessories</c:v>
                </c:pt>
                <c:pt idx="1">
                  <c:v>Electronics</c:v>
                </c:pt>
                <c:pt idx="2">
                  <c:v>Fashion</c:v>
                </c:pt>
              </c:strCache>
            </c:strRef>
          </c:cat>
          <c:val>
            <c:numRef>
              <c:f>kpi!$B$4:$B$7</c:f>
              <c:numCache>
                <c:formatCode>General</c:formatCode>
                <c:ptCount val="3"/>
                <c:pt idx="0">
                  <c:v>16</c:v>
                </c:pt>
                <c:pt idx="1">
                  <c:v>191</c:v>
                </c:pt>
                <c:pt idx="2">
                  <c:v>54</c:v>
                </c:pt>
              </c:numCache>
            </c:numRef>
          </c:val>
          <c:smooth val="0"/>
          <c:extLst>
            <c:ext xmlns:c16="http://schemas.microsoft.com/office/drawing/2014/chart" uri="{C3380CC4-5D6E-409C-BE32-E72D297353CC}">
              <c16:uniqueId val="{00000001-B787-4034-8650-AD68119DF2BD}"/>
            </c:ext>
          </c:extLst>
        </c:ser>
        <c:dLbls>
          <c:showLegendKey val="0"/>
          <c:showVal val="0"/>
          <c:showCatName val="0"/>
          <c:showSerName val="0"/>
          <c:showPercent val="0"/>
          <c:showBubbleSize val="0"/>
        </c:dLbls>
        <c:marker val="1"/>
        <c:smooth val="0"/>
        <c:axId val="75415344"/>
        <c:axId val="2082775088"/>
      </c:lineChart>
      <c:catAx>
        <c:axId val="78593456"/>
        <c:scaling>
          <c:orientation val="minMax"/>
        </c:scaling>
        <c:delete val="0"/>
        <c:axPos val="b"/>
        <c:numFmt formatCode="General" sourceLinked="1"/>
        <c:majorTickMark val="none"/>
        <c:minorTickMark val="none"/>
        <c:tickLblPos val="nextTo"/>
        <c:spPr>
          <a:solidFill>
            <a:schemeClr val="tx1">
              <a:lumMod val="75000"/>
              <a:lumOff val="25000"/>
            </a:schemeClr>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72428912"/>
        <c:crosses val="autoZero"/>
        <c:auto val="1"/>
        <c:lblAlgn val="ctr"/>
        <c:lblOffset val="100"/>
        <c:noMultiLvlLbl val="0"/>
      </c:catAx>
      <c:valAx>
        <c:axId val="1972428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effectLst>
                  <a:outerShdw blurRad="50800" dist="50800" dir="5400000" sx="3000" sy="3000" algn="ctr" rotWithShape="0">
                    <a:schemeClr val="tx1">
                      <a:alpha val="43000"/>
                    </a:schemeClr>
                  </a:outerShdw>
                </a:effectLst>
                <a:latin typeface="+mn-lt"/>
                <a:ea typeface="+mn-ea"/>
                <a:cs typeface="+mn-cs"/>
              </a:defRPr>
            </a:pPr>
            <a:endParaRPr lang="en-US"/>
          </a:p>
        </c:txPr>
        <c:crossAx val="78593456"/>
        <c:crosses val="autoZero"/>
        <c:crossBetween val="between"/>
      </c:valAx>
      <c:valAx>
        <c:axId val="208277508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5415344"/>
        <c:crosses val="max"/>
        <c:crossBetween val="between"/>
      </c:valAx>
      <c:catAx>
        <c:axId val="75415344"/>
        <c:scaling>
          <c:orientation val="minMax"/>
        </c:scaling>
        <c:delete val="1"/>
        <c:axPos val="b"/>
        <c:numFmt formatCode="General" sourceLinked="1"/>
        <c:majorTickMark val="out"/>
        <c:minorTickMark val="none"/>
        <c:tickLblPos val="nextTo"/>
        <c:crossAx val="20827750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alpha val="50000"/>
      </a:schemeClr>
    </a:solidFill>
    <a:ln w="9525" cap="flat" cmpd="sng" algn="ctr">
      <a:noFill/>
      <a:round/>
    </a:ln>
    <a:effectLst/>
  </c:spPr>
  <c:txPr>
    <a:bodyPr/>
    <a:lstStyle/>
    <a:p>
      <a:pPr>
        <a:defRPr>
          <a:solidFill>
            <a:schemeClr val="lt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[Dashboard.xlsx]kpi!PivotTable6</c:name>
    <c:fmtId val="18"/>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2"/>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2"/>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2"/>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kpi!$J$46:$J$47</c:f>
              <c:strCache>
                <c:ptCount val="1"/>
                <c:pt idx="0">
                  <c:v>Accessories</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kpi!$I$48:$I$83</c:f>
              <c:strCache>
                <c:ptCount val="35"/>
                <c:pt idx="0">
                  <c:v>18</c:v>
                </c:pt>
                <c:pt idx="1">
                  <c:v>19</c:v>
                </c:pt>
                <c:pt idx="2">
                  <c:v>22</c:v>
                </c:pt>
                <c:pt idx="3">
                  <c:v>23</c:v>
                </c:pt>
                <c:pt idx="4">
                  <c:v>24</c:v>
                </c:pt>
                <c:pt idx="5">
                  <c:v>25</c:v>
                </c:pt>
                <c:pt idx="6">
                  <c:v>27</c:v>
                </c:pt>
                <c:pt idx="7">
                  <c:v>28</c:v>
                </c:pt>
                <c:pt idx="8">
                  <c:v>29</c:v>
                </c:pt>
                <c:pt idx="9">
                  <c:v>30</c:v>
                </c:pt>
                <c:pt idx="10">
                  <c:v>31</c:v>
                </c:pt>
                <c:pt idx="11">
                  <c:v>32</c:v>
                </c:pt>
                <c:pt idx="12">
                  <c:v>33</c:v>
                </c:pt>
                <c:pt idx="13">
                  <c:v>34</c:v>
                </c:pt>
                <c:pt idx="14">
                  <c:v>35</c:v>
                </c:pt>
                <c:pt idx="15">
                  <c:v>37</c:v>
                </c:pt>
                <c:pt idx="16">
                  <c:v>39</c:v>
                </c:pt>
                <c:pt idx="17">
                  <c:v>40</c:v>
                </c:pt>
                <c:pt idx="18">
                  <c:v>41</c:v>
                </c:pt>
                <c:pt idx="19">
                  <c:v>42</c:v>
                </c:pt>
                <c:pt idx="20">
                  <c:v>43</c:v>
                </c:pt>
                <c:pt idx="21">
                  <c:v>44</c:v>
                </c:pt>
                <c:pt idx="22">
                  <c:v>45</c:v>
                </c:pt>
                <c:pt idx="23">
                  <c:v>47</c:v>
                </c:pt>
                <c:pt idx="24">
                  <c:v>49</c:v>
                </c:pt>
                <c:pt idx="25">
                  <c:v>50</c:v>
                </c:pt>
                <c:pt idx="26">
                  <c:v>52</c:v>
                </c:pt>
                <c:pt idx="27">
                  <c:v>53</c:v>
                </c:pt>
                <c:pt idx="28">
                  <c:v>54</c:v>
                </c:pt>
                <c:pt idx="29">
                  <c:v>55</c:v>
                </c:pt>
                <c:pt idx="30">
                  <c:v>56</c:v>
                </c:pt>
                <c:pt idx="31">
                  <c:v>57</c:v>
                </c:pt>
                <c:pt idx="32">
                  <c:v>58</c:v>
                </c:pt>
                <c:pt idx="33">
                  <c:v>59</c:v>
                </c:pt>
                <c:pt idx="34">
                  <c:v>60</c:v>
                </c:pt>
              </c:strCache>
            </c:strRef>
          </c:cat>
          <c:val>
            <c:numRef>
              <c:f>kpi!$J$48:$J$83</c:f>
              <c:numCache>
                <c:formatCode>General</c:formatCode>
                <c:ptCount val="35"/>
                <c:pt idx="1">
                  <c:v>3</c:v>
                </c:pt>
                <c:pt idx="5">
                  <c:v>5</c:v>
                </c:pt>
                <c:pt idx="9">
                  <c:v>1</c:v>
                </c:pt>
                <c:pt idx="11">
                  <c:v>3</c:v>
                </c:pt>
                <c:pt idx="25">
                  <c:v>4</c:v>
                </c:pt>
              </c:numCache>
            </c:numRef>
          </c:val>
          <c:smooth val="0"/>
          <c:extLst>
            <c:ext xmlns:c16="http://schemas.microsoft.com/office/drawing/2014/chart" uri="{C3380CC4-5D6E-409C-BE32-E72D297353CC}">
              <c16:uniqueId val="{00000000-E545-417E-8ABB-B8DF4F086981}"/>
            </c:ext>
          </c:extLst>
        </c:ser>
        <c:ser>
          <c:idx val="1"/>
          <c:order val="1"/>
          <c:tx>
            <c:strRef>
              <c:f>kpi!$K$46:$K$47</c:f>
              <c:strCache>
                <c:ptCount val="1"/>
                <c:pt idx="0">
                  <c:v>Electronics</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kpi!$I$48:$I$83</c:f>
              <c:strCache>
                <c:ptCount val="35"/>
                <c:pt idx="0">
                  <c:v>18</c:v>
                </c:pt>
                <c:pt idx="1">
                  <c:v>19</c:v>
                </c:pt>
                <c:pt idx="2">
                  <c:v>22</c:v>
                </c:pt>
                <c:pt idx="3">
                  <c:v>23</c:v>
                </c:pt>
                <c:pt idx="4">
                  <c:v>24</c:v>
                </c:pt>
                <c:pt idx="5">
                  <c:v>25</c:v>
                </c:pt>
                <c:pt idx="6">
                  <c:v>27</c:v>
                </c:pt>
                <c:pt idx="7">
                  <c:v>28</c:v>
                </c:pt>
                <c:pt idx="8">
                  <c:v>29</c:v>
                </c:pt>
                <c:pt idx="9">
                  <c:v>30</c:v>
                </c:pt>
                <c:pt idx="10">
                  <c:v>31</c:v>
                </c:pt>
                <c:pt idx="11">
                  <c:v>32</c:v>
                </c:pt>
                <c:pt idx="12">
                  <c:v>33</c:v>
                </c:pt>
                <c:pt idx="13">
                  <c:v>34</c:v>
                </c:pt>
                <c:pt idx="14">
                  <c:v>35</c:v>
                </c:pt>
                <c:pt idx="15">
                  <c:v>37</c:v>
                </c:pt>
                <c:pt idx="16">
                  <c:v>39</c:v>
                </c:pt>
                <c:pt idx="17">
                  <c:v>40</c:v>
                </c:pt>
                <c:pt idx="18">
                  <c:v>41</c:v>
                </c:pt>
                <c:pt idx="19">
                  <c:v>42</c:v>
                </c:pt>
                <c:pt idx="20">
                  <c:v>43</c:v>
                </c:pt>
                <c:pt idx="21">
                  <c:v>44</c:v>
                </c:pt>
                <c:pt idx="22">
                  <c:v>45</c:v>
                </c:pt>
                <c:pt idx="23">
                  <c:v>47</c:v>
                </c:pt>
                <c:pt idx="24">
                  <c:v>49</c:v>
                </c:pt>
                <c:pt idx="25">
                  <c:v>50</c:v>
                </c:pt>
                <c:pt idx="26">
                  <c:v>52</c:v>
                </c:pt>
                <c:pt idx="27">
                  <c:v>53</c:v>
                </c:pt>
                <c:pt idx="28">
                  <c:v>54</c:v>
                </c:pt>
                <c:pt idx="29">
                  <c:v>55</c:v>
                </c:pt>
                <c:pt idx="30">
                  <c:v>56</c:v>
                </c:pt>
                <c:pt idx="31">
                  <c:v>57</c:v>
                </c:pt>
                <c:pt idx="32">
                  <c:v>58</c:v>
                </c:pt>
                <c:pt idx="33">
                  <c:v>59</c:v>
                </c:pt>
                <c:pt idx="34">
                  <c:v>60</c:v>
                </c:pt>
              </c:strCache>
            </c:strRef>
          </c:cat>
          <c:val>
            <c:numRef>
              <c:f>kpi!$K$48:$K$83</c:f>
              <c:numCache>
                <c:formatCode>General</c:formatCode>
                <c:ptCount val="35"/>
                <c:pt idx="0">
                  <c:v>5</c:v>
                </c:pt>
                <c:pt idx="1">
                  <c:v>6</c:v>
                </c:pt>
                <c:pt idx="2">
                  <c:v>4</c:v>
                </c:pt>
                <c:pt idx="3">
                  <c:v>4</c:v>
                </c:pt>
                <c:pt idx="4">
                  <c:v>6</c:v>
                </c:pt>
                <c:pt idx="5">
                  <c:v>3</c:v>
                </c:pt>
                <c:pt idx="6">
                  <c:v>9</c:v>
                </c:pt>
                <c:pt idx="7">
                  <c:v>13</c:v>
                </c:pt>
                <c:pt idx="8">
                  <c:v>13</c:v>
                </c:pt>
                <c:pt idx="9">
                  <c:v>6</c:v>
                </c:pt>
                <c:pt idx="11">
                  <c:v>4</c:v>
                </c:pt>
                <c:pt idx="12">
                  <c:v>6</c:v>
                </c:pt>
                <c:pt idx="13">
                  <c:v>14</c:v>
                </c:pt>
                <c:pt idx="14">
                  <c:v>3</c:v>
                </c:pt>
                <c:pt idx="15">
                  <c:v>8</c:v>
                </c:pt>
                <c:pt idx="17">
                  <c:v>3</c:v>
                </c:pt>
                <c:pt idx="18">
                  <c:v>3</c:v>
                </c:pt>
                <c:pt idx="19">
                  <c:v>2</c:v>
                </c:pt>
                <c:pt idx="20">
                  <c:v>2</c:v>
                </c:pt>
                <c:pt idx="21">
                  <c:v>6</c:v>
                </c:pt>
                <c:pt idx="22">
                  <c:v>1</c:v>
                </c:pt>
                <c:pt idx="23">
                  <c:v>9</c:v>
                </c:pt>
                <c:pt idx="25">
                  <c:v>2</c:v>
                </c:pt>
                <c:pt idx="26">
                  <c:v>8</c:v>
                </c:pt>
                <c:pt idx="27">
                  <c:v>1</c:v>
                </c:pt>
                <c:pt idx="28">
                  <c:v>5</c:v>
                </c:pt>
                <c:pt idx="29">
                  <c:v>10</c:v>
                </c:pt>
                <c:pt idx="30">
                  <c:v>5</c:v>
                </c:pt>
                <c:pt idx="31">
                  <c:v>10</c:v>
                </c:pt>
                <c:pt idx="32">
                  <c:v>8</c:v>
                </c:pt>
                <c:pt idx="33">
                  <c:v>7</c:v>
                </c:pt>
                <c:pt idx="34">
                  <c:v>5</c:v>
                </c:pt>
              </c:numCache>
            </c:numRef>
          </c:val>
          <c:smooth val="0"/>
          <c:extLst>
            <c:ext xmlns:c16="http://schemas.microsoft.com/office/drawing/2014/chart" uri="{C3380CC4-5D6E-409C-BE32-E72D297353CC}">
              <c16:uniqueId val="{00000006-E545-417E-8ABB-B8DF4F086981}"/>
            </c:ext>
          </c:extLst>
        </c:ser>
        <c:ser>
          <c:idx val="2"/>
          <c:order val="2"/>
          <c:tx>
            <c:strRef>
              <c:f>kpi!$L$46:$L$47</c:f>
              <c:strCache>
                <c:ptCount val="1"/>
                <c:pt idx="0">
                  <c:v>Fashion</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cat>
            <c:strRef>
              <c:f>kpi!$I$48:$I$83</c:f>
              <c:strCache>
                <c:ptCount val="35"/>
                <c:pt idx="0">
                  <c:v>18</c:v>
                </c:pt>
                <c:pt idx="1">
                  <c:v>19</c:v>
                </c:pt>
                <c:pt idx="2">
                  <c:v>22</c:v>
                </c:pt>
                <c:pt idx="3">
                  <c:v>23</c:v>
                </c:pt>
                <c:pt idx="4">
                  <c:v>24</c:v>
                </c:pt>
                <c:pt idx="5">
                  <c:v>25</c:v>
                </c:pt>
                <c:pt idx="6">
                  <c:v>27</c:v>
                </c:pt>
                <c:pt idx="7">
                  <c:v>28</c:v>
                </c:pt>
                <c:pt idx="8">
                  <c:v>29</c:v>
                </c:pt>
                <c:pt idx="9">
                  <c:v>30</c:v>
                </c:pt>
                <c:pt idx="10">
                  <c:v>31</c:v>
                </c:pt>
                <c:pt idx="11">
                  <c:v>32</c:v>
                </c:pt>
                <c:pt idx="12">
                  <c:v>33</c:v>
                </c:pt>
                <c:pt idx="13">
                  <c:v>34</c:v>
                </c:pt>
                <c:pt idx="14">
                  <c:v>35</c:v>
                </c:pt>
                <c:pt idx="15">
                  <c:v>37</c:v>
                </c:pt>
                <c:pt idx="16">
                  <c:v>39</c:v>
                </c:pt>
                <c:pt idx="17">
                  <c:v>40</c:v>
                </c:pt>
                <c:pt idx="18">
                  <c:v>41</c:v>
                </c:pt>
                <c:pt idx="19">
                  <c:v>42</c:v>
                </c:pt>
                <c:pt idx="20">
                  <c:v>43</c:v>
                </c:pt>
                <c:pt idx="21">
                  <c:v>44</c:v>
                </c:pt>
                <c:pt idx="22">
                  <c:v>45</c:v>
                </c:pt>
                <c:pt idx="23">
                  <c:v>47</c:v>
                </c:pt>
                <c:pt idx="24">
                  <c:v>49</c:v>
                </c:pt>
                <c:pt idx="25">
                  <c:v>50</c:v>
                </c:pt>
                <c:pt idx="26">
                  <c:v>52</c:v>
                </c:pt>
                <c:pt idx="27">
                  <c:v>53</c:v>
                </c:pt>
                <c:pt idx="28">
                  <c:v>54</c:v>
                </c:pt>
                <c:pt idx="29">
                  <c:v>55</c:v>
                </c:pt>
                <c:pt idx="30">
                  <c:v>56</c:v>
                </c:pt>
                <c:pt idx="31">
                  <c:v>57</c:v>
                </c:pt>
                <c:pt idx="32">
                  <c:v>58</c:v>
                </c:pt>
                <c:pt idx="33">
                  <c:v>59</c:v>
                </c:pt>
                <c:pt idx="34">
                  <c:v>60</c:v>
                </c:pt>
              </c:strCache>
            </c:strRef>
          </c:cat>
          <c:val>
            <c:numRef>
              <c:f>kpi!$L$48:$L$83</c:f>
              <c:numCache>
                <c:formatCode>General</c:formatCode>
                <c:ptCount val="35"/>
                <c:pt idx="1">
                  <c:v>2</c:v>
                </c:pt>
                <c:pt idx="3">
                  <c:v>6</c:v>
                </c:pt>
                <c:pt idx="4">
                  <c:v>2</c:v>
                </c:pt>
                <c:pt idx="5">
                  <c:v>5</c:v>
                </c:pt>
                <c:pt idx="9">
                  <c:v>5</c:v>
                </c:pt>
                <c:pt idx="10">
                  <c:v>2</c:v>
                </c:pt>
                <c:pt idx="12">
                  <c:v>2</c:v>
                </c:pt>
                <c:pt idx="16">
                  <c:v>4</c:v>
                </c:pt>
                <c:pt idx="18">
                  <c:v>2</c:v>
                </c:pt>
                <c:pt idx="19">
                  <c:v>1</c:v>
                </c:pt>
                <c:pt idx="20">
                  <c:v>2</c:v>
                </c:pt>
                <c:pt idx="23">
                  <c:v>1</c:v>
                </c:pt>
                <c:pt idx="24">
                  <c:v>2</c:v>
                </c:pt>
                <c:pt idx="31">
                  <c:v>10</c:v>
                </c:pt>
                <c:pt idx="32">
                  <c:v>3</c:v>
                </c:pt>
                <c:pt idx="33">
                  <c:v>3</c:v>
                </c:pt>
                <c:pt idx="34">
                  <c:v>2</c:v>
                </c:pt>
              </c:numCache>
            </c:numRef>
          </c:val>
          <c:smooth val="0"/>
          <c:extLst>
            <c:ext xmlns:c16="http://schemas.microsoft.com/office/drawing/2014/chart" uri="{C3380CC4-5D6E-409C-BE32-E72D297353CC}">
              <c16:uniqueId val="{00000009-E545-417E-8ABB-B8DF4F086981}"/>
            </c:ext>
          </c:extLst>
        </c:ser>
        <c:dLbls>
          <c:showLegendKey val="0"/>
          <c:showVal val="0"/>
          <c:showCatName val="0"/>
          <c:showSerName val="0"/>
          <c:showPercent val="0"/>
          <c:showBubbleSize val="0"/>
        </c:dLbls>
        <c:marker val="1"/>
        <c:smooth val="0"/>
        <c:axId val="184809152"/>
        <c:axId val="2013411344"/>
      </c:lineChart>
      <c:catAx>
        <c:axId val="184809152"/>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Age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2013411344"/>
        <c:crosses val="autoZero"/>
        <c:auto val="1"/>
        <c:lblAlgn val="ctr"/>
        <c:lblOffset val="100"/>
        <c:noMultiLvlLbl val="0"/>
      </c:catAx>
      <c:valAx>
        <c:axId val="2013411344"/>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Total Quantity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8480915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[Dashboard.xlsx]kpi!PivotTable11</c:name>
    <c:fmtId val="1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kpi!$L$23:$L$24</c:f>
              <c:strCache>
                <c:ptCount val="1"/>
                <c:pt idx="0">
                  <c:v>Mobile App</c:v>
                </c:pt>
              </c:strCache>
            </c:strRef>
          </c:tx>
          <c:spPr>
            <a:solidFill>
              <a:schemeClr val="accent2">
                <a:shade val="76000"/>
              </a:schemeClr>
            </a:solidFill>
            <a:ln>
              <a:noFill/>
            </a:ln>
            <a:effectLst/>
          </c:spPr>
          <c:invertIfNegative val="0"/>
          <c:cat>
            <c:strRef>
              <c:f>kpi!$K$25:$K$29</c:f>
              <c:strCache>
                <c:ptCount val="4"/>
                <c:pt idx="0">
                  <c:v>Card</c:v>
                </c:pt>
                <c:pt idx="1">
                  <c:v>Cash on Delivery</c:v>
                </c:pt>
                <c:pt idx="2">
                  <c:v>Net Banking</c:v>
                </c:pt>
                <c:pt idx="3">
                  <c:v>UPI</c:v>
                </c:pt>
              </c:strCache>
            </c:strRef>
          </c:cat>
          <c:val>
            <c:numRef>
              <c:f>kpi!$L$25:$L$29</c:f>
              <c:numCache>
                <c:formatCode>0.00%</c:formatCode>
                <c:ptCount val="4"/>
                <c:pt idx="0">
                  <c:v>0.10344827586206896</c:v>
                </c:pt>
                <c:pt idx="1">
                  <c:v>0.12643678160919541</c:v>
                </c:pt>
                <c:pt idx="2">
                  <c:v>0.18773946360153257</c:v>
                </c:pt>
                <c:pt idx="3">
                  <c:v>7.2796934865900387E-2</c:v>
                </c:pt>
              </c:numCache>
            </c:numRef>
          </c:val>
          <c:extLst>
            <c:ext xmlns:c16="http://schemas.microsoft.com/office/drawing/2014/chart" uri="{C3380CC4-5D6E-409C-BE32-E72D297353CC}">
              <c16:uniqueId val="{00000000-E741-4EDB-BD12-BC9981786539}"/>
            </c:ext>
          </c:extLst>
        </c:ser>
        <c:ser>
          <c:idx val="1"/>
          <c:order val="1"/>
          <c:tx>
            <c:strRef>
              <c:f>kpi!$M$23:$M$24</c:f>
              <c:strCache>
                <c:ptCount val="1"/>
                <c:pt idx="0">
                  <c:v>Website</c:v>
                </c:pt>
              </c:strCache>
            </c:strRef>
          </c:tx>
          <c:spPr>
            <a:solidFill>
              <a:schemeClr val="accent2">
                <a:tint val="77000"/>
              </a:schemeClr>
            </a:solidFill>
            <a:ln>
              <a:noFill/>
            </a:ln>
            <a:effectLst/>
          </c:spPr>
          <c:invertIfNegative val="0"/>
          <c:cat>
            <c:strRef>
              <c:f>kpi!$K$25:$K$29</c:f>
              <c:strCache>
                <c:ptCount val="4"/>
                <c:pt idx="0">
                  <c:v>Card</c:v>
                </c:pt>
                <c:pt idx="1">
                  <c:v>Cash on Delivery</c:v>
                </c:pt>
                <c:pt idx="2">
                  <c:v>Net Banking</c:v>
                </c:pt>
                <c:pt idx="3">
                  <c:v>UPI</c:v>
                </c:pt>
              </c:strCache>
            </c:strRef>
          </c:cat>
          <c:val>
            <c:numRef>
              <c:f>kpi!$M$25:$M$29</c:f>
              <c:numCache>
                <c:formatCode>0.00%</c:formatCode>
                <c:ptCount val="4"/>
                <c:pt idx="0">
                  <c:v>0.18390804597701149</c:v>
                </c:pt>
                <c:pt idx="1">
                  <c:v>0.14559386973180077</c:v>
                </c:pt>
                <c:pt idx="2">
                  <c:v>0.11877394636015326</c:v>
                </c:pt>
                <c:pt idx="3">
                  <c:v>6.1302681992337162E-2</c:v>
                </c:pt>
              </c:numCache>
            </c:numRef>
          </c:val>
          <c:extLst>
            <c:ext xmlns:c16="http://schemas.microsoft.com/office/drawing/2014/chart" uri="{C3380CC4-5D6E-409C-BE32-E72D297353CC}">
              <c16:uniqueId val="{00000004-E741-4EDB-BD12-BC9981786539}"/>
            </c:ext>
          </c:extLst>
        </c:ser>
        <c:dLbls>
          <c:dLblPos val="outEnd"/>
          <c:showLegendKey val="0"/>
          <c:showVal val="0"/>
          <c:showCatName val="0"/>
          <c:showSerName val="0"/>
          <c:showPercent val="0"/>
          <c:showBubbleSize val="0"/>
        </c:dLbls>
        <c:gapWidth val="75"/>
        <c:axId val="215691840"/>
        <c:axId val="2013416624"/>
      </c:barChart>
      <c:catAx>
        <c:axId val="215691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013416624"/>
        <c:crosses val="autoZero"/>
        <c:auto val="1"/>
        <c:lblAlgn val="ctr"/>
        <c:lblOffset val="100"/>
        <c:noMultiLvlLbl val="0"/>
      </c:catAx>
      <c:valAx>
        <c:axId val="2013416624"/>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21569184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[Dashboard.xlsx]kpi!PivotTable2</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a:gsLst>
              <a:gs pos="100000">
                <a:schemeClr val="accent2">
                  <a:lumMod val="60000"/>
                  <a:lumOff val="40000"/>
                </a:schemeClr>
              </a:gs>
              <a:gs pos="0">
                <a:schemeClr val="accent2"/>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2">
                  <a:shade val="76000"/>
                  <a:lumMod val="60000"/>
                  <a:lumOff val="40000"/>
                </a:schemeClr>
              </a:gs>
              <a:gs pos="0">
                <a:schemeClr val="accent2">
                  <a:shade val="76000"/>
                </a:schemeClr>
              </a:gs>
            </a:gsLst>
            <a:lin ang="5400000" scaled="0"/>
          </a:gradFill>
          <a:ln w="19050">
            <a:solidFill>
              <a:schemeClr val="lt1"/>
            </a:solidFill>
          </a:ln>
          <a:effectLst/>
        </c:spPr>
      </c:pivotFmt>
      <c:pivotFmt>
        <c:idx val="6"/>
        <c:spPr>
          <a:gradFill>
            <a:gsLst>
              <a:gs pos="100000">
                <a:schemeClr val="accent2">
                  <a:tint val="77000"/>
                  <a:lumMod val="60000"/>
                  <a:lumOff val="40000"/>
                </a:schemeClr>
              </a:gs>
              <a:gs pos="0">
                <a:schemeClr val="accent2">
                  <a:tint val="77000"/>
                </a:schemeClr>
              </a:gs>
            </a:gsLst>
            <a:lin ang="5400000" scaled="0"/>
          </a:gradFill>
          <a:ln w="19050">
            <a:solidFill>
              <a:schemeClr val="lt1"/>
            </a:solidFill>
          </a:ln>
          <a:effectLst/>
        </c:spPr>
      </c:pivotFmt>
    </c:pivotFmts>
    <c:plotArea>
      <c:layout>
        <c:manualLayout>
          <c:layoutTarget val="inner"/>
          <c:xMode val="edge"/>
          <c:yMode val="edge"/>
          <c:x val="0.22878228782287824"/>
          <c:y val="0.18292103050225517"/>
          <c:w val="0.55467995467356257"/>
          <c:h val="0.72970032872104584"/>
        </c:manualLayout>
      </c:layout>
      <c:pieChart>
        <c:varyColors val="1"/>
        <c:ser>
          <c:idx val="0"/>
          <c:order val="0"/>
          <c:tx>
            <c:strRef>
              <c:f>kpi!$M$40</c:f>
              <c:strCache>
                <c:ptCount val="1"/>
                <c:pt idx="0">
                  <c:v>Total</c:v>
                </c:pt>
              </c:strCache>
            </c:strRef>
          </c:tx>
          <c:dPt>
            <c:idx val="0"/>
            <c:bubble3D val="0"/>
            <c:spPr>
              <a:gradFill>
                <a:gsLst>
                  <a:gs pos="100000">
                    <a:schemeClr val="accent2">
                      <a:shade val="76000"/>
                      <a:lumMod val="60000"/>
                      <a:lumOff val="40000"/>
                    </a:schemeClr>
                  </a:gs>
                  <a:gs pos="0">
                    <a:schemeClr val="accent2">
                      <a:shade val="76000"/>
                    </a:schemeClr>
                  </a:gs>
                </a:gsLst>
                <a:lin ang="5400000" scaled="0"/>
              </a:gradFill>
              <a:ln w="19050">
                <a:solidFill>
                  <a:schemeClr val="lt1"/>
                </a:solidFill>
              </a:ln>
              <a:effectLst/>
            </c:spPr>
            <c:extLst>
              <c:ext xmlns:c16="http://schemas.microsoft.com/office/drawing/2014/chart" uri="{C3380CC4-5D6E-409C-BE32-E72D297353CC}">
                <c16:uniqueId val="{00000001-2496-4582-918F-B2DD0A23BFA4}"/>
              </c:ext>
            </c:extLst>
          </c:dPt>
          <c:dPt>
            <c:idx val="1"/>
            <c:bubble3D val="0"/>
            <c:spPr>
              <a:gradFill>
                <a:gsLst>
                  <a:gs pos="100000">
                    <a:schemeClr val="accent2">
                      <a:tint val="77000"/>
                      <a:lumMod val="60000"/>
                      <a:lumOff val="40000"/>
                    </a:schemeClr>
                  </a:gs>
                  <a:gs pos="0">
                    <a:schemeClr val="accent2">
                      <a:tint val="77000"/>
                    </a:schemeClr>
                  </a:gs>
                </a:gsLst>
                <a:lin ang="5400000" scaled="0"/>
              </a:gradFill>
              <a:ln w="19050">
                <a:solidFill>
                  <a:schemeClr val="lt1"/>
                </a:solidFill>
              </a:ln>
              <a:effectLst/>
            </c:spPr>
            <c:extLst>
              <c:ext xmlns:c16="http://schemas.microsoft.com/office/drawing/2014/chart" uri="{C3380CC4-5D6E-409C-BE32-E72D297353CC}">
                <c16:uniqueId val="{00000003-2496-4582-918F-B2DD0A23BFA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kpi!$L$41:$L$43</c:f>
              <c:strCache>
                <c:ptCount val="2"/>
                <c:pt idx="0">
                  <c:v>Mobile App</c:v>
                </c:pt>
                <c:pt idx="1">
                  <c:v>Website</c:v>
                </c:pt>
              </c:strCache>
            </c:strRef>
          </c:cat>
          <c:val>
            <c:numRef>
              <c:f>kpi!$M$41:$M$43</c:f>
              <c:numCache>
                <c:formatCode>0.0%</c:formatCode>
                <c:ptCount val="2"/>
                <c:pt idx="0">
                  <c:v>0.48218599887470515</c:v>
                </c:pt>
                <c:pt idx="1">
                  <c:v>0.51781400112529485</c:v>
                </c:pt>
              </c:numCache>
            </c:numRef>
          </c:val>
          <c:extLst>
            <c:ext xmlns:c16="http://schemas.microsoft.com/office/drawing/2014/chart" uri="{C3380CC4-5D6E-409C-BE32-E72D297353CC}">
              <c16:uniqueId val="{00000004-2496-4582-918F-B2DD0A23BFA4}"/>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3.2106665105523471E-2"/>
          <c:y val="3.2168801796545958E-2"/>
          <c:w val="0.87867400403945795"/>
          <c:h val="0.16176106258341391"/>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[Dashboard.xlsx]kpi!PivotTable1</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76000"/>
                  <a:lumMod val="110000"/>
                  <a:satMod val="105000"/>
                  <a:tint val="67000"/>
                </a:schemeClr>
              </a:gs>
              <a:gs pos="50000">
                <a:schemeClr val="accent1">
                  <a:shade val="76000"/>
                  <a:lumMod val="105000"/>
                  <a:satMod val="103000"/>
                  <a:tint val="73000"/>
                </a:schemeClr>
              </a:gs>
              <a:gs pos="100000">
                <a:schemeClr val="accent1">
                  <a:shade val="76000"/>
                  <a:lumMod val="105000"/>
                  <a:satMod val="109000"/>
                  <a:tint val="81000"/>
                </a:schemeClr>
              </a:gs>
            </a:gsLst>
            <a:lin ang="5400000" scaled="0"/>
          </a:gradFill>
          <a:ln w="9525" cap="flat" cmpd="sng" algn="ctr">
            <a:solidFill>
              <a:schemeClr val="accent1">
                <a:shade val="76000"/>
                <a:shade val="95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798507462686572"/>
                  <c:h val="0.21634631764560694"/>
                </c:manualLayout>
              </c15:layout>
            </c:ext>
          </c:extLst>
        </c:dLbl>
      </c:pivotFmt>
      <c:pivotFmt>
        <c:idx val="6"/>
        <c:spPr>
          <a:gradFill rotWithShape="1">
            <a:gsLst>
              <a:gs pos="0">
                <a:schemeClr val="accent1">
                  <a:tint val="77000"/>
                  <a:lumMod val="110000"/>
                  <a:satMod val="105000"/>
                  <a:tint val="67000"/>
                </a:schemeClr>
              </a:gs>
              <a:gs pos="50000">
                <a:schemeClr val="accent1">
                  <a:tint val="77000"/>
                  <a:lumMod val="105000"/>
                  <a:satMod val="103000"/>
                  <a:tint val="73000"/>
                </a:schemeClr>
              </a:gs>
              <a:gs pos="100000">
                <a:schemeClr val="accent1">
                  <a:tint val="77000"/>
                  <a:lumMod val="105000"/>
                  <a:satMod val="109000"/>
                  <a:tint val="81000"/>
                </a:schemeClr>
              </a:gs>
            </a:gsLst>
            <a:lin ang="5400000" scaled="0"/>
          </a:gradFill>
          <a:ln w="9525" cap="flat" cmpd="sng" algn="ctr">
            <a:solidFill>
              <a:schemeClr val="accent1">
                <a:tint val="77000"/>
                <a:shade val="95000"/>
              </a:schemeClr>
            </a:solidFill>
            <a:round/>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544776119402987"/>
                  <c:h val="0.2091347737240867"/>
                </c:manualLayout>
              </c15:layout>
            </c:ext>
          </c:extLst>
        </c:dLbl>
      </c:pivotFmt>
    </c:pivotFmts>
    <c:plotArea>
      <c:layout>
        <c:manualLayout>
          <c:layoutTarget val="inner"/>
          <c:xMode val="edge"/>
          <c:yMode val="edge"/>
          <c:x val="0.24719717398338906"/>
          <c:y val="0.19580799198061172"/>
          <c:w val="0.54980692481932913"/>
          <c:h val="0.77184492114242975"/>
        </c:manualLayout>
      </c:layout>
      <c:pieChart>
        <c:varyColors val="1"/>
        <c:ser>
          <c:idx val="0"/>
          <c:order val="0"/>
          <c:tx>
            <c:strRef>
              <c:f>kpi!$M$34</c:f>
              <c:strCache>
                <c:ptCount val="1"/>
                <c:pt idx="0">
                  <c:v>Total</c:v>
                </c:pt>
              </c:strCache>
            </c:strRef>
          </c:tx>
          <c:dPt>
            <c:idx val="0"/>
            <c:bubble3D val="0"/>
            <c:spPr>
              <a:gradFill rotWithShape="1">
                <a:gsLst>
                  <a:gs pos="0">
                    <a:schemeClr val="accent1">
                      <a:shade val="76000"/>
                      <a:lumMod val="110000"/>
                      <a:satMod val="105000"/>
                      <a:tint val="67000"/>
                    </a:schemeClr>
                  </a:gs>
                  <a:gs pos="50000">
                    <a:schemeClr val="accent1">
                      <a:shade val="76000"/>
                      <a:lumMod val="105000"/>
                      <a:satMod val="103000"/>
                      <a:tint val="73000"/>
                    </a:schemeClr>
                  </a:gs>
                  <a:gs pos="100000">
                    <a:schemeClr val="accent1">
                      <a:shade val="76000"/>
                      <a:lumMod val="105000"/>
                      <a:satMod val="109000"/>
                      <a:tint val="81000"/>
                    </a:schemeClr>
                  </a:gs>
                </a:gsLst>
                <a:lin ang="5400000" scaled="0"/>
              </a:gradFill>
              <a:ln w="9525" cap="flat" cmpd="sng" algn="ctr">
                <a:solidFill>
                  <a:schemeClr val="accent1">
                    <a:shade val="76000"/>
                    <a:shade val="95000"/>
                  </a:schemeClr>
                </a:solidFill>
                <a:round/>
              </a:ln>
              <a:effectLst/>
            </c:spPr>
            <c:extLst>
              <c:ext xmlns:c16="http://schemas.microsoft.com/office/drawing/2014/chart" uri="{C3380CC4-5D6E-409C-BE32-E72D297353CC}">
                <c16:uniqueId val="{00000001-0CE6-422F-9A93-CEBB68FC4EB4}"/>
              </c:ext>
            </c:extLst>
          </c:dPt>
          <c:dPt>
            <c:idx val="1"/>
            <c:bubble3D val="0"/>
            <c:spPr>
              <a:gradFill rotWithShape="1">
                <a:gsLst>
                  <a:gs pos="0">
                    <a:schemeClr val="accent1">
                      <a:tint val="77000"/>
                      <a:lumMod val="110000"/>
                      <a:satMod val="105000"/>
                      <a:tint val="67000"/>
                    </a:schemeClr>
                  </a:gs>
                  <a:gs pos="50000">
                    <a:schemeClr val="accent1">
                      <a:tint val="77000"/>
                      <a:lumMod val="105000"/>
                      <a:satMod val="103000"/>
                      <a:tint val="73000"/>
                    </a:schemeClr>
                  </a:gs>
                  <a:gs pos="100000">
                    <a:schemeClr val="accent1">
                      <a:tint val="77000"/>
                      <a:lumMod val="105000"/>
                      <a:satMod val="109000"/>
                      <a:tint val="81000"/>
                    </a:schemeClr>
                  </a:gs>
                </a:gsLst>
                <a:lin ang="5400000" scaled="0"/>
              </a:gradFill>
              <a:ln w="9525" cap="flat" cmpd="sng" algn="ctr">
                <a:solidFill>
                  <a:schemeClr val="accent1">
                    <a:tint val="77000"/>
                    <a:shade val="95000"/>
                  </a:schemeClr>
                </a:solidFill>
                <a:round/>
              </a:ln>
              <a:effectLst/>
            </c:spPr>
            <c:extLst>
              <c:ext xmlns:c16="http://schemas.microsoft.com/office/drawing/2014/chart" uri="{C3380CC4-5D6E-409C-BE32-E72D297353CC}">
                <c16:uniqueId val="{00000003-0CE6-422F-9A93-CEBB68FC4EB4}"/>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7798507462686572"/>
                      <c:h val="0.21634631764560694"/>
                    </c:manualLayout>
                  </c15:layout>
                </c:ext>
                <c:ext xmlns:c16="http://schemas.microsoft.com/office/drawing/2014/chart" uri="{C3380CC4-5D6E-409C-BE32-E72D297353CC}">
                  <c16:uniqueId val="{00000001-0CE6-422F-9A93-CEBB68FC4EB4}"/>
                </c:ext>
              </c:extLst>
            </c:dLbl>
            <c:dLbl>
              <c:idx val="1"/>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8544776119402987"/>
                      <c:h val="0.2091347737240867"/>
                    </c:manualLayout>
                  </c15:layout>
                </c:ext>
                <c:ext xmlns:c16="http://schemas.microsoft.com/office/drawing/2014/chart" uri="{C3380CC4-5D6E-409C-BE32-E72D297353CC}">
                  <c16:uniqueId val="{00000003-0CE6-422F-9A93-CEBB68FC4EB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kpi!$L$35:$L$37</c:f>
              <c:strCache>
                <c:ptCount val="2"/>
                <c:pt idx="0">
                  <c:v>Female</c:v>
                </c:pt>
                <c:pt idx="1">
                  <c:v>Male</c:v>
                </c:pt>
              </c:strCache>
            </c:strRef>
          </c:cat>
          <c:val>
            <c:numRef>
              <c:f>kpi!$M$35:$M$37</c:f>
              <c:numCache>
                <c:formatCode>0.0%</c:formatCode>
                <c:ptCount val="2"/>
                <c:pt idx="0">
                  <c:v>0.47929654910040093</c:v>
                </c:pt>
                <c:pt idx="1">
                  <c:v>0.52070345089959913</c:v>
                </c:pt>
              </c:numCache>
            </c:numRef>
          </c:val>
          <c:extLst>
            <c:ext xmlns:c16="http://schemas.microsoft.com/office/drawing/2014/chart" uri="{C3380CC4-5D6E-409C-BE32-E72D297353CC}">
              <c16:uniqueId val="{00000004-0CE6-422F-9A93-CEBB68FC4EB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2.3653327580627749E-2"/>
          <c:y val="1.2000311932398508E-3"/>
          <c:w val="0.90785352173444056"/>
          <c:h val="0.199521653181142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[Dashboard.xlsx]kpi!PivotTable10</c:name>
    <c:fmtId val="13"/>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58000"/>
            </a:schemeClr>
          </a:solidFill>
          <a:ln w="19050">
            <a:solidFill>
              <a:schemeClr val="lt1"/>
            </a:solidFill>
          </a:ln>
          <a:effectLst/>
        </c:spPr>
      </c:pivotFmt>
      <c:pivotFmt>
        <c:idx val="3"/>
        <c:spPr>
          <a:solidFill>
            <a:schemeClr val="accent4">
              <a:shade val="86000"/>
            </a:schemeClr>
          </a:solidFill>
          <a:ln w="19050">
            <a:solidFill>
              <a:schemeClr val="lt1"/>
            </a:solidFill>
          </a:ln>
          <a:effectLst/>
        </c:spPr>
      </c:pivotFmt>
      <c:pivotFmt>
        <c:idx val="4"/>
        <c:spPr>
          <a:solidFill>
            <a:schemeClr val="accent4">
              <a:tint val="86000"/>
            </a:schemeClr>
          </a:solidFill>
          <a:ln w="19050">
            <a:solidFill>
              <a:schemeClr val="lt1"/>
            </a:solidFill>
          </a:ln>
          <a:effectLst/>
        </c:spPr>
      </c:pivotFmt>
      <c:pivotFmt>
        <c:idx val="5"/>
        <c:spPr>
          <a:solidFill>
            <a:schemeClr val="accent4">
              <a:tint val="58000"/>
            </a:schemeClr>
          </a:solidFill>
          <a:ln w="19050">
            <a:solidFill>
              <a:schemeClr val="lt1"/>
            </a:solidFill>
          </a:ln>
          <a:effectLst/>
        </c:spPr>
      </c:pivotFmt>
      <c:pivotFmt>
        <c:idx val="6"/>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4">
              <a:shade val="58000"/>
            </a:schemeClr>
          </a:solidFill>
          <a:ln w="19050">
            <a:solidFill>
              <a:schemeClr val="lt1"/>
            </a:solidFill>
          </a:ln>
          <a:effectLst/>
        </c:spPr>
      </c:pivotFmt>
      <c:pivotFmt>
        <c:idx val="8"/>
        <c:spPr>
          <a:solidFill>
            <a:schemeClr val="accent4">
              <a:shade val="86000"/>
            </a:schemeClr>
          </a:solidFill>
          <a:ln w="19050">
            <a:solidFill>
              <a:schemeClr val="lt1"/>
            </a:solidFill>
          </a:ln>
          <a:effectLst/>
        </c:spPr>
      </c:pivotFmt>
      <c:pivotFmt>
        <c:idx val="9"/>
        <c:spPr>
          <a:solidFill>
            <a:schemeClr val="accent4">
              <a:tint val="86000"/>
            </a:schemeClr>
          </a:solidFill>
          <a:ln w="19050">
            <a:solidFill>
              <a:schemeClr val="lt1"/>
            </a:solidFill>
          </a:ln>
          <a:effectLst/>
        </c:spPr>
      </c:pivotFmt>
      <c:pivotFmt>
        <c:idx val="10"/>
        <c:spPr>
          <a:solidFill>
            <a:schemeClr val="accent4">
              <a:tint val="58000"/>
            </a:schemeClr>
          </a:solidFill>
          <a:ln w="19050">
            <a:solidFill>
              <a:schemeClr val="lt1"/>
            </a:solidFill>
          </a:ln>
          <a:effectLst/>
        </c:spPr>
      </c:pivotFmt>
    </c:pivotFmts>
    <c:plotArea>
      <c:layout>
        <c:manualLayout>
          <c:layoutTarget val="inner"/>
          <c:xMode val="edge"/>
          <c:yMode val="edge"/>
          <c:x val="0.20615342551249966"/>
          <c:y val="0.26185589704512741"/>
          <c:w val="0.62234559796415534"/>
          <c:h val="0.72718482770298876"/>
        </c:manualLayout>
      </c:layout>
      <c:pieChart>
        <c:varyColors val="1"/>
        <c:ser>
          <c:idx val="0"/>
          <c:order val="0"/>
          <c:tx>
            <c:strRef>
              <c:f>kpi!$I$21</c:f>
              <c:strCache>
                <c:ptCount val="1"/>
                <c:pt idx="0">
                  <c:v>Total</c:v>
                </c:pt>
              </c:strCache>
            </c:strRef>
          </c:tx>
          <c:dPt>
            <c:idx val="0"/>
            <c:bubble3D val="0"/>
            <c:spPr>
              <a:solidFill>
                <a:schemeClr val="accent4">
                  <a:shade val="58000"/>
                </a:schemeClr>
              </a:solidFill>
              <a:ln w="19050">
                <a:solidFill>
                  <a:schemeClr val="lt1"/>
                </a:solidFill>
              </a:ln>
              <a:effectLst/>
            </c:spPr>
            <c:extLst>
              <c:ext xmlns:c16="http://schemas.microsoft.com/office/drawing/2014/chart" uri="{C3380CC4-5D6E-409C-BE32-E72D297353CC}">
                <c16:uniqueId val="{00000001-0FEB-4352-BC1B-5EB9D8A22B12}"/>
              </c:ext>
            </c:extLst>
          </c:dPt>
          <c:dPt>
            <c:idx val="1"/>
            <c:bubble3D val="0"/>
            <c:spPr>
              <a:solidFill>
                <a:schemeClr val="accent4">
                  <a:shade val="86000"/>
                </a:schemeClr>
              </a:solidFill>
              <a:ln w="19050">
                <a:solidFill>
                  <a:schemeClr val="lt1"/>
                </a:solidFill>
              </a:ln>
              <a:effectLst/>
            </c:spPr>
            <c:extLst>
              <c:ext xmlns:c16="http://schemas.microsoft.com/office/drawing/2014/chart" uri="{C3380CC4-5D6E-409C-BE32-E72D297353CC}">
                <c16:uniqueId val="{00000003-0FEB-4352-BC1B-5EB9D8A22B12}"/>
              </c:ext>
            </c:extLst>
          </c:dPt>
          <c:dPt>
            <c:idx val="2"/>
            <c:bubble3D val="0"/>
            <c:spPr>
              <a:solidFill>
                <a:schemeClr val="accent4">
                  <a:tint val="86000"/>
                </a:schemeClr>
              </a:solidFill>
              <a:ln w="19050">
                <a:solidFill>
                  <a:schemeClr val="lt1"/>
                </a:solidFill>
              </a:ln>
              <a:effectLst/>
            </c:spPr>
            <c:extLst>
              <c:ext xmlns:c16="http://schemas.microsoft.com/office/drawing/2014/chart" uri="{C3380CC4-5D6E-409C-BE32-E72D297353CC}">
                <c16:uniqueId val="{00000005-0FEB-4352-BC1B-5EB9D8A22B12}"/>
              </c:ext>
            </c:extLst>
          </c:dPt>
          <c:dPt>
            <c:idx val="3"/>
            <c:bubble3D val="0"/>
            <c:spPr>
              <a:solidFill>
                <a:schemeClr val="accent4">
                  <a:tint val="58000"/>
                </a:schemeClr>
              </a:solidFill>
              <a:ln w="19050">
                <a:solidFill>
                  <a:schemeClr val="lt1"/>
                </a:solidFill>
              </a:ln>
              <a:effectLst/>
            </c:spPr>
            <c:extLst>
              <c:ext xmlns:c16="http://schemas.microsoft.com/office/drawing/2014/chart" uri="{C3380CC4-5D6E-409C-BE32-E72D297353CC}">
                <c16:uniqueId val="{00000007-0FEB-4352-BC1B-5EB9D8A22B12}"/>
              </c:ext>
            </c:extLst>
          </c:dPt>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kpi!$H$22:$H$26</c:f>
              <c:strCache>
                <c:ptCount val="4"/>
                <c:pt idx="0">
                  <c:v>Cancelled</c:v>
                </c:pt>
                <c:pt idx="1">
                  <c:v>Delivered</c:v>
                </c:pt>
                <c:pt idx="2">
                  <c:v>Returned</c:v>
                </c:pt>
                <c:pt idx="3">
                  <c:v>Shipped</c:v>
                </c:pt>
              </c:strCache>
            </c:strRef>
          </c:cat>
          <c:val>
            <c:numRef>
              <c:f>kpi!$I$22:$I$26</c:f>
              <c:numCache>
                <c:formatCode>0.0%</c:formatCode>
                <c:ptCount val="4"/>
                <c:pt idx="0">
                  <c:v>0.21839080459770116</c:v>
                </c:pt>
                <c:pt idx="1">
                  <c:v>0.30268199233716475</c:v>
                </c:pt>
                <c:pt idx="2">
                  <c:v>0.18773946360153257</c:v>
                </c:pt>
                <c:pt idx="3">
                  <c:v>0.29118773946360155</c:v>
                </c:pt>
              </c:numCache>
            </c:numRef>
          </c:val>
          <c:extLst>
            <c:ext xmlns:c16="http://schemas.microsoft.com/office/drawing/2014/chart" uri="{C3380CC4-5D6E-409C-BE32-E72D297353CC}">
              <c16:uniqueId val="{00000008-0FEB-4352-BC1B-5EB9D8A22B1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4.0786938209235374E-2"/>
          <c:y val="2.1503683007366034E-2"/>
          <c:w val="0.91013328348064515"/>
          <c:h val="0.2114729207236192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38622C2C-301B-47E5-A0F8-B92CBB0193DB}">
          <cx:dataId val="0"/>
          <cx:layoutPr>
            <cx:geography cultureLanguage="en-US" cultureRegion="IN" attribution="Powered by Bing">
              <cx:geoCache provider="{E9337A44-BEBE-4D9F-B70C-5C5E7DAFC167}">
                <cx:binary>1HvZct04su2vVPj50kXMQEdXRxxwcw+aLcm2XC8MWbY5gwQJEiC//uaWXW5b5aG7Tt+I27LDDomb
IJiJzFxrZervD+FvD837++GX0DZm/NtD+O1Z4Vz/t19/HR+K9+39+LwtH4Zu7D645w9d+2v34UP5
8P7Xd8O9L03+K44R/fWhuB/c+/DsH3+H1fL33Vn3cO/KzryY3g/L9ftxatz4g2vfvPTL/bu2NJty
dEP54NBvz146B7u8Gu7fvR+LZ7+8N650y+3Sv//t2VcfffbLr08X/NPDf2lgf256B/di/lxhwjhC
8ccv9OyXpjP5p8syfs44JwxLoh6/yB+Pvrhv4fZ/eVePe7p/9254P47wbo///+n2r14Erl49++Wh
m4w7WjEHg/727GDelffPfinHLvl4IemOb3G4eHztX7+2/z/+/uQHYIgnP/nCRU+t9rNLf/LQ5n1T
lH+Y5z/gGfmcU0JUzPm3PCPEc4QYFZKhj57hfzz6o2d+uptve+TTbU88sTn7r/LE1WSq+7d/2ON/
7woSP5cUI6aw+Co6BHtOEZexisU3o+Pn+/i2E/6474kXrvR/lRdO7wdz7+5riNf/VLZC9LlAMcWU
4m/GBH+OuFCIQdh8K1v9Szv6tku+uPWJV07/57/KK+f3UK3ux8IN/0m/qOeU4VgSpr7nl1gqgulH
tyj2x5H4mKv+xT192zNf3fzEN+f7/yrfXN9X96Mr7s0f5vnfpy6o70xSQrH6dhUhkNnAKZKKj457
Ut//pR192y9f3PrEK9cn/1975duQ48sU9tUn/l3AhZ8DnGKIo08WR1+XFPWccMKpoOxjrDwp658A
0Pd3821nfLrtq43/P0ZT30dan/HoBspD+ghkvwBbP776+HqAsZ/c+qMK89FWh3e/PUMx/OFcfuGy
4zqfbv6Yi/5nmMw9IPrmKdb+eoH3EKi/PVMCAADDCjIfuFQxAs707x+voOeMKggthpBAUkDGM93g
CkDcx1ypOHwa41hRccQUYzc9XuLPOYslU7CcgFMg8GdOcdU1S96Zz8b59P0vZmqvutK48bdnBOFn
v/QfP3fcrJAxlEHBOKUEY8kEgt31D/fXQFzg4+j/2LztlxIX82Eoy7zaT+tYX4qRTW5DssktOoSp
qfZAjPpJi34onC6lmeymEwU+RJJWKUd4OKyFYfwcxXWY9BxK+HckY/lmLXtldS7DMqRRO+Qna8fV
1rABx+ngY5JfdIy15T6iS/+GN3FhNh0qzaBXg3Ku67wdZYrhDV6NPqdb5ISPteznNF48HmAr9G2/
LnWdZpbyUUedcc3G4FyuyeqVf6HQVJX70A3zmuAQL3hvQzXshnadiY5mM8srgu2cadr3bZssDOXn
Jib0hfOhz3RtZ0E1qnzPEhvZsdREtvGHooy7NbW5VG5DaUSvTZHRZqeyNr+ztMHTTspseSA8cld9
1WSbMbRmSmTV+0mTgc73RTWGA5OsHXXb8/INjfi4HzIq28R3cfwieD5sfIv5ASFnNDGUci0rg7km
yGe3juPlDvlcOm1WnDmN467cYymmKiHrUHNNl6plaT8Kco5b5M99WKNT0jZiZ1darhekbCd0g4eO
ID3QxeZbqnqiXs/O2MNiixGljYrtlKwmx3a3BBR1jW5y4KIHO44svpRHu9SpXcmotlUjCnk7Fkvc
aDcMlc5439/hkdTpuMxHYxUHON8mcab3KSxDT4midi9r2S6XKASTJ60oZnSZC5nPOhLOJ5Wv7AZl
xmo6xeHalfGHarFLauoaJ37E2aGLpjmJ+gzrwSK8zaZxSeYlWy+UEIVuScn0slK3LWu0GJ2zwEqd
c083RE3iZlbh4PsI9YmIMnUSNVOb0iq7GSuZX5Bmfo17UiU1N2cDnI9EKvYOte3BzMPBh9zsoiZu
d2xUOAmmKlOyOnOeY2JOOByb65b00YGHuU4qQsF01spdS1ukVdefTNyeFXlEEy5prddMnlMUj+eS
dkibubVnTeEFeJUW7+g8NjtJTfu6dMxczKRm+2nGVZKrbtGRKibN5jG/rGUvUtJM3bUYaHcxmDAm
tGZruioRVzoUcfYyb8JN7XqrF1fnh2Xyq7ZCDCc9L4guVZdtRCCRpl31tkMVubEdqre5yedE5Djb
8qyhKTW+1ogqpOdMJSVy07lt+Gp1VsQ2rRY23TZFfzX3w24O8er1xFCdDFXhLrOiGRO2Lm5IWEk2
rK10x/ButkOSL/M1jVGjYxHdGNO/n6byqvbIaZahOm2cc4mpRnHpHERZLqNpU8AVbUNt7ihSPSQj
cktnOP9LG2nWZu8aVOzQZNRVtK7x+6Eq4aR3/WnPxaSR507HKur0UIcPwrjTqS3ixPoIPN+TNona
eo10hnK9NpPTecaGXUaaSJPSie26dONZVURCm7FtkhZ3IfFClLpZ2HoXwb63VZWtadFQuyOk8uey
qHGcyMjf1Ky74S6rThrWikTFzbzFfhCppIGmNQnmxTCWY4pEk+uet+vF6uqJbpY2sH2BMqLrOZqn
Da8wiRNKTb5ZGhvNOs7w8qqsXKcXkvkLpeo+5bWoU1Uw9uDs8KG3hGziSdqTwDOyLZBXqUO0THg9
t1dMLVznbsQnoSH12643ZhuzKoKX98xcURfnm2aO5R5OAmRCF8VjyhYrX3uF83d9PfsSyOln5ekb
1YkzgJZfVycWx6BwsFjEmApF6NfVqesGW1RFXBwkHme3yZBv+QZ0teVyNC156TtHIcd1Zb3xxK6t
NsNsbo2NlnQoGvRuyq2qzpbOI5TWjq37CPMs1sPR+0knEZQpH3vRJ4XIpE3xVLaxNhIVBza10l8G
2gyD7urVvxo5qa8XERvS6FrxmZ325SrP13WqrwpZQIqyfTbquCLEJQ678W1EcMQ1K/jrely6ZDb1
QrQQEWM6trC6zgT35yqrx4P3YtlNkN9P1zwK26ZosF7JHPYsCHWiltlriadVk6bLIewz90pVUb/h
Pqr0MKkS9jg3Q+IAh2gUsWorAtQtJzupO7r2CfdqXfaSD1HX6hn5udkJhHmpg4zn/RAvrD0TtJSp
Gniu42mO3kshlpNxxPTQ5J1dk4HG0XVd8z4NnWOX7TKSq5EU+Y31S7qSod6WZc80MutU6blC3WWr
WpbIKZKXzHH22kQ92cxE2sQ1tt8Wzow6jxeX9nHhtiSXNwWTJhnZ76ZaTmfl7juHdlPRVxqPMb3o
q7fzPFyrCMmzDhUoYdE6bGRVjddFXKuk6MBwgDcSM8UW8oqn0d7EU3mPLMNp29CgJzGfuMhcYz+V
F0XWFlrFhF/NZbEXNGMHKCt1EjvevBpE32V6ZMQeVjHxRi/9OKd9nkVatYO5q5YwbmLcvw2+YMkw
UKXZqswewdm8tMKimzJnD6Kj4borIPKIn6aL0bEx30ayGKNErixbD3JCND8xc67Mu2ah/V1DeTdp
WQtFd4rO7KJf+xlDUmYsvFZrQNNGtXF/v2Bev3FZS9cblkXYwP6EXRKucvsGkby4kL0jF2Vh+Ftf
ZULX/TyRNGckejsX9VgmLZ99YpBjOxXF5UYUYk5wW/EbQiL3QBqsdI1Ve4NNmIpU5PW6Y42ck8ZO
7FyEYjifuknNSQZA8nfWyvw6po6eNxXkG2s91PnJ5xtOQ5lyHslbW1OkaUn4PaDaWkA5CTna+9g2
J6W3EQZvoiLWYxPV195Y7xMpe1Km8VCXcVI3rasSCoBjTCHZ9XZbh9BvcshYvQ7DOtlkzJb8onW5
AnPiCsq+WNcUmcheL13VvobSQt9PHZ/2AL0chhTZ0YT0tup0XeEWAmEy+35RK2Q/WcqQ+gmZV5xV
9Xm91OSio+18nVdK3U0jQbdlS6OtHbL8eo1qgDwkHswNbKO+ResK3rUllKaVNvEJl34+LSxlXcLk
KM6KuplNMijLUp51Y4oH/GbpTXlSCOQrHS919aZxpbhbMv9h7qcoThCa5z2KzRYvJZQuzyq2q+sl
/D6QZSh0FiZb6NFI6FTExXyD+obeZUHwHjw6Z73ORyxLXYp53c+yJb+vtY03UJSiN9yV1XWJMnXf
jzbcIhrMWcUJqXUweARcYhDb0yqem5TGDc416uppW5KVP0ycVvs+mpxNSVhxSNlUT1BXuzL3CQ1u
+T2WQ3Th474l2mQVURqbrD6NaGXP6ST8Jl7x/C5uh7WEmBvla2TiwelK4YicdjXOgWngOL/Dk18y
3fShbJM+GgauHRSLN3IY2hvmZX3wWUYSmts8keNEo81IM6MSpgCJaT+r8QSS3jht4mUOzabLbLto
Fjz+3Yl+qfeB+uLtUnU4S9qsmc/7anXa4qwddFOLcT2VgLFj1Nf56RIgvWyJd+JdXjh0lpV8Oikq
PNQ7QfD6yg0F7lPk0LhneYhempEVV44b+bYLyN3MCChUOB5JIE91aOAQ5BCEbVeVEPIWzkgy5Iaf
rXOPDiVBCvhPaH2uncvbRktK8yvH1Hrr4jK6XKoAyV7EBYUsvjbRBzdRU+mxxarR4xizi1WVHOhC
Q+Zzu5rpzVoQ8jaPxmXcwpG37xeX1wdkeVYnXWnzOxPKXG3rQuSHCfjGB1zO86Zo88amrSsN2thS
hDSL5nrWQ1XbV6itVp9EJrRpE8Wy01BEfapquRSADsZQb+pidafjUKnLSmbqGuxjLrxDgDr5OLxp
rUepzIgxmwHAS5+E0vZvWtc5q1vppiHJopKlKPfhMNDI70gLGWBTMYaqpBIdnMeqD90lpX15OZU4
39uIjFJ7mpP9YEo2Jo1o5qBJVTucFCUV3cYMTr1qTIlazTrxEkVoeQs8hnS6CiWl2pqFL3AUyuFi
WMKCktKpcLUM/g7k5ps5cva2na0t0ymY7nJq4ri7mutQ7OcVs3u+RgIuLY27KHMcDpb5Ou0DHu8m
S8YPIY9lu4l8J2+6OLQ3K63yV4tvoBLVsygO7dAWc7IKWZzmBpl6C0A4Os87hdl26iNzKPIqSlBJ
ipfDzPHJYogbTuqyiaudmqIZqPYg/YVRxXApZJh1U9j1mpdt0EzQ8SD4LN+Aeh5uBoBbYYNClB2A
KvF8iwJpDgbw5rB1dmk36wSnM8F46cSlRc0CAQTKSbLKednF1pP7eTHDYbJxdxGjOmivxNJqOlCv
gE/2gMCKcRhzrWwUrqLBt7psmH8QJHfv8r6JFj1Vsh025TQfESvkiXugs7OegMKLBDNuN7OJMAgQ
zAuARdXyKvdVgzSYWJVaqb4CLt0Xfty0cw3w10JgL0k+r2QTCWkP1Tq5W8qaCm1oFjqAZg0x+S6P
/KIRovZcRjTsGsuJnuQU7vqOZPVlG7UczvBwzJt9GS9kA/mcnFoXXHvV1wOggBmYcLkLli6AL0S3
6kYBKlr6AncpKXsPh7lRq+6tyx/WYSWno5R1nEob1gDoIa/zTTvI4XSsGhtr4rNlOfHNHOUHKdRQ
pBntlt97BbAtnqr2ZbDKvme1l4c4UuY1Y3XxSpl5WvSMY7/zcYQOHaJux3mYDospZLJGZvpQI78A
Iya0qpKyNU1I7CjnzYKycesCi3ZQkuxG1QvwuBjIWIsF0PwcxBTd5oI9UJGPk+aqZ7erQk1qMJDI
XPETUc50uzQNSc2o1ps5LPFFA+rMBkd1p1U2hiUpQ9Vdj1xlD93aY12ywd40cVigZo/jtJ06FwFf
dKS8XkGU2o6haF5TFc0XTU3DbdcLcwDqOFaAZrv4shRebpTps/OxidnJDAF/uziA/kPULPtchDJZ
ymA+dFKYS4YHdgvHHpBwRU9QOZJDQJm7y91MT1uO1lOxorAvGJkOU14Y3Tpidri2ehTsBjD58MKL
YE+rPKdnxUS6fc1L/iYGz73NSJUnwIHYdi7psMlWVJ/1kymvRrEkIFNRXYxtm2uPQWcYM5x/kLR4
mYWo2VPWp+3QkB1gO590wDPThbDhzPXujZpXs7P16HeqUENadLbeSK4Anq7ytYKEdW6K3h/YWD4g
IbKjWlGnZKh67QgDPICnE1xk5Z7nrjnNZIU3zhRlkqPQ/F4Rb85XahutCFAEqA7jvqup27uqEpvI
yWoL7zNuRUnJplM71UHx/DGNQ/GfWByVJI4pp4gihPiR5X2hMUaQfo2HRHLAc4kBdh5RmiRdftF7
Q33C4AgtieAC6X4i/bZeJnHwLcnCzzZCQBl/wicFR5QdtVX4j8jjTr/YyTBlNrRIhMMy8F01j+5t
oYhfX/QzVeOllAbxqzquBUmbtfXX89IB/+OycihdZojvgs6vfMAMdLIFD/m2rRToZ6Rgrb3nbBV0
Q8eIvbYON1dKZWB5Tpo7aaMVZImjINf6Gb0VJhiTYGCNr0H+iLbBOXKDZx89DEUGwHuS+UsRk0no
wublnSsJ1ZDi6LmKSxAF5By/lkMOB6Uswgvb8UpuQIlV6bLG9SmFtt6GLB0BIEHyS98NXeLk4K6F
aJfTKARyPjU5lEPDmi0JzR0mXfzC4fxEeCQTfBQtxVG+7B+VzDk4yJBRVOMiBcmVXfePsmf+KIEK
aPh96B+FUUyteCckl1eB1cP1mq/oNSextdrWgPJ1cwTswbEJb/JclvtyasJLVRA4p80jukePSF89
ov7wyADKuV4emBkgd8azvKweeQJyHdlnASqaG63CO/JIJ0BN4vflWjaa1Uoeogy/zNkyHfow5Jso
A8PX68J0VKlO6OjIWeZH+iKPTKY9chp+ZDfyyHOyIrgilSvU56pblK6QB0Z05EbyyJKKwpeboW/Z
DtsBNMqjIppANoneNo8kKxz5VnVkXurIwfCRjS0RyNs2LoCigZYDdK1XBV5vOBvrNww3/T0Tazxt
zOJIeN1wC0ZiXcMu3Ar8cucpBy0chPT+bsh6bt5FBZ/KtGBT/sGRqbMwI/Mj2QU/iv5fNQUETCsw
hBl0YymSGLohX4bJZHg1kwLKSQlY67yPQn7W+dJuxoHUB9PG8mDl0Pokm7osDUN3KZsuOytCV3Y6
4j6ccJdbUNPWKN+AAmB6bdraXwPr6cyGgk56N7RzP+u8JPaGejvrHlcUNMDSp1yEy7bJLn3jR6Jb
j+YzJFvnoKEQsgcTObLlZc8PvLD1C6xYAEmfVyeEo5ueFJcGZ1eqCegsz/IJFOBsi+L8BmKcXMTt
eg7ETCU8ovEMGS9mkQa9boKSbSXfF6Vls3YcACrUjng/96K54ryKr0iHZpp2lOW3SHCzy+dKpXmY
olx3pPOgvS31eAHJxV7JYQzbEZCM2zDQlr2GvKrmlIWmPllt3NpkQgMHyZD35p2YRnsEzBMASeau
sJrHV2vus01HqjmhbG02yoa51agR2ZsCugpvAltak/i2G7aZq4td2dqohqpLBfQsKretxJLvjWQQ
cpR7Du838KCXtprftZlSUL6mONsBEzblJoxqqTYFHlqjxTSrPY+H7EU2q+Jti2i2cyIv0ywz0XUA
ZQSUglLqULL5pKmkT3BcoguQFlc4lQA6m0qF01oV0e/KNH0Ky7kERdJc12UlMei8vX0ZLxlEQE6k
nr0DzQw6OcWWTxOUtJXN20VY92bGqLyNihG/slVr9lm8xkXSzRZSU/DVi3V0+WZoKTllkKUSKoRL
O+g1pD4vxJUoUPXSxGMNWbRQuNQSLHNSkpg2QGJ4drbUa7zjooghrlVFzvq2u1HK99u5AYGCP1ai
tRjpCx4N+blfQ9OCvBNPma6IcfLK1NlEdH9sIqHHfhJyYVqT7LHPFB9bTgOoumuS98dOVDY20JVS
5VLVKTf4LXrsWinoX+HHTtZIGNlO2ItXzWOny+AoYrorPbDPErK32UB269/koO6Ve0I5yi/Wvkdx
eqxj7+jkwwDsG0sLQAC6bVU3+0n3Q4B/gRkQfl76aTgMzVql3jN0sNg6wNWWArme1ApSk1NVXe0r
yccFOiWTZZuhRN0pmQjgCfuo6YajvFszdGdlz6R2+W2tyrtyOAYIrqAzJMoTm63rIcxKbHvUTcdd
j1sGjdbTUECLaIw6tu/rZYRxkx8lKmiQfl3NBQJgAUmKxpwgGGD4Ok3FoMzXIImKg8rZRa4ubT2c
9fOLx4d8aj1/UqE/9kwfun4ZSuDuT779x/kf852Ps4GfP/bYaP7nd7ddC3+ffuT4oM+fgYU/PfjY
VP7qmz81ub/Txv44LPqdi1/1uL/q5P8xLvLYokaAwD4b+k/t7a/mBz5//otuNhKEMThuMEfF1R/d
bC6fQ78aKRnDgI/E8bHP/amdTcTzGEgkoK6YK0KYAhn/UzubPxc8hgwooccNc3JK/Vvt7GM74J91
K8IIZiIEoLvjQfkC1o1ZyLq6VJDC0Uaxy3GG6ZLP7//pCHzZJv/euk/aD5BAZj42QaSOFU2h13VZ
XheYh4+jph8nTf+N5Z/g4kpE9eKDEWkx2GG49nyN89s8rN2HH2//a9T7T7M8iQ/VrlBa6oynoB+M
AHJRq2JdkIohHdO4xZoS67Ltjx/2PVs9GSQYwfeVB/0qDSORRMPgQQ5tiYXL33+8Pow+fNPHT6C7
UDbuKxB80wn19BwhT9sbH1cxP1ukM2EXiZUPul1sf/3jB37nhSSc9C8PVS/jfhbHB86NEuGkK6Zs
Sug4FWX64wccF/rGqZVPUJYsVx+7ibDU16PwJxzadjjp6xEXZ0DyK3yOQFKtgbaDJiVAvqDIbmNT
zANMtP3odD/hZ5/Phzya+ouw6UU71mxcWDrl+WwTwIEgZKIPfU0stHht7gF5TIuIAPzl0IOdcNdJ
o6Nc4haGgX+0he/Z+Hhyv9hBky/tDLIQmEBilpCh+yCYL3/yft9b/ElW6CBSvVwcS5dlFHdxt3Q6
m6fq8q9t/fjUL7cuq5KPZABmQcryfQy/HnBmorKefsJZv7f5J7mhizwAJkBX0PkW8yvkLdUhW8Vf
yzzySWYYGl/1PYYehOugOZ7GIZqHDe+7TvzF7T/JBhi6O3JpKsgGHYWZlAXEKdBWLYTS5q+Z/0k6
wNUSmW7so53pFsGvoGNeuFdAE6Kf5M7v2F88if5RxlPsA5O7tUNtuuQ0GgD71uPwEwN9jWE+x554
EvwKNJhmwku26yK5tls/IECFjV9QCTp7QX+mwXzvMU9CnNAOsHkfiZ1zE3Z7wzsTp9DWaULalzDk
9NdCTTyJYwv4PCOhlbse1+ttPSxAxARXtz/29fde4kkg+zpI5AF27HAE/cRmHAQ5y+nS2dc1k/XP
VKLvefz48y8CupB5X0vRy93Q0OUQtWt8qXI0NPrHL/G95Z8GdFYuMRiH7yZhcYBBgUDf8LXr07+2
/JOInmbRwbAf57u5AQ844BMpnSLR/8XdP4nnqSRmaZZK7ug41+CDRYZIj/FSrn/xAU/iuVYRsyqA
9RVqrTn0iBmfDpVY/U/Uje/Y/whcv3SvwAsZURT4To1F+UrIcbyChpddfrL/40n/RjE/DpB+uXyr
ZujLTrnYtc1os2vRgqr0CmZSVAwjB4USL2B0k/DDX3I2fxLVYhngd4JiJnY9oa7cu5UEpYu69fFf
i2f+JJ5DuVju8CB29Zj39ABdxVnqaqLDz2rz0SzfMteTkF7yKo9bD+fJZks/bKqcCHHVRuvMT3KY
a6jTkOPF3DWtJL9PJvfmJ5b7HubhT6K8CXkGPRsPebeRTX9SRGMGk4IrCBdlKkFBoTBR6ap1TsqC
9y3MGay5gDkGT7qbGUZDpr9o4CfZYMk4NKnqKNu1AibZSOnFToqG/OQwPhHyPlcXjr8+jWx20EvF
Vu1IvA5duqJsdilMnKzNvldELJf52Hag3FLf7ukqDbsIhGBzjoWU1Z2sMWM/2cr3wu5J4pCmYj1o
h3TXi2wkCV/V+z4Eb39SRr+3/JO08X85+7IuO1Hv7U/kWgqIeusZrCFVmSqdpG9cSbpbFFQEcfr0
/+f0ei+6+KU77+K2Bw6F7M1m8wzKoO+3b11WmUivVTMnQFqiv9T8ERRoqZc0bq06IIwaVjV6y7+m
OEqfbRz1YTk79XLGhAZPF0VZAWgNbjJoDOb9UbrW7PYXu+xfoiz18oRtpz0lm8mreV9rcp8ztLK+
bzpBxAki4rEcWqf7khxcNz90f1gS9llSL3/gzUlhE+GNhed1j5bURGxf7kBnBB4XqZc/DgYQi+NA
TaJllVz4vjTng4/ROeyz33bbP0oBXhfx0OG9trKumatjyLqSG939Igf9y579G/T4z9GTWEQbjoaq
I8C0kDnpzvU+ksBN5YU+bj0ANrbjURHcG8tYJJ+Hhv2qav23qXvRnKBpzTbVHFWT7fOT24cYtcCE
pmvgvvHCWXRu1tTsR4U3mwLPhcCQ1DRnVdBnZV40U72kepYYfa4JO600s8DLJG3Y3JkXzflAAI7I
8FmjmYiTpG4pgXRjYXmUeaHcxZGJ19oe1ZS06moL4OWXlB3X/16ZW9j85DhmXrwOdSqOIwHEZo3S
P3HtlMuVzVIP1bxmPPAv8EKWLtkydLIGjAeB+6GYx+6SsFGGXceZF7KgFVC2Hnyt8ErD7wHVd+du
HwLTDaOvE0Iy40UqPzpXNVaxx1b12ZPeVODUvYjFQV1LmdC5msauTk4mJfaUiU2K839/3H8JWuYF
bVo3VkZ4/rwAZrg9yLmZ37i6VoFB5YUs+qPRgteP+Wpcs1q8tMW5epuanIuwfUO9qJVJu0zNAoTh
1uClRer0617swy82/r+sDfWCFvB2yfCstlwmJfCQbx0pp6JwgVP3gpbqjpG6y4EcHqKvhqC+G4qt
Dvusf2Md/nGMSH2YKLL8/02dkYmAB8JDp+5Ha5rXLhfJcilWNI3JbXQbvjC3z/HPuceLrpXF6FtX
iJPLJZBGnHSBy+5Fq2BpPsYkxuiM/Dm1TF2btgnsbFEvWgHJVHnbYPDicH2lANnCzYtvYbXB7RHl
nwuzzTSr1S7xYDzXK9CiC2BMup7DjijqxWovNBlGGrvLAMRRuYr2T9cdSdiqEy9O7WFmPYrVXXop
WMlZ+jVaLAkc3IvTGPQbuotovmRTPIBP136zoCoGDu6F6WSLrUMl7C7dDXTFO8BInCFZ4Oje2ZoB
aN20UYGpFy55sngeeVdnjQp7oiJenG6OkQHMGVcdiQHI8RhyngLWFeU2bM8QL1TJtBW9081S7awH
MTOiOq30SuYfQYcT8WI1aWtwELceJyseyx+KziZnK7v9EjY6eR1ODngZ2oCRVs0F/T3pyHvL6Puw
of1ItcBz7Xs0V62InpEev+4kC+wVEi9Oi7bts2TI5qpbRX52In0ZZT2GfdDEi9NB2sgUuXNV1M4A
X3XZm4wAiBq0KokXp3gWXrXd8ugCwOkf7Z58Jmn/GDa0F6V5uzagNkV7hWHtXB7ECsBbLG3CUm/i
xenSpE5IZuYKpPv4C5uRB0rbHklYpZF4geomRWJVj64CdOc4j1v2XbSgGIetjRekdd5O2dIaV6W7
AXq915i6/NXL622Qn1wObuCBf55JxcBZq6N+rkBeL55y2yRPKqr157CpeyFKwJUzgNBhO4palLRf
v2R5G/hJvRg92Fh0tZCuMin43km+fVVT/i5s3l6MspVta0sxdtTZF+b2p5TZp6ChYy9CRzBamhlA
+UtcR9Ep6uo37REH9gdiL0KTROvsiEh04XEBGl8GJs2uwlJL7IVoJFCnG1CEKiWG92MzXsGxC8vk
sRedTK873dDAv4wHGIsreWRp2Akae4Gpd9ATR7AJKt43b/JxqwZThz2zxl5YtmrehHOYtO4/HYsD
aeW3sB3ihaQqOqMPiY/IhPxutuJ9fvCwPBV78egmsFl28GOr3XbJC7japOocteewiXsRSYf6RpUv
5soCGghGmLwr6uJL2NheRErVWghcxNElbVHdRjH/xgoadrBBtON1EsTGniYV40gWLfCUqQXRDLIU
S1DgsMILytwu2czSJbpM/KMZzzm62CFrwgovIkUDWtkk9hnsYoA5Vmp1CcrXS9jgXkyueO/a96EG
V13ou1XhbX+i3Ry0U5iP6TLOxTJSGDxX6Tvq9I+W7SZwVby4LFi6x1Ne2Ivp6bsUY29uCR3bC81k
bTNKwferDvDz3wDK3z1MbOOBq+JFJ5CpCyQGHDZKevDyiLtPiougAgsCDq+3+FY4toLaPlcb3UG3
jVnNxzNBBdQGpRZWeAGq1x5MrA4x1DD9LVqXz3h8+BS0FX2w1kLBwOUU6+Jck54nJ29SLSQLqiPQ
EHq9MkYsGfrRGya+be/cGD9sC/DVYTP3IrTrs5hlgtoql/RJAXB4AfWehK147kWoawwwl2DYVbFW
71mkTp0RQUUKy71j06TRsDe0txUBjQCA9MScEtb9FbYoXoDueFGwAP1boBn418ZuDy24WWFDe/G5
mbmWOYlMtSdqLYEenq5D34XBMJgPrBrTdSgWYIUqPCEd5+EYnzMKaHXY1L0AdRqcbIh2mGoE1gYs
X2eix2iJ9w9hw3vhuUYUWZE5fNFl/8Oigtts/j1oaB9NNePgEZqPtpK8+bBpfR/3fdg+9IFUS51L
3ilmqmOZxGVZG3KO1PAjbN5ecLYHq63ZpAUxT58k25/7/Fdl5y1O/vdWxXzI1BqhHwyGialEv6Su
NBnvniauwaTtiNtPYfP3gjSVYJrJEdI1qqW/K8E+R1q+hA3thegGxKPiWW0Q/4u9W6xJSpBkwp7q
WOZFaUNE2hpKMHGWfO6XaChZpH8Lmzl5nc3FNoHIGwtbpaRlK8RL3M6g+qKEDDukMy9OmWia3OUK
W3KL3rc9eWmnsLs4FBlfz121KbiFM4au9+I9hADe1pQHPUMxHyCl8r3up2U3Fa17UkU5md+Det8G
IX2Zj48iGVimC3jAFQg9oJoYyCKxQHQa8/FQ/VZH82aFqYZFx2W8ZNdpbcK6w2A9vF7y2TDnWIEl
R3p8BO3zUaVbWAxxLzyLtVGumxpTZXUDCtaxPxamDXs3A/n29bwL7JJ4IxJEpXF5R5PpjYnnwHl7
0WlavE5AfGiqLM8/t4l5r+QUdIljPnKp3lgvGw16FcfKQD2gWUvIEeRh+ZB7kTnTboq6sZjwbiOm
kyHyvYuKT0FphXuhGce4Zw1pPFVgNULYbEWj4uLiiIctjA9F6kBXOxbI31W02HvoKnH+QbXxEfZF
fSjS0qW8BtZuqo7CkFNi2TNO0rDXc+bDkEAAzcd0G7FdxoLFErkWdEkBbt4ig3o4eOF/vdeBBY6L
Bqzhqmmgm3ca0Dyr6ppBKzDo2/pwo106B8Jrras8snI6Lavu/3JFtgZeGlMvVpMeSn9rEenKiB2C
Fg3vSqxQeg2bvReuWbbddL5iXTnFySmG9sqJ4vYbVpWm3nE6KyDwLB10ZSEZMZfJQeQ3qBMNTeD4
XsxureFm3bA2o4BaUztDEkMlYWde6sWsIuPaR5nDug+5vtttbK+rGsVd0Lr7eKOFLnTXatVVV6fH
53ismzuI9WsZtjA+4IgiT6Zkx2cthnqCgoPLoROQ1iOfAn/Aq37xGCfHQS9YeWrXe2PyT2JSYb15
6Je+DtlM9gQYY6OrjM1QS7PvVzl/DFt371ht6n2lSjVTlQ3F7wPU/0rB2K+wtbeQ/End7gONoDKT
QXyy1xUEOPLfoeu73TnZL4FbxgvVOY62/aDpWCFSi5ID+lJGe5SFpTGfMGv2CG/0CqOnyw7V0EQ/
yOFXKKa/S9CfLYwXp1O7AV6Xk7FauGygqNsPHZJN1m7y1PRFI++gNLx+dL1V99TSiFezEFP6Aopb
Nr1D/8+aj0XW8zuJd8nxrpMDJG8z1aIZ32xTHq/QU+sm82mdSORO8T4N8tsoRDSdOApLck5S9Nov
mXabO6sEXbITxyv1BomiKO8qAs06dl+P3bqfkhjdhC8RkL37NaHQFD3TbMOYq2rn4wrJSHETCyKH
u/aEbMfZLj0dfoeiIqvfzYxH3XebpNNU5QcI+5XZ8Pee9XykFwilpflpyAj0TvmeNe6uScameMPz
AbywGJo0H0lerBDu4eZet9YcVTwW+X5de7Ww82JYk16WDMqFl1SJBYIICvx01LNFsZ9y09Ks7MfW
JI8rBNWKe0WTmVUHVhsaKlQu95Aq6qH7usSQIYmX5Si72tTHR5V0YxZWhTAvYfYbc1xCFKfiqRjR
9YlK0kDaLShufaQXZfWOQlLpSvD+z5pJqPG0YfP2cV4LXmI2BaWTKnV1ZQv1UIMOHzZrL0umC5Ap
kELTFQSAtrKOCsgxqGQMXBMvTZq4oVzi0a5qSAcRXzn9xTsTVvRRL092oLcuQxaPldudfgYbrL0b
6dyHpTJfu1XwNnYQrLZVYyR7w1C/Avnv5q9hq+4lStM3ywIJkbGSeeN+M/l0oJk/QKsvbHjy+nSa
Bqj8jkcxVgWaymVKujfiaMKYZswHecUI4ZTleqz2Udf9eYzXrtqmuA285fgwrwTqdhAtw47kTZ9u
F2IHaMdCeFZO56DV8aFeM5T76kjMI2Sp1V+rZg9pZMMYHczXntFuNcu0Z2MFjQ7gyGabQSqRFh35
K2zuXrguKQTLF0c0pN8gr1Vm40Txxp4TEobFYMSL2FUPCgp7DQoEaI5Cc3btLm3bBhYIPt5LZ2vd
HQ2OcLzRmBMQZRyqmGtchS2Odw9ZY1Cl03YYwapV6oHTJZ1LPhkehu9nPtrLdkMDINOINDy47EEM
NP4dd9o9rBVMvKDNth4a0Bb1KlpZ233Naldl8ZwFbnqvviGQVi/a2+nUtX1zsuvUlG7u+7CE40O+
EgMx6g335CqCqOOfAmjzP4/e9WHIT+ihv85nKVTpO9FJXaU8W6J7WQzJKa4hCvOLt8N/4dVBNOr1
D4DbWtfQ0BqqQyXUvGjZLuOpzgaiz6sdoxcQzp6jqFDdGVUc5JqbApfRq4Aa9hj29RMvsEEK5hBM
RP25wr4gh4B7BwGKXgxaXYOCwweI8ZgeuLPcMlM9J/VjD7+MrIIfwRyfwn7AO48hAWZAryUDFOOT
Fhq8a7eyspNsCSywEi+8uT0gXk3wA7sjgC0f7jPQ+z/CJu8dyGru97lwEDLUZrCnraF/HVCrDYuO
v11M/oEXb6YjsVZmfYXa9qqIfCDEhrUA/qZQ/mPoPoriZoWCSDXDaOEkI4anhvX4ELYoXrk8C2Ua
yK0PVe1MfnECkrV92gYelT5ObM3ghzjgi1at2aLvfbfSHybCcRM0dx8oZjs2jGxI+gq11jPEox/V
1PxCy+W2335yVfRxYs2Gd0ZuxqGyGxEPiTI5pODGNewQ86FiK/Q680XSvqIyH6ERnMPwQGRuEGFh
6gPGWLGNlA+w/sjSoTtNRX4nWbKH7XQfMmb00DR10Q6QfxfrGwuls1M2d8v7//6mt0zys4X3grRY
JbwEEpzvCpKgKPlj2xQXFSfjeOG41Q1hNZaPIct3XuecNmMVOzrrUqRzdwutuBjDzuLYO4v7qLXT
UrTYmyn56Ob4Q5PUgdveC1koWcx5bDB3dNfSc2vQyj+gBR/0eeG99PqYHLAZIwlUIOw9TP1h2SP9
cRBpGJsJqlqvR1dQ6XYxgV0McnD+Xvc0reY2zYMWnfpYMo3uQlxDSRiP4ehKjFP+PmJNG7gwXtXs
9nnY3d4qIAQg4QSZTD19PVQxLoHje2crBGnqWs9GVYfJvqN39AS3oc//HVQ/z2awLXq96myJ8VoN
hiBIq2PdlZN1y5+wIwmT3qCFF7Mtrm/wl7otu85rNBxtft/z1AVtdwr9tVfg7pF0bjsMJl83Am2n
hGjYT2xhJxT1IWUFP7I9tei/QUM12c9DCzzCqRuGbglqvkD14vX082WtNSpbVSWC7+e8ieN3I/h8
H4K+rI8q2zmUGCPIzp6bpNnGhw4K6M+E6NT9YvZ/d1r+Nx9TH1gG6xuyce6wdbhLewitJ4O7a+Uy
mSsuYo5coaXH7XlK1Ta+iXbcCt7orJv6rwRyiFfHyXGfsQjKtsUBXUo0HSMJDfMh3cipn6a9PR2N
qI/vY7237gp1d2gBu7TbIGfL2OOiu/lhb8VyhdXbiiGggSHKuG/Z8SIS8Fvey5tOxcvQ5tqecWFj
B/4tNG9FDOTnc6dFdJzxX9v2iZJ6XH6ELbpXxwPXOMEpIhWXpk6656WQxRsCcf+wA5b6kLgxgv8S
uqOygh/cn5xM8Ihr3oXN3MsxuGvCeoqvsqIHcLYK3jlktL8S0rglwp9tFS/LOBf1zQFThWrS0Oq4
N/ZQ67nYgXo4r7ghNPe84Ep8DftLvJyTTAUsA5dUVpGO+IXJVV0PrZpPYaN7OUfstcMdkcpqGZmA
PPPxee7Ir9bpttg/WyevNIDab+ukcbLiyrUfgapmb3PRbN+2Lol+0dn8t5/wkk5cF3BD0xOETTcq
+VnAW2tqy8Wg2X7frmC0/eJS/S+f3EfNAZ7QuIWr5gIrdimvLt0SoMMidWn7IycnILrDukrUB9FB
Onfra6OwaJCgBdCNw43FBR5gmRfQEQRH0AgYZJXgOW6m63WmyS8S9L98CR9El8GyIT/AwT3LZsrm
e4jbp9cxL/Duz5sF7jtB+zW7/fo/rogpxuZtm0WQ6YCQILjuzZdiysKorTTzAtvuxdS2u+mqLEvn
KzDXOZz0krDLCvWBdEuLViR1cMJrWc6ueoG1R160Qfc4Ci/SVwsTc50oWKzU52RpH2JY07GRB665
F8Y7jZUdZwx9HOxSF9O1b0nQ/ZD6GLodqmutLWR9li15zNLoceJhXTzqY+gAK7wJ4bb1WUOt/qGz
dq6ilH4M2oY+hK5O4Y+50wibPWnsRWvDyr1Q7Bo2uhelcSFNncZRW2Wt1TDt2T5PzR4mDkt9DF3D
syZaYK9XqZ2oqyvm4Q6mAGFQVOrD6CKYk6asN23VdjAM1SJ/E2XGXsLWxQvPrYMJqqVjcZ571m5X
QtZP2kgZ1lSEr/PrEBJjMU+KDcV5WKZnqcaqM2PYIe5D6XaxbU3foJBSs2vLwQ2w71HpLzLv7c//
yTHrI+lgJDYfYPghiOwylkCNneAdFJgSfSgdDC932D3qFqylfj8NjR7hFmMGuOoEfVMfS1f0OzgX
Mi1AtBphFJOr2jyOG3yUTmHje/dwx4d6yCZanPv1wJvte6AAfjHzv1u1P1l3H0vH+JFAnKqBs+ke
0eUxbvsUBKMGwqEvUEoaqxYOYbCZnBZ4XnB019bTNMt0gRyn5vt1cgU8Wg+dNORbn6VkqeqctllQ
B576KLwtmhLobsy365KZG3iYxbmDDZS0wzlsXb2DeGjbmcOdMztvRnAkqL1zA7w3eEJ/hP2AF+wG
7hwHrJ/cxY0Cfj05W8+6YEGdZkj7vw51lGzpzVrWXZKb7teawg2kZ1kQvhqi+K8H19nCbD1j8MVB
u1lZNpWjImEYP5p6pzETDmx4N7gL6eCWTGUCg+dBfQ9bdK+cHmWexzGt58tCRF/msEA4TxuLw841
H4TXAGsas4jCJQLIGni5muZZZXT+LWjuPgaPrVrThE/zBd5cN7vlo7m0exq2ML7mV2vWZMRD7HyB
RiV5N/Sb/M7jIwsrg3wA3pGKdZrdYi/DAD8SKFdDEYbBuyZsYbxQVcVMD5qn9tJmm7mm9Qx98UiG
vbFTH4RHV0IPJWd7oWsvgLiaX0Cv3gKn7sWpWydIZmU7rEaz5ChhB2VOmQysVXwIXiodj+iEVT96
yLWs8/5XDKviwJl7YRodup9qRR2cXltzLlYhTsjHYY/31Md+HaBB1O2CwirT5Lvt6cdekDB6NfWh
X6JHS3nUzF3a2MTlpkkN4xnA6P57M9423U8OTR/9pRI5ETnS/GZgni7vhOvb/rpzosyVGY1T8L9/
5l9qIuqV0PVCa3jU4o9ISR6dF5I2J9jnhiHBqK/3pUWdzTPH6E0D754cMLATDOD/CJu6F66yQzoA
ntFc9KZh39dP3dn2ddjB5yPBCs3iuU9Tc1mkW669gB0QBIyPsJOPeuG697huHGY1l1kc6ppY+elI
4JAbti7k9bF6CFgsj+j1XDTMv0692roTIKlhsH+86r8efcj2bIaLkb5EfWRO3aEHWFruYcpNYEC/
Hr1mcC9POnhTtvMkTkcKo/ocMvlhtZiPAXPJjpazaXIY3Q/HyxHr7bcu/qV34L+Eko8Cq+m6Jg5g
5UtqEvBRbgWHJsmveoT/NroXqDApRLt6L4org91SsUQ/RjW8BG0YH/0lE5LU8M/IrtD5qlW5HEAn
zmKzX8KG9+I0UfAbO2JTXFPdDwDgdhsXb3iihjwsVn25L21zhypeF9fCJjcz5gc43IZVYj74C0Jc
07wTDN0zHH83PMQQBkikPvILZhBtLbKpuB436SO5JuzERL6GHavEC9MuVmI+9pGdocJ1Nxj9LuZh
aoLUh33FKUBFtO/ZmQP+0A3RGza074O2yv9AviAjJAwd4MvKXZ9UTCvwrsXau09h43uX3EEnU6fc
mF3ZmGyQUGeWPdyoer/SE7wF408ObR/P1UZSs3yt+bXXkb2b62Xpn20WN80FPNWsvm/6YxVP81H/
f1yu/76q/uxH+eucme2kHpZuUri2buuwnRLVKph6S4moU1dRb1KV09jDrgYOaxPO9q3bzZDdj0pz
0cP9rOlkX6pDLvu9qPeo/kbpCtjdEAPSKuFEvR8rPAFjo6c3kie5flpsvSb8fotYNsnSHKqJ2jKm
RUub0sCjHIXQyPHpyhTuic03bUTvkpLJrO3v6SEh93zecaHPmvM+Las5yZ1220dIyK1LCzdMWPxA
5hv2uHYok8JFnJXFDml4eQdPcxjhlT16lnMP0zkDNzUooGbj8EmTHheZLuvyv3rd4x8bN7HlzAH3
hVsyVkielmUlbXXsboPrkoypHb6NaNpmsDg3MH5byzTnjfg6tEwWP/rGwegHRM5jNH0Jta9u/3ID
6d3po9+3coBolD2ta2sTec5AnKwvB55syCUi9WZPdY6dVpwWvu5pfybLkcaPSb7w4tqm7ujBC5vG
/Q4uAQNMZPXCn7rYtfkZpsYrPYmMT6jC8j4/5z0EcMttavg0AL/ZjaI5zwXu+9kJHZKtGTGzaTBZ
mROegTeytBVsFVE2Ipfw3j3ga42iLU2Oyq4skkj1Z9cP5Pdp7vl53Y8t++HaY6dXbcZUPh+G5Pw3
MZEse6ZzTWHIWovcNWd1gKPCrsXqEigiHDxz6gkMjRzfS7etxuSa+Cgad42haoxqrI/HQ97tnG7r
9ynv27GBHyKawfcZGEjFS7Jlm91PamBwEmvy6CYDqZwa1ggslgOgLSjowN3RXXZ8y3G8JykaaeSe
yyGH7TiXxZVLMZxGvsF2EN2UPbLLrbJc7GPsrLysBjnqmY+N6162jTRDju0wEnftaGq309gIRqAS
K3Z1xr1G5F9zGCqPj8V24OIn0thtplw1XN1hQQyzZ4IKCn63lJ6KlNLufSJzw68QWJHb40DWBF3t
eIa22oFn5nlpwN2Kd8tnIDk5RNZi5b4TFYEzY5aM6Y9Z2if5WdQ27b7j7pPDHheQqXE52y4d7bN0
ccNfAM+a+mu3Z6AJFWM8pg9HGhH5JhGrPP5oBzU6MGZMNLLnCUErLoMWO7nXsJufPouoz2OC9CYb
npZZzwr9HM+zTL6zrq7zvawbWENX67os6UNsWjZ+6Va+pydo3sdgozcrTQpIO6dc/ajnFfbfpZxk
/j2lfNKfwS4/xAmvSzi7wPMY9yeg+myO/3mM2I+xM8tx3xO97y8wrkySkxaIpB8dwza/ayQ5nuci
bq4xmfLubW5cxi9x3mrxYZJiO96tIHiQCC/R0A3IzzclYn5v13kY/pJ4uRGPHZ/oXo1jp+pqIkVi
Ht1UZOTUMZgtfs057GH/SFZZP4NCHj3gGen4AWpLX3Zr2pwbCARF56098vUBHhLLcQfxIPpFFS0r
zlqB6fg+24UanpOmbpP7dWzdfokm0W13xW5iXmV8k/HnmNey/iCmotEnvc8RNBG7uLAg0fQcRn7L
YVPzZONjju+p5lp9gnFHPb51aZGJayzkmJ3nrVuQO9c0N+IK/HRinqZi4T8UNAGGU42W4fpWbLFB
KhHjBovZdJzhCxzjtWp5lB0Ejq8wi9Wg10TZ0ryI3Bbsvtda83KuI8O/C1F0+tQMVs5dCZPoOobR
EaPbvVW9nc/zSuLoPNuBJOWgjlV/pXOBGZzTuEkgZ7hhFm3UWFN2W2SHy3CT5CkhaHfI52kFMe2S
arP+TuIdhq0RrnfQ5YQVBH9CudT8WSOEs1OnBOlPvF/T8fM+wZ8RAkd9D8mzksrjaO/XGSzZlx3+
dKaGbfScbcj3h17HsexmHNNriY73Yn+sbqHpb7DgMDgQJNRqig8Ko9w+pJ6ducDEES+dl2ElfVqC
+zmklSqSQl6WpaFqL5tkzo/HdbMNuhYbbKyKu7jeUSOCySbEvYXLWlQepm0j2BtLQ86CcRedbbwk
xTnbj6P7zcQH7e6W+ViLyvVjVJ+nldT7GwqznHdxYrv2IzpHZJdlq9RcXKEa38wPhcQN5nlHSyy/
MtnivJvrOp2A82Zie9M3cSdP42GS+cS0ySLwFoyt2xXsucMmH+ZY9iBjDGye37VbnBGYoDdT9zxC
6a6dymVnMNCBrng5raZI7hNa2Pltaqdo+EbaLVdvuKIWe2wQvRJ/UJUf2Ak9JNvsZYSdNbxrj2Pr
Lmkvmf3E5SLqB9u0Hb0HiZarJ2cIDL4uSEeKn+HLROs/D0glQ9Pcii69s2PbNMA2g4GFPZJDR+lB
dPOu73TXU2CGCTDE8cVquB6Wy7wP5CN+M/9tScS8/a4gGg9OekHEyE4T5BebU4T8VJ+2Wm8fO8Jn
epcXGlyXdBgAVu0Xk0enXbsZlnJmXDcQSJYsOeFBIRfvMN00fbute9PeRQNheDlqaxm5l74/xuEB
0F1xoCoaju0HTg07SGikxnHy/vZSQ+MTFVN2PB1xwXqLTHzs9X3e4dNDaJbD3ezNioQ8vYX7hTX3
8SyK+Q7+4kV6O7k3AU2ABstobTkXiPIYenXN4ZrT1K77/p4WmypKuKbl/JqxHvmtlHTtzNt4TvLp
22GsZl2p5mVL73dG4+2ZYfeLL53dYEGDP5KO9VuJdtj6IZdYxIeDdGY7D9Sl8x3O/0g3WFzSL5f1
yLK1QfE0jwc+pmmW67LKqP+UJfvcv1uwZsvD1AEW+rZbWjiYs06M9sumM5J+7Um2530JhbB40Fgp
qpo/Bmimxu+gWs+KbyOUV+Tvk5okwf0Kgoj01Heky+76bLY76jcR53wsp8jtOArVhuMD1R4kY3mU
LtnZQqRh3IHRy6LvUJXf2SnGod7dw7tXvmQO+/si41XxU7sd6Ln22cA+w2Lcwl1xz+vuhLsoy+CI
OGauIipL+VLSDbbUz1pMApTjBPKdV110anyivV4jVXIwsL514zRvsPRt2fI2GWID/V28sxYvLB9W
AfNkOOW8m4igX3ILl5ezZTVaAXkbzfx5H3SdXWPTreQt3p/o8EHJzB6PSTdMIxImQ2wAFg+gWl5J
iKiap7pXhd5OOWPNux3Il+i08bZfPtgDVuFTCd4rWU+QMazlKSuSVr+VFj2mUvSNmi50B69WXUFR
Sy55TYfhbOKa4Eu0QiVP/0fdly1HbmRZ/kqZnhtqx+IO97ZWPQCICAYZ3JNkMl9gzCQTO+DwFcDX
zwmVerqUVqrqls3LmGQmo0gGY4Ff3HvuWRIrz0muTJ+bHw5qZV3lgjsaFYOdSWizblvWl5b3cE3K
tgGqxU8S4rb4udJsOqnRouPK66oN8rCFK9yao7q7LPUsNi+Rhe3BRcW8xP0+XQja9BgCXmmyNU4C
c2zwFMi9nUaT5hFlc9GttR0P3YKj/kqJ8m4fpV0fIpkEIeKXYdLEvIh70IORfR5ue4GbkTeZomWL
sHFQp8SIGPEh7U+dLtdbvp4DUDe1xVea847sOBJsFtxG0XIUaktQ9n3vgurYsZGaT7YvQ/cwKhvm
2JHM0Ze1L73LS18nF2jXkJrZQUUzAWnP1NLWF7WRMNZIoKvGzTbOt80ImU0IQ2KFUSS6qNAPvPgh
ja8qWCkNGRPtrPM6jFgFz1aJBPApadkl99X6nkD9015HODrDYWv1Jq7nIFJ3xMPiFSNQbE4V49GG
3ilM1J0LJGi7ZklzBhn5NfY5EGsjvDSGGzlkyNer4tHT5INq10Ut67JhWMyV63pxW3k46BcdLuOc
LhaR5TVSrZMkESfLqvWyCpf+y4ow90cR9ypvCLvvqRqeaCtGkVVEatBObN91c7aQRnidVeh21/2K
qLr1grmoembhIi9Nu3JR4HJm+bDZbdmPqqWXK+iLyZMPePpY9R6shSIyYxpclEPqfJ+VuHI5ZPJr
Td4bU67miVLG1sw1w8JB5QydX4vm7Adw7Ndlg20KV+Eqkaw7zxrJ5ksTT21RMRcGly5MoMaGrNST
S1WHpbjRwaLN3kHnT5431kcsF2vizJVNJK2+oHMd5h01URBdyEY2yaldXI+w12p0feZDqfhzbHtJ
bmckgcsdbBrWEZYEmtXHKXCifw1qZAm3OV0b2hREtzUCxWmDVlQYmza56tGj+KyMgzjukUG/2ubb
wmk8n9wyue0rQqk82qHacIqru8fZojJrIRhqd3DRKaOD4n3T3i8hZv/dNCbxsDcp6k6BiaZKj/OZ
freb0yGKbyGqaekV+LNxWIRioeIYQja1fG9Axh5urTZcknwVlasv9axjwjIYinCsR7c26td7jMZp
hCkYlM3tSuteoy7UY+rDazngSD52GFb9a0c7cUwmrMhiPfj0NdRxF3wZsGDFmLxMFImLAKHrHFcH
mqWstA7VXSu7FG6oFH9h0PSbZ+5R2z9rPYuoLWg6B7hflSMN3CPzW7tUWRBFaZwZU6ohF2XcRzd6
48v6PYHcv39XDdRsO94itvBh7etFwHCATuoOGc+0W3ajg7vrQTRBNN0xnDJURBKrmaM81UsKsLAe
IWu+aGNS+4u4qzsyFMmm0AJkPWOsgg38hPkDHV8756uT514EMS7G37dGqcofRFd16rlHmrvbT21g
xFFrYSk+sU14VcxRv7gvnaDQIrG6E/qL8d3s9rIiQ5CLzoZXzVyVLJ+xCDentW2TCh9J2kAMqIGy
50q6GU3pzGAn82w3uORCID2Xp6mK5oMvF/4wx9Fq0B3QbZO3a9/3mUI2aAZRWGVj5IvxdtqvntM1
rxCnao9brDGg1cKmmTZ+CmRmrPH6Pg19Wn93iDbhu60jpC6YP99Xs0ojY+KiRJt9amDNhasuDof4
smyRz3olq3V6ERxvQhEbk4R9RhpQHp51v7UButSVBIdlw3V9QB8QppcGt4D2zfu4OWAECMXrBIvz
tM6pqEjzIB2ta1hChwNrbIaLjMY5R1VdMc0FEM5taR02N7z1ZMsVDvxTF9Jh15cNG3HUSns5ESAY
18ArYnrHx4V1l94p8RVIzGe0HiZiiFRhoIBPyIiJHsaoKr/Az6JtimpAUWxa1V0bQ9CZbTAY8cc+
5XUutxWBI5B1kIsmVXF/PZtY99eqtPrKSjm1bwiINh/B3GldLDbAx5gs6XNnk/Nyp+O4ty+Jf2bo
JUxRbTN6dfCazJL1Ph32ECsLlrXSV+gNsKp0CLvjC/BaVEINfMe0Nx4qEyQw8jPSA+G3eu7QjGUR
BQP9CChd6FM88zm4i1OQ+EAKSsfKHR2rKtPjQ7Er0VB0l22zW0jM23TXctbcVzOy4Xch1Cvz98VF
ncuDGsjVF3g1IA1XUa6T3VhHa4RLs4keVYN55LCOrc6iFgVUZs4qpNhVka2/cTro6Dn2tnb5OugQ
006a9G7JWsf74LVpwvIrP7cmF3yByvxpZfLDdL1J0O6KOUQzOySdvRDIBOG5YGr4mCiObMYR2ZEj
FoQku14k/Ffwr4s3vAkr38HfskwwyiBUfb9EqU8/yyoQ0B83ogQyGIgBzkhawqKgQFMy+EvKpulb
3y9xiDqX1O34DKc20eaRqn180ZpkfcfoXG1Xqo/Kj6HuN0GR/7266DTUPpmfgpIw+hEiMoO+Y7Ss
gYy0FT2JSXWoHaRe86gKZ3+nRJlK6DqwW0oqVpG7JmAMaDZaD3JFPQxF98IpFhWL2Ui8c8xpl/WD
XR7hiRwmL1IJdx8EiX7hZRo+gfthtsNUQgR0EUwYjJd+WNyOJRyGvlvr5Ave8+5qDDvQ2liLAG54
nCTTcaqFmHMqx8FnMii7z1DqLtlMId6SMvHsSi0yuEuZX66Z2Gq+n0pYL+x6ui6HGbESh1D25Jgg
kxk1b4z1cy0qut7KaoJ62Dn4/WR0tqV59BYWr19gIILhTK8+qT8DGo7TjLkV70Pk2xZlQcRhPKHj
SKE/5sQ81QtDkxgDSqgqdBktDWAPm25BoUCDpzvKK+AmHvHqyClJ1dYcIknkM+zX2+4h4hNE4AsS
GB4aPJEsblwobY6yvRqfKWBj8a3s6jTJY4mn8zRNpZ/27Vy2dR4lqfRfz1zX4zT2w3C1pOnW4290
gX7owsT3t3GVejRsaxPvOZfBdAEKZervAUWPO5SJcdwrSltdRLXrQ9DlEAy7mzxBEYE/xiU+C8AR
paSTxLjtQVp262oedFC3Lh+pDfvLIHDDdoD92PYeUMQmZT2iIa+qbVpwfEqOt6PzZNeJxObzbPxl
PIVoOOtmvFplTR/AXp6hEIC/I3AOGDXESVp+DjbQyfccCpn1CTjT4nAj0iR8N1xVUYoMnG4DPKB7
K8fjiA1F86XeZj3k+KQgeOddjc4cFbN3Q17PpYR/OcyLxDUs0niaC8+kPS5TMvNDigxwRKOWjvEm
CyhsD/dexOdDGLSuqpCuOGNiQvHpinbTwh8NRBkii6bF9DjG2Hd9WNw7y6NUhlSFg6M2ARNziJLw
eUrQoRXOC1XnaeIYtD6Grd1zw2BTUxD4zTefewAaSTaMtq6fyLKhelRBwMJLloYDzQcR9VExAQ1z
+TQ6QFsZRFBLVbQQF5LbRM6K3yMQpHHZChdoubNrSadsjbYEHYyQofkWKKQqZBRSD3GPLBuXHupV
+vQbw4vyLxoNKjtRHfZpnvRpF931lScwTZYYCupGD8PDCgF/t49aTYY1oxDbOwCY9bhVGNQNIAdc
1AuaQmS0lzOCtYUur+uJNNsxTMgyXgsJnDZjMvbwS5e1+iA0buqbaCtH8JJK0o0XlrsguoNuMmU4
UyrePPY/4yr3yG/0ag+mmxxybFWo/Tr6QQcISNwMPwY94JTPpB/OnxDD4FOESsgWYlQMYMONBX7Y
5dBXGG0zeLGE0RVhEcVwSU0wXjTgWbivPlqFLkrGSnPwqNe+UFTKbtfHMZ+LCIk0pstmNaz1HtNg
L67KBPZrIF/253gwpKVNRVs3YrksDUl5Dp1IJWgBJwaCA9WUA/bZWIVO1SVzS7yhZzEyuQBIMGFb
P6O3y4DDhl0GwejWFjMug36fLDacP9KGdn2A2SFMTIy8W5iYfJfd0EPP1WFDZnAzHdAnJnnQK3Fg
kYzW5diFPObP8IwezMljtF8kXniTtAl6kCWebmna9MtLgFcjgqwOTTzZ/dnNGgOp45tLbux5gr4q
g6lb0HyBLwuDqbWsqtt1CDWGFWVjhgOedMCs0hy7FopplehBjN+aFdM1uH1rOpAPZVwwoxlIKQam
yUDb6JBWM6lLLSbLbymKR4VWkbfbe1djG/Glbf3U7ZMqGQOPd1fGI7KYmWruE7T7OMuRSBO6l2iN
5o9aJtTzzIQCbs0+TSz/FAKfaxD/AvzffBUqsd2zDOwU3E0VFj737jyowrFg5X2Up26GrzFkc1L1
x3rA3gsXSSLjvUox+LAdchTtfAUFYEV9vmGHNGHSbVTapAWhzPArL7FJOqG75uyEtijRj2Pfduoy
rWI/HQOLYPYvMSElydm5Z9vbaQhs1qeRD04TgTvVfWC1bVDjYEOfC3TG4261A1c3jTYQugyUpO7T
1oPSmHOiseRp4n6ExYyqAvONMy3LT7HXKP4j8g1at10GG+K70bLC17A/elnFK/opRFznYboYe7FO
o4gvFFB2f+g7tpFnoIqUXjYdNoG5JAMIADvoiYniBa7NDdjWGVEL9rOKIpvHbGiDDGfumkm9Jtg1
Uthj7EkIavW8b4IQ+x42YsWzZj0i1ni2zoukhapTmlyYxYrtQiZLQEZYukXeCmB6FbLSJivC9kRD
pfUz1XBV/0irxA4nNLZNuu9pbcWj91jNFH3F2wrqRBDS7ppx7NlVWfVj9+g53pirNeKdviQWkTrX
Ds81QqL5utG71qZDdbm0SnRPGPSa0uXEoluei3biA2DrBB5tDcktDrMMcnh/sFUW2AOmXOw70AHP
FsbpKxwMiQ5zIWCAOewGrIK0PaIBU3hjTdpKdYf79AjgGWQcrNLQu4n1McbbDnGVoHW3PWF7Ui57
h5O8F9uWnjBEs+AqCkqBxo4RuNdF5zUejw6kZUweujad6WnrJyivw2idzKtvrIBpRWdhHbI3lVzW
Ogs9oyl2nBFIV2TW3OUMwIb+MjhY1t9NsF3Q0f5s9RoC01gowt252oRrczF43xXroM6JckazG6rK
ZDwmUPL6i3mUNi4qt8rxFGn41AAiJdi3TqtK7b4BiB9mgQ7DYI8dpWmKnlcCY6ectUSHFA9N/Lak
SJG/KreqXR5gyZAYYO91qbb3eKRx9VV2E+mPJIbU8UiA+s7XcA1Q5lMPS2r0NiNNllOYBHr9vs60
lad1rQINgG+JeL4JtCMZ8GWL3UqjNch+s0muLRm0z82K4NCjwlNoC7tFUZeDG8+wM0+SM73W8b0A
s/mmd0gGfiK+q/S1Mls4XqaIvdvOn3ZaQusgzIpkeJ0m7VfAfEFctJQHUsOsFfNMrkdc7cMOnXWH
GyQK6XnM90r6WxEoF+drEIQKh4XPCnIJSc/voJCAq9BJKCpuder6AHYDTdq82/P98T21sE+AlpxW
x3kSa5gR1Lv+MVYqMjh7FR1mk0muoaoGxISgqLQmDSniiAag18TVXN5EdWr8HmUUXoiuHxv3YdpF
LqdpSwf6ohbLEgwvc2sv1zXdlheeDtLdnj0c4ws92DIbYHYzZ+hGqzNYLheHey4WmHd8XUV6qWso
DW6wKBkgeEdvvAHamjugVhTBlQk1bxCuzjyDsCjyu4XJDqidmusH0CRCdEQOocwPLZiNuC8iYwPe
jcLxUjynkggwzUeCfZY7jKWaJ5M10Psl2cTBI4hz7L6V/QCQVAG8BWBDzBvQiq0JMmbQvrYZRZU1
wBD7CWqPDCb1mDv3C+ShCAcal4TVr1BYr1Zl1iPEZj4MztCmzf0M/3D0oYQtNCxUXIPKUfybVgb2
vAHlB2yqYpMTMIJ0FnAzlzmMkuOnGL8dXDlfV/Io6jP2W2H8XuS5Zibl7RRptQNasFmQrIMyOP5b
aReyrDrpL2DUvSwFYe1ks22t6S0WVqMtWAnx959jMP0YPsfWZBymUfc7Ij63ySfm/hyl60dDIdrH
DusaPG7cPHCAFg39kxKaH0PnJrg1irJJ0z1ukwQgknDkWqNa63+h4f0DwyqsDH7P9AEUFhkw0rCZ
CHD+5npqzNXggwkeiFpJAE6RaxELkIo5uls0oFsMWG1A8ilY8Dn9cwrVmVX0j9hGPxDLKqxoliZQ
6X5CmmlfNBC1XIM8OOfo17B+xC6O/wungT8iU/3ABVWzxqUGTvEehgBz+mjWqbSFrNDnFh53JriT
wv6hR1e6rOO/eIf/gGT5oztRC34Y7iYR3TOOTA4D25ndDKz5X7ygP3r0H9hnEol+Oq0FBXNk+Nqp
8NlzWf4LuvgfPfYP9FC06fMgq5LuV8R+ZLVaj43t4z/54D8wzEwYmnGyjO6BQe+wSG2yMgTy+M8v
qD965j/QQ8vFNYaKhu0rEmjc012ZhTXu/n/u0c9/9e900FEnY7CD8L5E2wBvXiOQMrlNj//8wf/g
CiXx7x+cqXDwcmlxudSpiN41MCWfE7ZGyBXi0SAzacHGvoDIico/Fc8X/2hTVPPKp/BsoXvEodKX
ZFb6pg0Br/7zF/Rrcf0Hp/tHk6K0XWPAQlWyH7iogUCLcfVYruCfjzU07DlB543/MybhyA6NbD+1
W/MpxJVGL0rd2BqzSlXvkM74vrgY0c2ZSdGS/e3Z/fu35T+qj+nub89D//U/8fW3SWLYr2rzw5d/
/TQN+Pc/z7/zf3/m97/x18PHdPM2fOgff+h3v4PH/e3vFm/m7Xdf7NCXm/Xefqj14UPb3vz6+HiG
55/8n37zLx+/PsqnVX788tPb+9CMBYYe1XwzP/32reP7Lz+BXYg1yVmd8u9//0d++4nzq/jlp+Kj
r5t//Esfb9r88lOa/gwRCg0p4+jtz//96S/+49fvsJ9BwIBzUxqKCBliHEV7RPJp/ctPEf8ZMEQM
ikwogF8AL/jpL3qyv30rIRF+i7A4DPGI0U//9eR+9xn992f2l9EOd1MzGv3LT7+G3/33JYUXx6M0
EkkSshgGFoL/UM6bkYKcJrAWaRSQbJBWZix0XeU/1864WxAFP9lABQ9jbNASY+Etr0BwAaMB/NQO
LWnbvw6dcm/oqppj2QkEgveMYqcrbAZIwewbEMbuF0aWBzx8jebPy7sKIO8HZpCv3mrwHTeBELoW
yBebkulOCl9+miPsRzEL6pd4Soa3icMYOwConOmy6+7WiT50U++uYBAJqlXM/HPcMrIj7VZmFZY0
hQDh4nGaxGfAa0keejAyx25ediwI/IGM4BEuUdQUWks0bev8SIa4PhN1J6gmjHiQS9AV1pr5MRlg
oa0r9OKVRwQ5V4ZegMUyH7Dv8C+4uYJyE5X9d6Dn48nFVf2Vs2EGPKHNVzty/am10QDX/hLsiIRB
x5u4OG2KdliCEPupMvzStYDAkXFuMV5xcfIhGDM5LMMnTAHYd3xBAkgDCxhBkyYDdZa8TmEqMlJK
DwIZ5LFTphy9pgbBG9madvyZB72+qudwQJ/BN+kgqZ5gyvPrRf7/+rBfN99AEp2+mx9P++8KxP9H
JQGHJcH95I/rwcNbi2Nfv41/XxN++63fCgL/OUpZijMX44DHZw+Qv9UDJn7GOiaNGIWdLxYRZy3i
b/UgJj+HIVy/uQBTEqf//K3/qgfxzyRJqDhzXAkPCRJF/hf1AMzL33WQaQJZiUgJ4ynqEuxbflTM
TwQX/xgYvSdghJydyBYgrVFPQd8CqsaOI3YMWBEtTrODaFvQAWeYR43FEHRg1Suso7IhqvhVBONE
IKtLfGKz6Jp8WAGE5QBa5Qa4i45z3tohsicxLHubtrEDmTUFeLuqGMAwHLk3yNNo4HPbJCVob16p
ohlGdqwFTu3OWmRTH9jadq9bsyy+CGOYFOw4gDSwyKcBDpxkLKvTAqbqVzTCELulwh8WJ/jd1gFk
gpl/sBuQfQvr427aSSQ9PjiQAb45UDDfVoD6wxNittnXoTPj58hWlcrXCJvcbKBlXe+rRFfvjqTt
S88HgA8ziRx4jh5H8JC6YXnUhFgkjFMVnUg629d1lXDz2NblNeZgJWd+JPKmAceIFMMYti5jo9lA
II+imhS9CbCyY22FdEg3ILoApkAh4IEKc/PtoEIQCNfQileJJUf1RmD322bNBNOuHTblFqUzUeqG
JSEFhxr0qMz4OgSSLsbgUuu4N3hQZ7ciAK03vuJu1XDQHKcpPE7hqPLEjPYF9a/ts8gYjRfQ9YnM
yKKG/dyO7VcsSLvT1ibyDhq25L0Ow+UJC3wsOLEZwFTsl3m8lN2GZSKWScuuRHbJ86BhPec2PoHc
Qm1aQUwwT1h9b5Y+17YyzzPi1Kpi3kQjshmR2w8hq9p5h2ewPDtv+rtRzvV9B16n2oPmIi7qBsGO
4OdVn9tqSSnwW9qkvGhGu8QFT+32AtTDqUuGVgkbnwZFd28DMLIvgsS1b1Q7rOPAPK3iqzCVo8qo
IvBAXUOsxwZCyCd4Q7ZqBwvKFWm3sBt2uZy0KTOzphaiyZXrZ8tYuuW298trC9j2hExi+PY3Apvu
nTPlAKWMgBYk1x3DQidUzRgfPJLb50Pp2zMjZgatqiDAhA/giNmTHpLo3mrPn7oWll+iq/FXgxEr
klxgAXZXtibuH7DMmjIsseOLZmbxXVhv5mpxBMFlvR7pkIUhH19H8MiuUjSmQRFOin2TWB4U4Tjw
YA+E3Vw25crA+ltiSBHo6HdinNirqNqQZ0PYhHM+2aCSBfgPwmNmhd8KDNXUkQN2bPeTqqErmIg1
ud8Q+AiCl6keEiRZWMzArfhMfDO/QPHEvzLHk6vUOzMCvcGDIzqjy5OJv1jX8D7HLg3+MyZM3lLa
MHJbJdXEdkPvQcEHU9PezuOGpQCSk5JL5RJQ/Daga+0+VtJ+plOtv9ZtBTC5B12yPyjUgXYfdZuN
L7o1AnpUMcgfspK42GYl69L6apaVp/nUpLgv1vAadKAFClnnC9B4sms6UHMyTJj+GlKMJCyw9VAG
5L4QsfJTCY4flARm5RCrwOomk7hgwcUMmrcOuE55EYm6f19nG+5bUcWnESccnvlE198UY0jxTCU9
LIRs2Axb1mRRGSfflB3Aul9TllwtG7YAN5Wd3JdgA6zXjonOQ3CiTzxsqydcUYDBB4GrclTbtMfN
ZH3t7NrfzBUnPlcwxE2Bm1XRgWI+FDuaum+tSpZDWsFZf63XAQyFpVsK24bgYgCTc+xU9Wx7RLGh
w6dO8PKNtwG/iSpcEHuWztinVLL73Kxw9wO9AKmyAJKH4GUmi73pnCDfra8BYvEWk1U2w4YmhVt9
dSIkmt5NPIsYtb2JyIGH5wYFIH0Lkhd6rmAP14A1PSSguamdTyjRuRm3OLpW6WouUkxUn3gZYl8c
ertmg8VJSWCFNO40GCtXMW2+VCYcLuK+wUwTSfvWL1Y+Wo/EE8DKJKNYLzwCmB3hkpHMCNmGTCPt
skr0EXaYm3ujAu3jRbPE453owByEzHJ1x3A09Jj28/bZQPAid+Hk+S6UsLW9UKVJmkeSDAvFz5bN
86yx6chszfu9wO3+2C0RuAJdAiVVFnnskm0p09sJw9iX8wb7LlrDaR/Pi33uq4U3d0NtBhSUqKIs
i7Ge+NKCqHCBLnqJc+tl884sq/O6URPHzmgWCwRT4MB8qgLrvi8QogwFHYb5C1UJWAJGa2yBy7ay
eRIMkwF5t6QObMMUjB9EDUP85VYOxt5W3gEP3cgubcrKFRwboQ7JmCF70aBd4MYNgSLZwMaPBgFG
hihBYBPpgn1CBIamdTXmQFtnEvKpnSyRZVp2xr4CG/JowUHFr7MEcHcPFqyNA/jipOPpnG9ya2b2
YPt0KSBaeZkqh4NZgfkCkjqHcoyWV02sQI5bdPK+1C05op3n4LjKOTdOrkWyNl86zHZZOacfdGm+
mioJDmHTTyDxV4PNrW6g8KXVkryYDqu/3SRRiWEcrBFTFk2Jj48J5ASA0JO5lUf4VNRQmAWglOZI
EqKuqPo1nvMq7e22XxRXS7bU/H2a5qkGe96Ez7XkwZZJAj/cC9/1fLnZcPm8Y7kL5pl3aHWSuh9M
gVzQ6ZSA0Yn1CGkvOlB9d5GDvZ+tMbrYxfAixYHQRR837RGiJrKrQZl46GjY76kr+6KEZeW3AUSi
77wpzWvPY1CltlV/DWawQrqNJU3hwd3C3pmW7AZrbZaNwo/hDmFMW4tVwNgx0OOmIHhK6qYHywlS
vinnnZ3HArQAt93MHPDlDg73kJMNErMIzDJBVds5VS1IFgrimzl0G0j3C1yYd1No489RWnftUYAS
98HnMsoG8PFx7XDZH4dBizhHRUBwJsjg/HbbemwJt1GJa79JcSImWtfchMAkBqnjS6pU0GWlq81X
GRkgJuDrr19IBKdqbFRMLHIb8A3VoiphVzKycGgyQyz60Ir122FYabkUHd7l6xDcXUgKuzhlGaxQ
L7tBlbmMJmh3JxbpZzRRGwhiIoy+6XlVny32xZf9QHldjBEHDRY3peWmUgJ72F4oEuRpSLGGAmG6
vbVpWNcZmLemkAyUryLsjGInh0n2CF05b1HOSLT3kHzg7relc4/bKsHfi/phu6Y9jmm+CM6xdO3Z
vRfb9AwDrzTNKW+mIw/SFFKv2bYXY1hjj9yCLgQL2kitO9vgIU/NlK7NrQrL6nppwQbN40ijf2Fi
vo/kwB6QLYwI1BIKDZVVboslamWE6wRsDLzmuLdk73RbKKwIC2dqiFlg9aruKXbPV7bE2wM9U7jV
Gco4BVEOXTFKBggch4Zgbt7xOuHDS0Xb6SNSQ9Q8QPWAclH5c3fU1nKTsKU3/RsahfJhdctanbiU
msDa2awbjo2ohl03NOmIpW0LPhUK9GogI6vNcwenC4f7MjG3dlrLq9E6B/fgXn0MloYPHgoYXYRS
9Pc1QnCfopmI5wjKjEOEMKsPGzvyBLmJvwL/N3hdSYkYrxKKins/tfYV9RftQoKk2yQfuG4Pw5is
a+YHwo/wvlpfpmbtNyxVw/6FJUSa4szcGlAEIAI6TNgQg1cNSrfOK9iP9+iUSQf+XdCji9ENlkkX
HN0/WDQO9LjJ1fGx0RHr9zPpwGZmNe5uWYJwsvVQxnXVXG6GdVfUJut8tEkI3nLT9jAFtqIX393o
hm9awWMeGzjkHe00ZqnnpF3hvcJqDzHsgWC3EOS4euvkEjtp5VCzWtnuKaTADryEcRLB26R0erGC
ksynQsCmrT3WY4v1QL45jDvI84Iv5Od58SF/oBP6kgOIqBEovh2871KQ4OwbHZdMr4iO3Huo6DKz
9JCDRskEUiqi1I4xzhMuzC3gw6lmBvoKGwPWuNlk9X/YO6/dyJUtTT8RCwyaIHlLMr2USnlzQ6hU
qqD3/unny+6Nc6o32kxjgMYMMMC52MCpKkmpTMaK33yLgdWkf0q+0H7SOW/WYxYt0T1uZ5NfqHas
7HLMaKQaN7kltYiN1dOQQ8dS8KB0jDIzMItx5KaSl3a7EHCKm6a5jdeK8aim9kcFXdSFde5T6i5H
W3RjfOdOziDvQCVG0z7tkj6cR7u8J5rWaDeuzUzytOS6se5gedrmtpvXODnYIk3St4RsRrHHl16W
bZ2h2XxQM9I/vSTNpF8vZGM/2DJeRr4zK+EwJPVmpPi9T0YLpLXrGDPbuUkC3HOgAaFaDP0Dobbr
g7ZvJ2JoUW2EUWIv3g3HdzPtM1cMR4uQS7sxCEPtYZxlu171zBJGJOfHuGQNzGFJZKpv47Y2XSTd
QaW3lUVSM1gLUfWbPjO6baPFIz1BNckd1BIvOpptNdO2SckeByxxdKJj2SBsGWy5NPTF52Qosg2J
r7x7nzPG7bqZl+I2N9E/A5qU9kr4ZOrd+ljq5eLtI3Tmxe9t0OYvHFKyO1hzXzLm6NN0M06miw+a
JKyzeyYnhoUt+AxX9/jlkLllDfuZNFzC1Y7A8CVtPO+dIL1t+SQNa4pH/DgQENpkWfdCuc54ijVr
zenY2I7lr5rTbx2jbaS/uqylT4rs3Uu1iIlc1OoSZzVnohXVH5o5e7Gf6ytNM/VAlUQfwjbJOt48
3pTTszXHlEqMrOMwiYjaGH3BMVXGWvR7TZj1DsJJuRkhMYyx3+fx8rWo1jQP3SQUA6s+dsemGYdH
YlIyoOVhcv7bS3EYzUaz8F7zh4GQNzhrKqYnNfOJZWqJyH1EZI4l+To1/uwcd8iZ3l3KAhURXcdf
uArn+6RrlQw6NP2XTpmK34e7ot/liRJ31LNz4xY036hC/jYxP4tFfFrYsG649CvqaiKgJzPvZlU6
vxoe/WSUqQg/d8LixpSRFfksNFkeNFayUJZz8PLrvBuCvliF9HNlt3m4FrZ5Z+fKfGiSyrp6BsUh
ZQXo+tMUvBxyku2J92X/xCvv7VF8df5+5YiKSlt3qJFQP1Wnq5dlSXpapKoHzJ4K4ziagsI7boQI
Blfk7yobHfbdt6RXA6cSFAWm0a71sGygD5+9YWh4Lplu4W01frCXRmXeCe99ofaWVWhLpRtNgDi5
7IddG9F0wlmP6SYlbEgMp8GNeGI3RLL/Z9XN/wu9DOPqFvxnwuVl+DV8xd9tu/wb5fJf/9q/Kpeu
8QOrwLZ0S7epj1hX+tVfVob9w6YI6dgQEm3kyev/85d0KeQPx7r6FUB1pOcaV07ZX9Kl0H9cXQ9u
RdfnjH2F+v83pEvvb8KlZGByLak77E3Q+c+/2X527S36UA/NRnPt92gegs6dSl+pweE85Z6BLjZv
lefc1OV/BXn8t667Y/39S//dziQmm2V612w8Evk4EFerJCWOlkU/p4ZR4Y/fy18ezp+ejXH9Sf70
bBxDdwSIf9PWpWUZf0capdGI0mSVy3ZkpdORaA7iREpofHaNDNp//aarNN3xm242OSXXjeeM6Iq1
boejHN7Gqmx8a1UvaYGV0ju3YPwDOlo2g3X02lwn+qzhhpVU6UmYpGf/8+9e/DvfvucJF0AD8qPB
G+r6i/zT/CU+5sixoauOS7N3QDd0ftVrrd8wFW409p8GU7244ZqZ84V6X/JoRfadwV5DSGguG1WH
5o3LjwpSV39ny9JNbFo7o8p+KucqzRTJoW/oVM8Tf9YosElK2jAMq+5OVjSXAjqKB9UY+pNW6lbr
R3m7r0gsLKPynfV+qfSArO2GUs2DZad7tUw/CafTcI83yIUhGe4+UEl2zy3ooc6XR6v5Rb928LXZ
/5jpyu6chQUSvVk4txW3idQHj3LAFx4O5MSQWWlxh7bLDzOX5otFcJ/2rKGeZKbfl1qeXK2e+AGw
X35jqHn5TIve2VVeyvM+7tuTkeYzA22pk4MTXhtaYkjuyJTRys+nZq87mdraDpcimwf30dKm6IYK
58oUm3aXaYysPYvtymPfVS7pUU5/EHDVHXhFukBerQa/lPJjziKEoyk2ftb2On7XQ6/TDDxNQGDP
tIgUux1cYnGpmVVbG/X/WA58CV2ugTWWYquBiP2VJOmvBCHvQDXKCwyjmbaWFPfa1XKrlhi9IH9P
3PjYWN6zIrTuO/xqbHrLe9HxF+qUguVURGkIGKG5xbjfzEP15EA4/i9ob/+CdPrz4+TaGCh8hK0r
M0Q6V6/1z/ejpyrR1P0iNkOelypMbOrpQd30cRZgdmAy8Oh6ShJjvlnjQfuIWfjacGBTOuK0r27w
cZ9nY2S8jsrTRDD1m+17ZDMzPd91dtQF0uv0h9issteuGYZbZ4703/+z59X/q26ckMYV5vQfu3Gn
z7YkFpB9/nmm/fW3/uHG2bYhXd2T/zDh/zrTrB/ABWx6AkLXbTJn/7TjhPvDsqEj62RcheNwFP7z
TBM/eBcJrDpDWPwHbPX/kzPNJgZAg9uUHv+S+fe1MbKztZp0TL8huUyef7mjDvYbaX87YpdrUX8/
VtnvxuLW/8er9O8cMa5zPbL+/FBIWCac2ILJ1Lb5Wa424R8PaRXb5irXfNjIyGtZoeww/NN3BsBj
cz87GDo7tIlR4mn7TqKtD3NXz/khH+P1nIiu/o1jucwgpKA6Yb277lvlLtUpZTyASJAQhQ1x9zw0
qm5xL1beUNce9DHemnZkBNDGqt0qR+eoqZ4IEqX8FbcowgdfFFBP2d5NSNahNM2vVFdlOGTQAylL
BT0XI4L95cNSsFCzR82XmqGfYBXovjW36YM5C6z4mRwMKBpN0EMR2dnpiM75w5xOZ7p+T8pz+XrR
Mnc71OHifrGrTVanNykn1W1W81LM3irWIJp1mFNJlvCXpyXJgqJqxi9TatZz73TwprpBqLvE8dob
u6RmI5Il8g1KmoVfGwvVfVrKFPtT9ZJMwntAfcQpW+Ma+aHaickYOIwaK4xQqt5o/ZiKQdrSAIRk
yH/mqLl3E2Hc39FssC6au39LqyftvV99TVZhAwJG89Gz9GeUqI7/BMsjw6g244eOMmzO3XLJSPsa
KqVdli0T3So3PhnYr6fJ1ghm02FDYLDleU4K646uTRJvjGyxL42WUaG3Ov0m6Ri0hnouL7OaEJ05
G/Ba1sbpEUUKuu91HZW7yhrmmzF1e9Z0RqxtalNvm7Ii/VTOY/3clFh1QVN3mgrJxFQvBmwbKu4Y
tL6DGKXtaO541UUZ9NT9mFYI5Zpl6JGyyqYIrK728DMhL+2lrid1UMWYKzSqwe1S61R9TwhS0Byt
c3e5489NDcJ8Kb5tzbH1DVp2yWHfe5dYTiTwdcAGdjBcN9XaAtYCYXhLUvKq0nGnRh30WodBv7NY
dFKHlartF3sZnXWzpuyqC+WIXBCh7bo+1Bj2bFdOvRwiJp5r5d+ub4ch7j+a0uCNlDX6m9Kr+Dvq
nfqLVyZ56LLSu4MnDwylWfKl3CTWEL8RueVKnQyJoh9VmhZpfjFepDHwVVYjFnuWl3h9sOSO9cEO
5e4o11TOQWSNeeQnYxqXYWyKZUMm09imHTOLUa3mQylc9jhPwuhXAinXVg3B/fmrKRzJrkM11fdj
JLyPzq3i1zbh1dtYblvdenmeUeDzlHwZWcXlO8MgZiLiyfyJ4dA908nl9m2UrfxskrQp/dohTSNE
Sy5I5mmrB41oxLeGUP8Y93XxMtppdI/d4bzRSzJGHLmce7kxmfqToq6Oui3GjM4ZvuZjJZkbu2WQ
k68aVRd+BKehCztzKMxtErvMfbLNNRHKmbUqKkaU38S64e5ETPU2iNUqQLO4+p6E+jju4ixuH8Bl
NNAtlJ6f1gwVjPEk4inCklA1+diQ2t0CSrWAHepmLwAikVR1vUqvvRun+tJR2fVQ2maxX5trgl9o
qQNpYTSuF+GEn0eCJuITn7rpRYP5czF6x6Z36dlOFqylmO6TyjVf+JXaflVL8pDSreUmsmT7SBk9
Di16pxvbtIv7XCTpZq1xaPxazs0bNX0M9JnHEEqnJT94mPMbdaG5kLRyRGkH6LaaFzQjMEHqGTUd
AFQ7eDd8yHszgISxHLS6Pw5KLiW8oNQDRzKWPBZGkEhVmGnreKa1O73kYFcIblg5wzq+hFHvdcMz
3jHgRztQg23XG11oMCJp6qa34D6HCxn3+tklIkWSKRoddxNNpfU2FWv9q1ErIkQR442BMPTQbHvQ
LWtQ5wjQvnLbRR1EpBmOz/UgOxdloceXivWq8QbojXmsKGrHuy43e++4UHNSVPYFn662KhKwSIgL
n1PUzlGwqAjMdMkasG1XdhA9JyoXW8sEOBkic5MLA+yiWQFvnHYMGwppyMWVVkCAmnQvbKIKAxkG
W8cfEbYd+1hCw03b0dHACF2PHk1iXAY3uuWd1H44oyZutax1Xoa0LY6ELLLTmtLDuUph+V7GCydo
Vg7LK3RLHnrAl6az1VN33xQZT2oKp5BX4KU0DWag5fyqGMcf5wxnI0G4Lfyp1rOaj5zT/l4w4e5b
aeJbJ2UK855E2tktJrHlB0UZVlXxWlaqPSqWlyZB6nDsYJqojKDJeioMlnhoDg6ww0dvY/Kdf0Ki
OuPkRpi3uo1rwyD1k/Byfmb/dTdtqD7RJ8zY8pAERm07+j5SC1mdDBnmU1eL0/iDZOHGTSWXnF6s
HONXHReIX/SVwRG48+yCWxH8bHMUL2/wSuUTj9/6MreG3ClKDO8V5/ON5OIDtwzY3Dv9btxj0a24
OooLhgrG1KFNZQxkwhGpYdkFkmLPxzTY/cVytPEczZFx0Z3O/jYXcC1ulKzPNh+kLw/F2Qp6XSbb
ucp3BhXkOnCrPiL+kPftrzUZIcfZTefY9LDoGF9/acZ9YjUDWUIxHAbk2vymGUfn3aZI+3vNIpjx
ODYoZiLPYLAMaQyxDMV8ZmUb2YGRDIWK3LdF1PKT0yW5l0LEM48tUpezbwwAhsKqr7Ve9xvWEt9B
QKsablGrNcNRAKARaGZroX0NdjjjQ/AhgGY2d1r62VBrOFdj9ToWLR5Wy50vTgXwlqKjRspg0BBL
6TXk1SW25KNczesKjwUDKigiK93WMaCqsOCVEEW0kKiihQSJzHC/GqM3T2UsXdufHUHuKaq8bt8g
H9/gWlBVi5rnbDatn25mePne0XmbbTyjA6MgDIYE3xqc/rcrtZRY1OAAjLSgBj7QfFMRjr+JA+Nm
KurCeB5SPp3mAJkMukXLm2aESQp5MM2AKg2zVp2G0YIGhH8gCKWUJYNQbnHo6xx7ba5zbXVXl+OS
A178brMoqnhO5+otactxDbTBmrEGMGVCHW7oJk4WVUAxQV65yeZiOSZNov2MkpY6YULCMvOzFqWy
Rpn44AqOe8PqN+1DaQjogckiw08oWjwFPKNAnBSrJh5Lt7asvRpBWnBQrdPzRA2dwxjUU3dYgHV6
Pm+BKQqyNF3U7WLq5oOOPetu84k2sZ8A1mxxUMrm0EvD+VVE5NRnKwpcL8vDtqm9wOyFxBG24teJ
ehpu9crE1uLY+VnRVUBLgH3BNyWdj/SP79sL7WsRqn7X7YAkQ0n2ge5f6tGiVr1bbK1EW0jS0mQd
1povVivjDhyV4vFgx2GBpUZFfWEh41zu6RnPqb+krnWf1pq2mYrS3VJByjeOF1kcuWN0oQxOG9wZ
3HXrtsUXTFDxyjvR/E15Lt20VGb5hFWOdyE01d6k8Txp/Iu587CKJak2eu/Fj9oiiltjmHj9+FC8
wP7gcUU9mjXg+HbLa2QRpqU7RTYuWe15CVHkO0EVtx5+w1AYvqx4LBHZ3S4uSBRFJEkKbje/Tbcb
22DV4vjJqgkO+1VnWLdThyudGNAFAmXwLvSzZCrjUAzL9DvRSCfUa1M8TisPFb8uWeMS0mZ2SB2w
L4ehsu9nYz+AbaTIms3L0eKNyNCbQ6adSCT6ehbHFWX4xYw5xsomP1NfQTsiEDfqGMZ5u1FCJo81
HtVDtUDIXR04HWvhrG6gN62zmQx3ClB9yE7YzTDpGGJSO2Z5BFVpXig08CaW3lMVYfbCg1iYBDko
8yZU7Zhjrgia4yDwZEyrl/2CXahZCy+tY1XPAo9pW0NLkJsBUZDA0RyPG5iTHi6n3eWv0G+87kiZ
OP7OHNXGPoxkpqKSpb0EyyStcMQ0o3rRBzN/mjrd/WUUqtpD1pvrw0Bz9q3kZgwCx2zTz9SqlL7l
GmvfYbDTOzS1EvieoXRxAqXEeOjhFpCiKtE7gRhEFg8HQqqIXGQu7nGsAUD0BW9Dv01WBmzi6Cro
rFa/GE7SiFNOJhtoYmvpT07Zmj6gue9yzWcHQ5N1jX4rnEj6Y6Glam9LBfKghcRQ9UCAoUYhTh0T
zIkjS6F4wwGgyA59areXziTyRAMdWIptAffwx7lOdwnp3MPkKrsOtCr9JZ1Ob30C3ZTZvda+l2l5
Ei5xoKmpDoUBVHWOs+d4lQV4YCE3JN12JUW9XVJpPVamMvzJkHcdH4C7RIvczYKdGqBx4Zw7jB9t
BQaXVHefXdNKXCzwPcJ4yEEjj5O+zUw2lZWNKO8nC5pgsbSkYARTo1lQM434MouV31SlSDYakCTf
WQi+L3Mq7ygsdFsWwuwHDjYgrdNGddl0KWWrv+hlQR7A0lMq4m33WkYj1k9iyIdRumjJNYEWDOI7
J9ZI3Rr2IPcAKLwDnqMVMZ8YauQJ5emhFzXJSYiM/EWbuOtGbyG4xm7lHdexnaygiryIooBbfrud
s2uooP+ulzi7qBGkaT+WHpSj0T06sUHkpJHql8sBGji8QEOb0+HsrUFHh8N5tTf8i5l2Wf8lUjGb
ONIcyV39VADL2BvAfKm+Ykk9mUWsnfKoHPyRDubewaB/rql4fkSDvgJ10xft9zg4ZfdhZlyDGAAS
mtBl5Orrrk2zyeVJasxhn4A1oslV57800bc3i4iZLMfY4wBLZ6EzDdRLNm2B+Vz9ONdjM6zlplvg
kgO7N6eRO45eX7MtiagirplMCmF2PTNrt06w0GuXB5U7wfsOmZG6I6vceez0fGvvvbTWEWBSEiEg
zxpvihFz297bBdcEYFomqHGj6qwMrt1A4NEshfzooZB913ZiRLTRvWwJXSTWgzd6s7cHb9ipwCxj
hujJzOW3C501TFByTt3UTeclnUklQ7ZiMB1YAvHVFlZf+RYopHtkgWrfD6b5YPX6SEfC1XkkEped
QvI6aqGa3MGQTgp2N++SJOJynublaAC5MfSboa3rPZTNq/3q0o3bUojsvwiMuP3u/+uj/zsFJkN6
1/bbf6yPXoYy/fz5pzj611/5SxyVPzzcNHwAEzmQAMw/u0smBSUcO9eVmPUSofQfhp9p/LAFqqjn
uNe205/VJQ+X0MDt5rLq0FmmJvff0UbdazfpT40Sv1HiNnLPtGz+9/eVWUqpTCbc7XYDMdJ9K7Lh
s0xkzf3RjC5mrnUnKthLmGtWdSpHcHx2UapDO7vpCXsdhxrl88UtF/sXea8yIDirbR2hEzJhG8ZJ
y8p4s1qaJBxtR0erSBiQ5vVTDtalAn7G1EqwYi5OmsaJy0HCZZUurN96yfmKDg2Izb2QOPwVWeS1
Rrs4Zh1tYKPI2QVl6tm8bWq8SbgSySZJHfGc24nmEt2N86O5WuVtnS3rXSmc4ouCAtccl8bUkhjx
nq833WF3alvD0hTPQGmpF0PnIt5qXEetZUhCcFrZh10MOfA0vmpUmAy+7CWs6SyY48FiA8ArZN3p
oJWVGToSkFtTFvd1klWf0ET7YyrIOkytO9+RwHNB49uz6XcdGxqoV8zDJc7nea9BAD1VahrQWzt7
RhGBgBizg/mZcQ7xcZ4fQRercxdzjhrRWO20wrkYBBqer7jx74b6wFsiJ+ueuD0Hhe56l8QFCgpL
kK15Mkoex7QwDp6xvKTO2FxiG9WIh7N9GHitT0Rnk5sxdssX2Bc6aTXd5HKkgEqpLGibBmheUyfn
OHZJeTaJEAzjkzM+4oYVZ6dGerMgRxEHwS0eZPMmUWgDRqX6S67R7wUaJ9w0b36N0Tuy2D4Og5Ft
EujJ9+OVi5pwT7lAufLeLDnXNwyj1sksWvMwUML+ZZEhAUeDJkHtLbbB15rauVzrq4VpefZXbQ/N
rnZVcehm0jYICNOxAIV+nvKy2TMFFAQlXRDSpWbcNovzzW5JYbyZKV9Zx4F47Ej4HnMbgB6UI4cM
UUpWmccubLBCq8uVikhRXKjrZGePfPbOgznzbKy5uCtzxDAFV+WVq/VyzhcvgsI+6jeL0RCBbcD3
owhM4cDWipaZz/BuSWrRNYurutvrcWSGQ8kxnWvy9zBZ7rnn9No0xpU93xPpiCtjPvR8mM/Sc56V
RSrGy2BeJYnjbvH4nCfS1nTx8yL/ZEZtfNlxSQhsbuh+lCmxSVvZEaQkmLWWGtTeZagCDQYc81+l
b6w1wWaHIHZbSBY2GFwyd3mqF4dide5o9+0Ks0Qlcdf6NnIjK7RTN7B7isZMqLuVAQVkoN+myEPj
wu3IqH7a8bIjPpOclA0Gsh707L4GFbxlYUgL6MXgapdZW4mICbYBpJhr6O57RsedbDVJnXsB6e9B
lvW7JYufQKsIWHc3Xel8pdxKLivLpfe11lpbuskRD5/rv1i0wFmp8OawEh+mznpw8QfQG9s+xIRf
HpWXgCqbMhLSbNEK0OB/IY6fmYLpMfZGGYhBcnuAMfYaA9f1dZExpWQUKJwq7YMKev1JT1V/rDrT
2lCEcb57N4u2XGXN23Yw+TARM9iARvAeaaXxqs6WwcODhHk3XoULu1q3vI8BhYqFJAVLpeZXBWnt
YDopq2ABN24JKlTH2dES9tqNHVvY0+UA75ixR3QdGwJWtZIMjdaLq1Z7qxwT8RBQHCmoZeaqwm97
gb8X2CtOgdDifpd5bEzRIqe65u9w9QcbeDcm0886RWfhT1fLTd/qglUW/XzUsyp6XUptDfDB6pve
m8aj3szlscwndw9YtvxJ06w/4WTr1/u0/sCHvEZKj8l1YpfLBHjLZD5L8rVG0C85YHX2rGHssvPn
3CkefEgGrrlNR6pQc8QQOnvFszk1rPFakh05UBQCSBK5xfIADgz7bSy1a3vnvCT85FCy4zEpg3Zc
UJNWNq29tapY6ba4aZAu1GMBbjMwtRDefACJ9sZs446e3cDnv2fzAxp5sutLW790Tg6Oe8j9GOSl
xlDOfd65GVKUZDRinCHTOqUrwxYd38dyHeeTTWvWgtRu9Y+xJhOw1NOvzDWz/VQpEUbReBuzISg1
ATdkqTZvV5eLctLp1ravpnVnos3uTJsnOGHJFQS82WyGgjSAp/r7eHSe2QfWe/7IP4DiUi9vdcpj
w1f0U+z9KFHauhUVQ+91+HlRS2G2W/0VfesjIeHwoEtC8PzrQe6O+2hU7z2Z/DlPnkzTOXOf3FQa
sJ0CyNWm6zWaHHgCAduv4ptW09PjXGXWwUnZyMKOLLjkhWe+d2Y6hUnjZgdOiX3ZRzW4ZK3d0cWJ
MN/GERI73Nv6jYFWnRq59HcOrcRTReLwu/AsDerMfD0GCZ7mWVFuOwJNobN23kMnE+SnGTdUH94G
A5ExLU7DlK5nUShiHrHBMZuzIQIk9+Szhr3SSTfzUOU2cNSa5jpaAxydWcEy4wgYcQ+KPTV3VU5O
h5a33zcpoW0qlDglaw9eaELWd2s8OGQZ/tS36BYQFbLMeBXzzmgfTTU1N7X77cwmmoWzROdmzlx/
imzjZPetW+7GKellSIqu/1w5hr7TVXfDGj32IrKYXvCChcDxBtnrCVGnf6LOZGqht2SFEUx50twv
o96HS223t9rCtje7L1ob1WQB7DVIOHJ1NO+6pmT5pIF7qBulCFfy0OEwtWnApUg+aiwPORTwxIsd
mGwysmbcPdWIEnPXuHeuZg8k1V3tBXQy4n/FiKL0+jtnqcRTDY480EgKbQcr5/Q2zcK7BwX2Mjvj
BUghNaYyPvdJu5UD97veHN64iz23xFu49GTmPbmzaluCSthy7Hm3JVptsln0nKg9KgdBSuOg7Owr
ja2dWan92iUn8t77qZ+GcJoskiCrVShYj2bFzQb+RY6YVaV2tRV6s6/s4bJo+gME0y8OtJepHX91
trUjWG2fa6WarRKWF8iUxS32sgrOXaawKN7YpXTClIjjbd1ZehDR9wtNyijnyI7BkUUqDqeZVogX
W8MZEjrdsbqZrjistAYSpZtPPH7dm2WF7caVULM2jPDlQYD4Na34jEGZnEB2a2FCTnffrJ1+zxS3
PLKaZd1a42RfBF05eKaw0xlgi9ka0FhRLJt8uJVpVx21mEJOZ9u5b3dGF15vqsfIIFgtTDHvTW0E
XdNqn/id9X5p8vxmcheO6KiRG1CexLg6OYfVGts3lIFw2DWrOZLyBRBeTeoIT/RUaHPzPqSz80KP
zw0NVh+QuF2uTL6+dx/axq3vvEiIHW3eTzcv+X69tt5MnD4o0vLQaMlybce/NbL9bMbKDkHw0CEs
mh0GRHqMsKJebXSdNzCu2iZpYu2Z7QBhIa8JJ1DjA5uDRu17Jla8YaKkkgH/K5jTElSih+pxlE0G
Tqlp9lwt5B6opORFLdRNpLT64rgcUqq6coLpydbQGIGtue17lVQizGz8bL+VjcaDx4SeN2XdFu5V
y3sniQL6d1fOk6dRrMs8dila9q4eh+i5XOLmXleGGzaEpx8oN5pnSUL9wAw2PVRGXr62isUzZkF8
G1bm8mAgyAF57/NfVSFQUOA5/4b1Fu1mTODAbZigaye1bgiqUMRatbL4TCDl08O6Zo0Fm8dOuAnJ
o1JMeQDwm+SlQ1znUVtjvw+ROguIfTvUJP0s6FaGcCFMX8Zdd4jIopM1K9UHHD9B8cQxwkmbil94
Jd5Zc2v7ZYHe5sPIxs40h+7d6xr1kGG7PVaI2MeJmgNHnkhGXnqY8jU3ATRRKw267nq4lvF9l1rb
tbVjBjbQfUNMdE3r5unsmGMUyKkpz1bXU2DUbWezRtH3VE7oL7A/5bbMF0a32Yy25ATddzG37BIo
C/NhWmW3mXvRnFSXSuZPSawGRuEHV1a2mSMzftd9xG4nLoCHeHGrO6mS5Mx6lGRvo7EFxC6bY2V6
OqeG5W3nsnFFYCSXTJvKDfVEdiUknjhCK0R2N7wUAGl7h3lJPXG2O390+uLorhnxytrwDpDozRu4
btlvftBmA6nPOdFPxSPM+woxLV9+29H61ZPO8F0d3bNGewQ/ihrLVyEYjmHFxFhGpyhWZ7DZTI7C
uzVQn1ixZo+Uju3kNdHSBcpG/l6xWilIVOrc1gNOj72m2xLaagBSbDpdL/kIMeV3M9U7m0T2qeq9
ZRO1MTuYaO28xLGhEfaZga3heFVhPkpW4zSEC4ahFTcWI1jQGEb5zJYIEXGXG1+UTqlRa/RHnI9o
a0Vb+kc7Vsxkx6gY79NJho6aeLgsjORUDTUlljP98Qb4IAKwucx3qdX95O0JV24uMCch/odwaLuQ
kqnDnVtau3YlpOpn1xUptskbFcCf37donEMev6+xflY8Pzc0QDAOgHJvqwYXY6w1dsJZS7R30yKn
QJa092Ods4Ag7pr92HnrRrPTYs9JkR4Fu4v8Bg7q3bAu1g4vkj1wtrodHVNXfC1dHZN5YKEOyxGc
kG6cYdC3jrqIPIXxigqMncPmtyZP/TGvcnau1VoWMPju4+qGaNREu22cbsg6uqxm0ObxkR1k5TtG
EB8ekyUMX21UrprPXsqZTkXczDoplfQeDID2MFt20ReH1rqSF3FHWKfCL/5cFVl5TvtUfHACtuda
y7nmxi3feJo1pEYSMatAaN7bYK7RiyEGa9OMV9hun1BqBxTMsoiyzcSOqnG/c2olH9pyzo5LL4eD
fQWwmLNl7YbRaL8kcR4SEPGQvINc6b9mFvzAEKf/uo48PHlp4NmyCvTQ803uPWNiNYVEoEyo0pPo
ba037tLTyzgk/4u781iO3Wi37BNBkUgk3LSqUJZFFsminSBoDuG9x9P3An91t/4bbeIO7qBbI4Uk
HlJFIPMze6+dPbbVoG4Ttge7EDfTjNKlvjP4nd7LTPLDMBp8DuTwp0xj6dEJRcdQ9FgmdP6uG313
DXOjZ25ggk1ock2/47bVvUz14BL8kKn4pN1oMQkY8AyCrU1hQfxeRa5ZqqNFk0RQUKbHvLaidO1H
Ox01z82IiGFIkp1FJjxZLxuaAH9Hiflvb019cnRrAxZAW1yhsH7U5XCeJ9iB8RB9J4mKD/inzyQl
GWBJR8iGxvjS0Pw4vMM2opxz507vRQWXIYrD8P6/ZO75/xB/BSSTgFfEHPJ/P9Q8R3OBxeWfU83/
+WX/Gmy6xl+Knpb53r8RWFwMDrZ0DIWm0yFCdYlR/tvGIBVfgUyUvwxB5oKJw+FvG4PU/3LRD5uu
cBydr7Ws/8xYc3Fl/HOq6ZhKoUY1LA4LXQcF8x+ITCMTmTzRs36f90BwzSQvd4NZZSwg9FvifNwD
iNm3eJnDoWr4g2/MPwdmZvxfFKCIsP8XP4ekgTdtm5A+pJT/rgA13EArOMb6PQIraiFbRzaTbIt5
bXU3YXhS1b6yLn4WQXNGY49EhnSxwD+z3m1BWRvXrrJvG0ld/TxTmor8RJpouY6c1mSB6mwGyz6V
OLpWQ0/Tarb3U8cIxm8q2FIW8Szd09DEN5MJ69PPvThrLkAL7ogQPEqjRG1vbSmdGWEGd1ggIQmb
ybXDO+6xuPtQdgL4HFvgxrTY261EQPU48o027KgnwJ/RK+inKxfMFn/iPg6MywBLA8s6sgM+2MYw
2lfkgIsLdhZbmz1dMWL3zTN9a9JsT/JcaKARGFT2zouWzA8YLh4rNjVNMO6lYR9zgvoIm1sJu3oc
x4XCAhNhGhnEKawCKmBWO0LA2IMweMFxfFujJQIT+odY0L0j3rVGPNkodQLsGbVZPwCK2sm28PRR
2wxo6Vd4sAOE5XI9dYnH4OITHNZ3VMEy6Gbia5AR/Uh39g+NKUOmYojTKkzfm9GeT60+nDWna7h7
Cd4bCMU2JuuRTvtQiwdGVr+IYnqf4bEagwvj8C35OzGfFo7fNJ88BFYIwo40rE8ZVRxIDwSJzWOV
jz/ckYexEW9zQzFeCoLwhvI1GKLtZEYnSdbgFkLtJvMLGgX3icdrlZhbXJ+K8ZqNtaLtadD620Dz
X/1yPvWW8VDbmN5Gu3siCAERIaUulCGBf74nQB1z5KYgKAX1h2l4NTOxBNu8O7bvMWRVqYC2ijF9
tXk0q9B6ihgywwHJv4sKoM4UZpuiibOVFICA4vZLtIyGfOFzV0xHvOierQ9rExFTnOlXlb3YdT3f
sQVMXvo5OzWJuoeS2O+cCa5LbQXDAdLzxkbxZefuhmTYPQ6CV6vz/yRaAUnkrjSfGpgIKy4cjOGl
uEcIWKy0YT6UQfwCu2/Yd9RV6DUZGNrkG7HNh+7Y49RTE5vw8sxOeA3fARGDmmALIMpBexkghQgv
7ejTk8Tt3lC6WiFQoCfKTbJDwgvRpzfcXygOD01u5ExZQUYvg/aIKjDwx5dybvdzYn2yXvbiIQfa
oOlL8KVe8+Yk6TqyDA+M6KZxok8zdbZVclG6wKSj36OyptZRW2yYz8LJ9r0kSaelXZ9n64Uo7bXS
0h2PBlDzUGZYhzu16nXMhH5v3RadfgwlE1s5P7FoNTfMcd8ieDrrJDI9Cx/QRAZul7Fsls1OynGd
z4596kHVBFX4ZfXqovvx8jrJOxcyN+gR8y5yg8OYuO/41g9RZ34XiX6IK3w9QiHtk0W2TdJ8b+Zi
uMF6DcfGZmWpowxfcIfr2Yc/w0Lfy/VLjZ9F0D7XTsXnJLQDy9kzKMEBoK4xrMu634Kj+I0Ou2Ai
voeaz4QyL6/RMnyhX1lHZghAoCk/CxPy22Q9Z2xFLP7BRsYJ8GMTQPZYnIqwfrLpE/y8fSOUtdyH
8BHY3zrPcG8e7WEINoRKjHbLqoV9b1ZfhebezUb11qbmu2wl7Hf/RkzdWzUlLwlo/F1L4laA7HDS
CgQ4E/qSSD5MSnvA7H0YMx1Pv40LqFPRmqw5oC2qkKvQruO97QyHQTh7ich5rssfI8l2hNV9MMFd
GAn+gUhb1hE+b35esWnXK+cP7r7ncdEJMZXzqmHaVoZbrkOVNl5mIKqCQrx3oOTIjrK+Qs2/cltB
CliIkC/G018YNyPoEI837BYjzkvF4Hay7cpTWQfOPWs+4sTmxcjI8G2Ht971L7nmXLXBuRF9ezuz
+2LFYk+7higiWQQE/Kg/SxoLCIwg3ehRczPzsZL+cU76YcuQnN6JIScqCWg6hMYQqQD9eY1i1GMz
d+LVO7R6R0entAthUiRChUHi6bF2xhpJBGsQfbOgohVIH0SbNnzMwX2TdjsyqJaoKz7JxKstm+LO
OBSzOrJI91I4VGG7TmwHMDApJGLyj5b51hnJE/pwL2pZNEzdyh7YRJJbsxKFvyXSYFfW1qYs3sMm
v81c+6Wv9QPxlZs2VaehafdDX27RsG508hXWrGuhnY8+qoMWAfNj5Q+0SkRBRLdgr4m8AfGA/djl
SXdS/RW65p0c+v1iyV/Z7o70OKCOjb9HLzXjo6+vBFZ81Ans7lBR/Vv1i4PnzESAYg0GrBG5H9Lu
Bm/8OBubjBXpSsvre202zsh+tz0rlJUb88prpn0xx/BPOZ2C3vYQt9yF408Gf4QOcRvH86oWxk/r
F6QudnDVSYegflszwfyJZP4dBurOsNpbw6r3URJcibf1RIe4x6zdVyceN3H305o66kaOTriHjVnf
mtXIS1i88oo8o3o82uk7O7s39jHI+eJNk8Q3nejumCGvjcLkePHDs8mhNev9fc0UzB7G246go6nM
7uAivWfB4hHU1KdrV7d9R+zrOJ1tACAbYATr2NX3mUH0uN59dHP3CgCLTKB5n+jx11znn5kx4XI/
QxaGGA5H0kTgYYXlubHQqaV6g5cR1PyjzI4Gh0I4bBTHMoA24EDQ2DqvHbPdYJzn2DkMMr0TbvSn
h7xDJGi0IdGJp7ndMXVLeyAv5LGdi2DZcLjVTaCS+zq3YHTB3cl6FPA9eoz2jbwvDIbNU6ySDYb2
LfEpt2Xc7PUBRaHRR892xEZRmyW0KP634os9b/JlzTYO+yJrvpU7nsIo2Y8VHyCIO0V/xjY8PTD8
RkyUntQYbyzbeq7H+tNlAu+1AIFWyEqezUpr1igs6Yvj7Ak/jrqHAaqvmSw5K7xYFDZFEe2KnvWY
Vh+TOF0nLXqyXJkXpjtvQTx9Sb97aXrwhAjzV7aqn+uk3BdDzJaY5GESNSyJXWMJepyvfStRrrD9
ZtWLiv6hItyJuetu0k3P7jXyp86MRd31QPqv6/KooyF1hx+iJxHo3LeVexwy9+K30V3cHJk8bixS
bMYHQBLQtrd4Ou+QiaOwAwaxQfjH/YHeSnQPZGoRCwCdJx52MyZHW74Eg3iIOsF54Oyi4JpE4B8M
c99FCiihQ9x7d0OE6n2vX6A6eGBH0BC8awiKxor4lqID8Rl/DkO7twZ5E5WwTbRqPI4uwii2WT9u
/hzybk4EwQAxWMV1sfddGomS/Iz2JtIn2AjO1YJe76j2IyIwURADsDF9IAMO9UOn2S8JcS1QWp6r
RZVYaYdOnlxSfqOYI0tRkrIFO1aZ9ahn195kCjopEI1Nghrbty2Xwzp7CoStrfM+jo6und10Njdy
zfbnaPt5ci4BpH5pZuh6OdlNB983amrI2m1fzSEpnqt2hlgasdbq03b6yZkHX9xYOOc6MfrvnvgW
T6GU35ElRe8wW8Rt+B2EKMccvcI0xZeVp+G9Y2TWSVQBWzcO+4yhQ5k8o0B1PELH3Ye5N/gktTZ8
B3827NOIXNlVrJm610LeOcaY+zpC4xO2nMyWQEFGwCKmYG+jMvzDt3S+7HSeP0ksFfvMnNqdL2Id
b0ptbHUMR3dOONVHkbMjEppdP9LvUR9TmKEirPPmvsoS44q8ZlxrbsXdEofDQWCaOxW9Cg6dNsmt
XQfccbM2bvxJd7ArkzK/yvrU3XVFWZ1xIwWQu+oSZJ07HzS3bM4yh/qR1l1zJKUQCS/ejeZ5rF0+
d5bE51aRzJzL6Vw48OhXKPfjxwLs17OoxfRVYgo/xa3lbwNE9ndqnIs3koTcWwRl1RONDu+P0wTZ
pxNjIdcgS6OL7MP4TvWtecXIFz64hpjum4FQe32ozYdexeNdXbghwODnHlUb2SH1zp3b8cEvdPWk
KcXyPI8m+UbyxbBlNsJRNo/pfd3b3e0QEWEycWG+s8wj0rjoHHJ+x/Ezruf8Am6xvZh629wBlYkP
GUp+ekisQm6A/DwsnG6rT3mwC6jrmT+X1irpZ4ZpvtTXhMdmO5d0hR0ZJgsXeGLtHgaL7T0dCK82
QvPF6AJogBxP77FJdmY5AhNUaHRO2jxD610wNiSmX4rxfQxJXoxCc9236XQnyXkKUBdMzPB4Micd
xvCU7RBZMiWt5i8zjeGjDg1q/tLvr75mPTn5fMe24c2K0j2zvAPSibWaoYaoNtpr1njCRIXkZLAg
+ZlrTTAAVhru7In7V9ivg1Yd+gkzUqerbwttvyHjD1Un3lTE6z5ItrDvPNDwAxeDMolyL2HM3jqB
EjvwRS+jLK4yV4dIOLep6rCTz+twWUySINcnt1LUz7reuh46iNd5hoFFmjcVZWZde9U/+UzYyslK
V2hyWaonN9OoHciAu3OioD+UOuZFU5PpPsv7BPGzvJscAIL4CtdFnHtuFZ4J5G5QLVKUNxFkNKm2
fd1iYNHkpvSa7qULWe0VzckNEei7zpZAnp8yb57+MR+6/Esy9k+iAnbafxt2OMrCY4vLl14TGZku
3P8wdLEQ8sStaQ17K32hzY9O89iNhJfDStf0dDoKK69uxyKY7zmfwochssyrHjfxXc3aa1g1Vt4z
xeyzT/v3VUmWt2Za3h9zeZPC5Z1KlrerWt4z/feNW969Yg6Sx8HIGaAUvJrd8o7CRy3P0/Lepssb
7P++zGNgNEcChLVjQMzceVreemd5/yEMBB4DV6QwbuPuhg5yH0g9VBqxj9Az12v/IoGIb8vlbNGX
U2ZezpvA5+QRrY9UVg3G1TYnziW9oT4PwrB9hCrXPIqiyVC6WPWxnOv2LpjpxtzlpJO+yZm3nH5A
2OZPczkRNWz0f+RySkL5iQ5hWZBIU4UE8i2Habecq1oUgJr7PWw7GD37KXHC97ykzijF5D6oOHG9
0JDJM5B6GoZhWCw44WCdqmkI75Vb6F++q41eVuGJKGMu+d9LoOiYUw/LzdAsd4S/3BbFcm+AYp1+
xHKXkMCDD2+5X/TlptF+Lx1+m8UhsLiJquVOcpbbqVnuKd9Ow8M4FjfFcoehksEUx7WGfhWfikO8
7zdDwtNCUGbZKfWG5W8mXh0sqeVqilL5Mpk2Qy0QbPjy3BFcwoStmPhaBlAJz6bXWX2B2p8CTkau
ZCScY0Fe1NEhK2pZyvC27HnyjLTaljRte5BziPMVyUEfCnRusS9QJNPcFK2OSEHYkJHb3+8IBipb
25DObO5pzc55mHLwYU1RpOzMY+vDYUNzymIOiR1BtfSrRGdSKWRE1bF8ZSr/aYjyvjdStAulkGa1
RetFXUK3sO6w/TLwyiwIrjhWV8IsR6+vqgdcnGI/aOqtXsyp2LjpJGbqypnHd0oX29k0eq7mX+O4
uqZtmHnaENebZSMJTiJvPYeG/Q9NzIvmCPNsdK7rNaV6Yi1MBaRJwxMY6ThhiREn+Dd9cAYLtlc0
Jh4XPbl6IomutmjhFrXsazB9XoFAXp0qCk/Qp5J9blNmd5k4BobeegQcjuGWIE2KnjZNNr1hvUe6
YFaiRz9sCJI15E+kCkzMPKlPNzX1B8g4/vOBBwMjXf9qdnpxRJZjbHOLcDw0fnKHYbfe6L2L2m9W
OycsWDLnOF1CUZELQffAkqr+SDtxT12IXMsaK5w6w1NZjM+FzPLHASfmnSTyfKfYOuPVQfZ5E6JS
3KRJUOxaANLeoLEVN5DebB0bqImj+mbbS9417PVq5TcFHRhOPISqzfuQ9/Zh0pPolaCid5B6VBBm
CSHYRmCNYKbe+Rj8eawipHZkR61rvUFSULLWW5Zwa3YgiKJiuF1ojjJKi1LQzl/MilVwYFAxTSEt
f0hq5HPht/yGJ7pW2HuArdz+yteZh8DAbrYypKGeGsdCKtqa/kGWroCNM0Xnwre/9bIBOiu1maeA
A0XL8m+6mB9kRdcws/T1qEfE9mqBui2LMl4XFp9d6obfjUtNgRuVq71qMmLpc33lTtHnNMnXIcX6
FJ/x+fJEyGg95fZl1guJWyf/sZr5AQYrJCwH0KiWtqmBKdaWHk0HStVa9hsj5nDUBY1Hny+A4kLV
j70uxROQo4buVf8aCzJozSp+sut0r9ccXJpBqiOr83qFySS8Qet2muwBH67B+zXWXBLgBqINA+nb
Ho3OYrIsqn3U9sWBxWq4xz4/v8bA+zdTYCB7HBN4NGNj4+KL235+96Mk2yDWJuOzg+ulTIZeUDLL
D5idxgGHmjiFgxsfCAhu7vzCbi994+cX09fGT4KmqJ5kZe/HpaLql9qqWqosY6m3FonsRi01mNRa
+6ARb70hZY7qjBNXPYHfHB/qpXjr+MT/SxZU/9/FCCh4Nf/nHdZH+FF/NBB9/g1d8vfX/Y3jEn+5
QrpCWC4qSAGH73/guORflolsTOimAznkV7f/3/dY8i+BSQmrDm8daZYWX/T3Hks3/4LeRZKABY4L
7pej/lN7LJhg/1ZU8WcvGQZIGAyDGAGdxRj//h8MEdlNzthKLuypLSV7JNarDJUazpc5VD9B0roL
lM52Dcab/VwTZ7H4wfRfa5iGqJQZJWORJG/M4jUjdsRl7iKW/yJv5JdRWfriBTQO9qgwpnE5slJN
fw1rvhan5b1ZR9GLptjpPgq61OK+knnakFcetdi7VT70KyYjqD0gJxEuAMfUdVbtbBHJCMQRVzCr
X3R4//J6wr6GeVGYeXDJ20D/0eNCefGIMnrNPeEeqsXKJ5NQk7ewkHqm4qRfm7jbQfXfDWyFb8Sv
P9BcrIIw9odj20Kd2dRm0fu3/q+7MHdw5T1gqn1FkzdR02gCa2JlyyVMzif3coxC5ovzWKsYvYXB
2IiIEcYUEtt6vcEshn6mCmKsjg696bb+tUuSe4S4DlRrFN81FMFeAAaClq4xbjRhTMF2pjNL95oT
DMmRdGuozlgryXiwbAXQfyKiulmNiwFUtnqCp0cssCu88Ay+ECeSA8pBlMI61msnvEceUr41GFBN
aq541YDx6zaJmzHPdxlXMsOgfHBRWr/wp4F26YP64puaUxw4O7HDzr/WWEyG6iGZKJvP+a951ko7
5a7GX1NtPtEXb4fCwnELN9acz6q1aypjG5f1Wgx4NvY1LekLS7Wh21F6onWFBjC5a/PXCuwM0rzk
48h6h1ziJr9xRAvXo3dT2CVFX+p7cCCo7xuYLu5BsBQsT7iFGWQ7aJmg0+ZDvpej0y6SuEIWXjBL
/r79dTY3Rhj52ylJeuInp6KZPHTIUve4yC1k5EE5Xpsw1NJ9POKgLhcvdUaQ8doK6vq7aHx9PPLU
AdcRv65s2qEWmJdesEyrRXcI0qZlmzWzL1gLzekz7i4mMnEs0Ei7ejcuywMn88IxaNCyupLf2FRT
fKNhQ/PJzChBQB1BDojsi82e8KlpOkIfW59ZT9Dp4ZG6G8JNo2fli5PH+gM+0OZ9difr5LJP6gtJ
2EXCt5aPfg0kDXUqjNErqbFY9KmisK93opweyTmYv7MQ/HFvinpYp10R6nd1F4AJQL1LhqPEC9Hv
ZxFkZzd263bPRhR8hYj77K0FdX4H1A7FP2HLBKb6wk2wAJiGujLlBVcrZGYRtKM5RuslKK9Bbech
bXWAlpQ0YbREp44gSJa5QabOdYnEZTOExZSujDiL3uFMy9Ejk5OnXQ9QkOslTpxNgVQQlLXwn7U5
9Xcz6zwkuwU1SbmE6xInvg18ZrNuz2tXNbFj73Rym9+mNOC9Kd2GNqkwSdBQGZ4jELjXBo4umFK0
5SuEz+MxUsq4AP/AiglZOF5WfkuDrqfssMnqZlELwf9Jz5LmRCx88G4mkg5lbltEMMkYAXqzDUzX
OzLBhy3G+fBzLLVFSxcy10FgrXc8Hml1JUnBOKB0JjZIpfmCWF9G9oohXfpdmmF9NOoZVje28fmZ
JWL+haard7d9aozBjjg8BzYA9t+1DTzRQ2g23IZVoR18JaEE9Kgfh8dyiHyYKrhj1SbE19fQjWYV
Dlvpl8feKlmIjJOhSwpiUca0PsqCeOLzrK5NUTUvfTyx/Osl41YYUu964Nv5kxM3mkACy4uycpn0
bYiJNs2NzTXofGUaY4+UQ39n1gOPZ/hCTKf4bFkYeI4sYkADSb11u7DaMExm/+VmmYEbOuJbqiCq
9pZqIFsAKXc59hPMERXZo/kVQ5NBTpQidKZXqC8zpL3XYEr4RC2JYcjLTT1ihaPi+F50PpjaTkh8
i45tKu1E6EX8YfV+0e+DSHTJWRn+vHawP00kYhuZV0qyeFdzV3cXyrjgikc4Tzd9MOot9WHkstk2
K55E18xJbUUdOjy500zlhzY18lcNn3wE90VZ9+nIJHANGQhHSNTlZblBgsQPIs2wfIgqqXEBzDaY
jrAkw3odYsSVh2gZufBRRJYH8RDVqW5H4wkRotjzMM/MeHOQXjS8ZbSGGM5aWWpEzmzbynRJIojJ
IBjd6iXHAHSv9W0EnLWK5q+E3S4sP9uUcCLibsFNZxH7ir6LSWXPVZLsGzNlKBfh1EH5bs1SrRyy
Vi8+ySQrsnGz+NIkJOJ4U20Y9KbYm9dOzgZ1wsd/JopoUBsrGRMEIgnQCLdzoCn0dpDdjlYRPRhO
2D8PE47iZApcYys0QGQxbG/gQAgc+nPiztO1R/Zeb4YY8/0qSOqqpAgG0mcPamJlE+i3/hCCLyio
e1GFz8nAYpNaHAA7zJqVHo2hz/49Hqe96uLSvUyOhYFXI5z+DJvDfbPMybyPpXaqjDgaUTBnLFrc
iGnl3IYbH/f1zuCQ2xCzoO3jCF8+YIvPuEzJ/y05M6VgbPFu1kBSgBHMzksbdcYPCJffpRtuPG3W
wzVkseQgRiQpnDGLMTmIHyEv02MOHanVv4vMfgTNrlW5fdQrW8hdb0BEyJhwbFK4Sysi24IIKPUU
wn0A0rRSVUhOeWUy1Ld94r2r2V82/li9VQoC5z3U2+DG6hMGLUU478dMkKpdusuEtRyAraX80Ls4
IBxjBUyu3bVhMJy0cAgIlbEGGm07mmy2ppF921da/QWZIPhWA3m5YTNdNX1R28gYd9ja7utiG42l
gglkCWR/NpJDqCzGYlg3ZolhMW+tT7DXpdjpeSq1Yx/HB13hK5a179wrOSMSTyL9mjLupdklfOGW
Nq7/IekqH6gNEpndWW0IdiiMB9RDpiT6SU5OScyyPhTAuFUyfgYycL8R/0c9Pe2QRyBD9eK7Qlla
3w/InG1PAnsFrJmBQbhBhMvHGARuN6HF9ctvIwB6Tnkjw/7go6VG/Uo5h0dILzL3mOdG/1gJBwN3
lGjwJdymYD88WtmM3rt66BtSq49mXfXTynCH6X6yDSg9xhyedeJd95DEG4EJpm53dciV1aZtBi5A
hWOxxuXOa0Ih3l6iuUbz4wTOMY+1iA3QYNwJpRBlZO2A9GYckV8UZeq5IsU9mlCDfNfKGJ/M3A69
zh7kxi7osjl4nWcNr9HE3l847cEhlST/mPLWLXcctO51imL13fUV1pVA1fkdgUTVczcyhY5h7+hH
I5nSm0YWODnSKtBfpFD6s0Wtdtu0ZrBz0z6AVZHVVrYzM0sRKiwxmY5TWVZrIynVFxckMRi25SRr
aHDGS+s3H7KufIbzfQq4P5BJ+QNFAx9jZJbaSiceU1ubfkfBwaYuByjdBVdGgzhEHAsHsKBefByq
dDRx+bmVfJ3JhVm71ZwOX63K8pXCLLzRfZDa1OQfOmk8624KH+NE6gcmUZz8SGswRFQGc/S9YFs8
3ySMVqYtOuwuvo1YWy76cc2OV5qCiraXZWNhpDNwwXPm2X24Fjpc0W1UdeWW/t4YTx261mtTNQC7
GDFKPLMJowKJvGkVEjf+UE8Qznn25/3cA1dZJQ7X/Cafuw63bKTWaNfKk0gbgw6eqiBK1R8Ei1Ac
yLQyqBud2Dw0MVigF7K1QzAxsiTKKCuRNqxmQ+jn0qi6ixpGMCdxuRq7LvIqKxyPInMLFBFMz/qm
f0+6Iaq2XQP3aB2mdu2iTjZNfEdu+zBo/rwLCFV8LflsDzkuzGRt4Fcq9pHmatYmyVQUecIKDbKf
ek17C5ESa8cYo6q76ozMfhqMHuFfHivdWGd1D1otdewRc0Ef3gZqac4Ku0nInnNdbMUTgqdtEbkx
v0JzfjOicHiX/BTWJh5CDIIOn3e5UUbZ7JRRj+9ESgJZirBx3uE2EVcKXE7YGGrrdupqeLRGMf7J
/GraWpOdHsjamKN97xbqTNPg+OjdSvkZF6WxQSucmRuKDLgI4ezipJ2TkU2QXACVLFNwUUJawORH
hNTa5TfWgjE0ktjjZYYcO8xJ/8nra900ScrEOCTcCdwwhqM9uXJpuenDdDuIymYz6JvZnRQUQ55f
iUg/Nm7oW1s6YmFsAnT9dFW0NxbTIOyGwKflu9lyga3ntqN/hVKB5mnqUou5nOVa01PtNzo2itZw
423U5OF3X9XmoQ87/S2DWrtpQrPeJyXH/CyBi6xMgCR4SlEe1jnE0cx0AmTSGW36eoLdVKwyaTXv
Sqv8uwD48g6DbPgM7QMTWDCVYbL1Y/JOWB4UwPQLCbOicRGssqDILc/JRkTX3YB2ctXLgLrGDAGL
OGyownXQRu535BrOo9EETyGjduxIsYV/Gykbj+5MwIwdESmVCOc4NajvSUHOD+UY4c/poSsjm7GQ
AsC7Sj0MP81D7eOiMurOnlDGRc1X3BJesXWl29Z7u81J/dDD9rtkU3AHKBRtYoY4NlmZRRAsiTIE
Q6h2IJmP38MPXJj5AdYpI+c0sm6ANFrgkQKFv9AfzrgUToHtmvijTZJ01xVi3kRZX01HwZNY+F8R
tQDZDOmSZCV2TZxS8faW8cKK7ZvHDTJYxqyNeDBmoUTMNL6RbdLI4fOOqZCRTNwqHN7HzGz4gfqi
vDhcw+z46+CdmiJDVRih6VTJByN808PUblLo58aGOMLc01VhHhLSBx/9EhnWMtpbc3DiFGwMopQI
FWDAqO99UauDUSb7OXfYe1hdEuMeLPNtjMP9EdfidAJXJMgWVvkJoMfwAdADwIifwBdy20mM+zRh
XOtxSA5fc2ch0EPYXAEDNJ1ji4cfEiwxNgxZWWJ+mInloFOzKvNm6gyQ3CM1fQLRZRfH5bAvAaPx
mJTJZXCM6dZiukxcHw6ZmwGWqwstpZ3/TDGyHgZGixdEZc6VHAYLSztjY6vJFT0xLoihTMRGUsn/
STWc4nVb/V4mr5XbdDgW8PUhyuEQba2YDWppwH7YZYUb7Ft92lWpk+xyaLIr3cC5v0rwwD5R7laQ
LQGvr8ffngOg1qZC3PfjGKEL7qnA3z3F85ueYqPIi6kbWWvFDW4ZNTVscTsdpSDHJZObnVmkKHxY
ToepjoclUaRZATJCpWIWOcWOlqHHRe5HQlVr3vQp/Wlnq+p1qMXJZueNbow98UPqqnaPH3e8TwVE
pVGEmbNO8uS1Sg3x6ous3IAAqG9hzOgeKHn2g+YyPmuGTUmMNJmYYF7Dyly2zlF0ZBW0qoyp2xuj
fQtVacDOYqvTZEoE0QiN4QDhn8oB2tIj9xGAxACTDZfxFkIJ5Z0VoANB5erxyjgvucbEGTpEhR3F
IHkJENIVeKnb7yLRj1fLGpstMiQoM5XbmXdOYDvQ/2JrOg+pRkxhV0+rwsjT7dQG1XGeg1KeRj0u
W49pGsy1sHnTYkdcTatqsZrigXyaidJC6JMYL9UYi52dJYLf6sweAgfTus6D1mMDF2NPHAfKkAEF
Vm+aJnXOnNifYw6mQON/ZCz0Zck0Z3/6yfZ3nA/FQ0X4DuWQr92mBnljyh9eGMv3i+Qoh+TLInRH
DF0P+WZ8CIvUvi1NHyFjSzvQrtyQ9oZYLvTR4Grzgy1q549ojYvmU3Y3AH4oyPzpYqEe9UatndY6
qR643HrmRxoumTFuD9YIwQLVz2w9WzIz38xEW4sGjnAfdNHJrtpyN9FvAIGisIWPaE6fc5QaT8BO
xc9Qd/j0Zte8dHO0iy1zbrELTclwDnv00PxZ4Z4gt6/K1GXDlqMZ95Te00/oxNklQV++r6AFeLXI
SO0WCXlJ3QSf2mnxgE3YhqmkZnYVlMM2mM8k/m/snVlv5EiWpf9KY94thzuNwMwA7fsqubsUCkW8
EFJI4r4a918/H1VZWZmRhayu10Yn4iUR4XLRnTSze+8534kALUmKlqtmIorDn06yVvo/Y4X3/wrv
B5uLYbjmXyLRzzBwyrb+yR3z68t+dcdYRHbQCSaHlgd4buL/fbCAQYbxAFsX6ysuHNob/zDIMD3w
Zm8OA2MEBUgKfhssGOYv0uRgzU80scyb5r9lkDH+5EzRHNYUHfuOh6CLEcfMLv/dXAFCZ14KLfF2
cR1luxGhFoEM1GTNZC5KrIPBkvy/x0TG+RYEMnjacBq+ZGAEHijGcdF61VlUEtOGnw1H1+i7G4zn
K8GoFEPU2lhjLY7tjPg2dqaokMLaf7IMmZ2bROyJocFm1sr2CPjhJtjROEUO4auNDQRJVIzts0sv
sYxB8qVEbNADhzRArd1aG+FGrJUlM8BHbxwlnmmyZNF4l+c6tgYc9tWoLekGIw7QfGhzZeLuRA6k
foe2Y3hglB4+R2X5njA6d1dBY0KOHKL4e2SgCvQMbUdz8S7O6d0DEUqOPcHEoJEtMooshBCM21dW
O+tY7N5ZKLzPtzhIq7OHE3EkgowZtw41J0KXNtUooboqQkUWRs9YLRxG/nh0kfdCWFaq5xhrm4jW
6llx6SEO09pgUxuZvlTcIsmipzK9aX381oPOhVTv+0szHBE06lqP9lhp3+GfkpPJiLLbjki2wXNY
wUPXD8vG7MUDqLP02qWO2Ka97eer0vK1q9271HEWFOB0BifjQ9fr+WcSs0njIkEhiIQr1HKmqqxF
vjEIWlhW1rDIAPdtReoYu7QMA7EHu5oeAdaTY+tPxhzZOKjERxnjwxIMpfCOXYH6CCixX+8Vxp6Q
fmvUHarGJlMr9KbKYX8YaUDbroYdOVYlxmkrs9AfUtA9Uf7k3UJ6ikO85VZ0v7osQ0Y1itG7NITF
0JepLMiqZHHbQCPRv9IWolPy3CinPtPttebU0Zh+DV5a6z7EvayvGqb/uCvoINHGp6jw8u7etkyl
X8ekkXRRaZ0i6bRc8tp6S6f37dV6399iZmPhDvhNW9Hv1ODIpzIIphXFp3EncC5/0PnLji7N+QAz
EWXhtmM+xHdOL52okARxZ6/Xs6q2966qC/acujkT2z1Znzb+I63JVp00tQWRhsHaMu+kZj2nyr0M
88k2jTQDkkm9Cxt6nHatnVPIy+zgxa0zu1e/tB5ayoGRbs4dJ35QdslMG6pOceCviBjZO+HZybpy
kZNRSoOfxkcN0NgyenvVZFCqAi0xL6TTindu51UhYUp22sVoIrHKB3nVtKrcFP2wwCqubRjqlSsu
9cOcrlnTYWrhNbpePmfCiK9K0/alE5KrWdcJsBV3DpKNoWgk4s2K0uTBI+J34Qh1kYS8KDa4RdXX
ATeDDHYIvlNK2fARhGq4TRJaAH1qBrtqtnI5TkYHc6S/q2eFWo4T2asUVuLFAlfNkI9svQLemAlX
tivdYJdLDdfxzOYid5qwdA//k48n9qxFsfPdG4MHsiWjFb3ddtv7ackjE28IL8TMYrrNsqVL/WOy
JrWuIb/rclAnw4gxVaMMC/PU33e2+8DSdw5iVFZmNRqHJJKbhkEdaNZ0Y+HK31YeKKVStlvM4W+M
VpkDOuN7kPj3sIQLxMmWs7EURoyp09976EKvNBY//lqbZ5CY8XtDpLRopOi0K9BXmC7Zwu78979b
7vNy6EQX6d6OMGqNfJ/YWJBrCGwEoLl9H1JiREsxtRDIbUinZ60YoucgLnxiGrrO6RaZ04esk43D
U+dAnbzEBhXuOhiSGooExb0JJDQpGI51yfhU1Ln+oyOmzVrodQ+3l/A0l8CBbMKHgZq7JuatrLtD
oodtuA0x2dQ0C2wWi7z0j0gxu25jf64miOdZWarPVQanSHocsiGk2U54uIHOvu9WIMPzOQmZUAeJ
b/zWxALtTlpp7p7DMctU7wRI3ZH3GE2wQfvenlKfszHUv007l4lm3J00OntHG38lnqLwaDJeWccG
ah7YzMB8QRosjdyDgNqatylj4BCznJ2c3Le3FQPxlYeAd6kXkVplg78189w4mMC83nWkY19qBj1r
KBZk0yaqykgvShgxbuOuYHTvTBGOGwIropWjxZzJPUuyClmlHif0Z6jJj3ADsmUa98Qy2QMJPp7D
1LIS2crzArTqlTddHB9KkdIyOmd1fBxhQFxaK58GBOlB/o1FQdE7dKeNXfQFfckZr83gL77vyla+
BY3drqGfXyGCGgdHi3IiGbJYP9NoBBvvRTA8GyCgMbyPbIpOmTScI9xrxk6A8bc04yx0fx0JwuiA
LgDn4Ra4QfADdClP60CL7vtos3rhtTDufXvWbnXENxW6/mqlPgiMQcEnKmwAP0ZWX9KQaVtkG9s0
KzCzMgpjt6sXbiu6owwquXKGulr3IXBAiNRRTTRY1YynsrGfSSYY1nxyX9OA7d9KIp8rgb8gmHEs
jFJ/xIdP5i/z3dqiEE7ScusN5htaiX4Da+QHw4c8xCKhb+GRHEDErEI9PqWGflSZ/9UPzJWswn3R
9a/gTrC1endaB0t4bFt7M0wtk9pBv0sq872wAu+ctLTidYqRjRyE3BV682JLpQ6hJCtdOUn4Nnpe
z4xPqmuGcnWvlD1hEo1Ijs8Sue069YPDIvhp23zrrNTbCLq8KCUCInD1KDpasQDOkAXbbNT0u7zy
zui6R5q+LYaTXIwrk6zBDZmr/rJqgXx3do3xuGzpemJzYnZ7gMwbrxumlJwSNlDpmvNU6vVqhBm3
da0SW81gPKCiH84pbJw9/ID8JPTR4fBB+wRriH4lZ0NdUHSsTa+L9qKZBzCwu1Mwz250QHVjAC0E
tviu/BSpZquXH4iyUKQkTrGxWkZEQA+RaWbGLOS0g1VMl29b9UPMDjuLP4dPHagzjMZX91Md2s1C
UWQwDT4HS0N8HsXxR/ipK80g/yzjNmichW0MqtyKGofTGqtqdvTnPbqed+vkc+MuPzdx53NDN108
QDv5udF3n5v+9HkAQPXAYWD4PBgwcuaQ4MznhXA+OfyPiOu/Um1RGv1lpfWfSv2RQvC3F/xaYzm/
aLppeFJj6k1FNSvS/5Y7Jb1fXJsqCrUtSYtUWfzN38Vb7i9UXzaHQvRUCLQopP4u3oJPoBsEzEtH
J4WRp+PfylJkc/1p00VWxtFT1+l/uhbv9VMoWhG6vRYit6EnPXEk0QYREpCm+2a81YoWV6YspvRC
LjnyYo82LYkhAWGCWPtjsjHCTzly/SlNnmaVMqcZBMvmp3h5EDSntxiHxA43IY+OrlvvJPRgM6es
iQ4W/kKmai2PozU/mA5PaDw/qhaw16v3+fgaPMiZQUgR2UfRXs2POeaBBzk/+HyC41abF4MCsco5
Vu5GsU7E84KBDeDgZmik56WEKodFZSQb0pgXmqmWxcYlUgJlAMuQabegcViZYD7pd51QAc0g9Orz
8jUanLNi0TnLSVPepmCVQyxLbiHrXj4vgMm8FDbzogiWZNzHZdFcp3nJTCItfPMqp2OIr6tDzsrq
zkusNi+28DtnkizvKSPnncwU/Q6a5htzHmzyA9IVls07p3IXRTxhqgv3gnUdBurXoTKPRCScLNb9
ZmwPGftARCUULlz2BkAD/cZnt0jZNdTn9uGMuzYdGRv2JnFXbDFFFE8EMrLtwHKn8TbvROzZGPXd
Z+KIT/G8WUmYO6qHEtgOZF3OG5qctzY8g/XCYLfL5m1vjKztAHBwgbv0ktSzSW2at0kryLCLltYr
qRxEgtSOdp2gYNyPrY2iobba75ky2HULp5sPPUwJwnjgJ7Sm2JKSY/2o6VRt0xZwHKca92hyFv1A
zU+nzYrMCrD/MB2TMutPdZjca3oZfVg1p9RkLBHzEse7ICwBnH6U0uVP2s+J4k3H3Ze0iBZ0csBm
SFZt3hukNezGVF4SHGNwKqYbYu5r4mpbEfQIibOo39sdrNCoaii16XkZF68rqhXz2R/kbQ8bVLzf
M5RiZ/B1TA3TCU6XoZKb67ZYDssqPg6a7BaVIzcmze11jtVqViSOx4YMEB3N4q0JlNJPrgtFcKmF
uV6t8lFEDMaIv2o5ppNLsRRpT5vV9VLq0LjjYldpiSB8gUXLo1ZroywFlepn2jahZuCCRWyg5JWU
+jG6+W5FMkOerFJn0vAPMTSJMWIMdbBWrhzB33Gyc5bsw7678lO/b+EL6LCpWpHTAM8DDocnYWEm
3bW6VzbL0EgwY8bAlEqYGPRmZjewJFwqySQwOVcr8Ol1Mu/u7DBuxh2xHfUIGShMe44ZNgEfQV7X
8iEzGA3sEzsVBbPdaOKoHsfAD2lpph4SCUE3YvT9HBGOj519PZLgmC2DTrPph5rOCKzDrvBLNYYW
hRs/E1K9FQwRyYXQpdfBKxgLjkqVZ3/XDDLg854nxmti/wJgTY6r2IfmumB3DbFPGj3lttEhS4fl
N+BloEEfIEdKoDmVbiIWdQdclV/jS4LvBEOB5FGIphAHdp49KPir771fFdaK+SSDOfqfenJBuZjF
m4lzrlxTg6rgLmRoMR4BD4eEjA1Gszb8pE6RUUiM1SPQOaLr29DV905FA+BHVYs22nhknNPVztAw
Ij/Qp5ccHRUFR4sZL6e8RHvPG7ZlsmoYdnKhZei29McHMI5VNyzSAuiIMAxSziP8wIwMXvp8JjSk
4VCdWzogOfL+CX/d4Ewv0mayHiqUd456xADyGDbDMwrBYaXyavwm7b7aTPSdrmYM4LqNAtSded48
ANspNhwI5bfAqEiTMBtr+q5r01sPG2OFpjF/8kW9Kr18JVRMuVZ3zdHh56Kkb2j/kVIy9F2GarFL
TBjGPp9oh94FxWQvClT8oiIAlWGRCAe/3QZ92Rirwk3qWWEICBZ5VkhSmTUwjAir5iEGLGne/LRi
8ptSbQLTV85RMbiFYkOtMNzslDYdTNeKul5Lk/AhdfXwjfB03caknYHClLUVPdbAPrvvEGKa+jDp
oFU2YRfRNakw/OhRMu6SfngdwtiXC4d7mXCbwKEYC8oJHqCKoQ2o7kKnKrq3RE6wkTkMZ2m2NHNa
a++HTnxFVt1uVDrlX8SkuSfhpcM3NdjllfYnKWQdh/BHKkuEIn6dpRem1cVrzsRqhwS53/td5opF
jxr0BZC2fhUKv5JrNN790DDCXTR6LBG8yPZrGiUxQsvcjoCdA35Nln5jyg+ZTiBGx7b/IA+NPHuE
am76qETl0uUTc+iM6YTh2i1wSnxE0gFQFwuIawll9w3Po/MV+iJtzC4y3I3HBCM96Xk1sCqM4Zq+
Zv1YBFVJmkfS51jHZPHRuaJ/7iujLVfo4aCo2BnQaT1uEuqqAUmoKCLzjAZWEF6PQORRxGaVnWgR
yGSXACJxUDeLLkbaEspnVCympDfnUbGW/lwgMv1/K0TdXZ3EkI9agQc+jxriO+rGd7+k1PHfp5Yd
BN0Si6SbjcGz0wlILcia81nEOZyL0exW0nCdnd975loPbP0YBkaz7ywjgQZtEUdpk9giWCOKOiER
p0arNzF7wUroMYoaQl3c+XkNCQaNbgVKIUgnEGEiwio+BVlOEEVXpSNIBC9HSzuN6TqEB3hQzdAa
m8k0lX2t4y59pjnNTcd8emaedR1QbsP33PgA8c2c9tInInEvSLmpd5qlsf9VAR6ca2cbYry3HT80
rkIbFXUuvOhugykOcKUyXdS2ZcilQ0Gd08IykSAcjSRJHtsA4WpwinLh0NFEQH/VoWEHB3STtnbq
4TggpiJZQy5LVdy8YihdcGpibG8U1Hb55BOCOWQANOIUmYmBY3idJzzyXhhiv9cdFHuuLrekPXmP
/pAxU+fkAszcZ93HLhXthDWZO7SpBPQYkbFjP8vuzSnNdtLFUU9CEhrKsYPMKWI1nRShQc0iV6Y4
RqbiWyjTquy5Ibr6B5NanATDSNunBRuI1JZeWu3fNB74Za0ieAWOBkQuLTF26m11zOIo+BKrCoKH
Qpi/0EoneMSFQ43G6SbnGy6G/TTKqjzVRcGY2LSs2NuhnMTzOlHio7WFNdtcDCPV7nHomedUhOYX
q2+GaptGJDVjbkpYlrPGcehzxnG2R9ttgtLHsLMpxpHeqkfB/jAAOi73+igT8DlT8MY2x2Lp172N
wbwP6TjScvXXOvXHS4nfHQc20N/JKi6Vq4PsjVomvV4JqSef7FNRlxK0g32sJiBKzHAfAydKIEyC
leyFPb2wYcQP0AvQDbdlt8XpoFeb3hTJXm8gEy4oZaq3ICBVvCiwdwWp1u9ScrxmBGfoIqmKQJet
NQYRm8p0NfSgJhvBth84tp/tsPG2Cn45LeZhmO4Ti+YITZHiR6nGH82n5bDRo8xbFp92xPbTmoha
GtHIXzca/5h4K62fK56f3Crm0OZaUTTD3irSCvK6rWo44iJ+/PffRlomaEoAb8ywfnIag47KC5+C
HttKPVPVgwDJ7lhZ7r+4nJ+7pp42f786wEONipCr+2PXVPeE0UjPbvdTm7cv8bzDM7imIghGLIbL
QSTRe9rRg1nANSVV7K+vcnYz/Y5iN3+aZICY6OHIvaC6/fkyoz5IRFmbzR57YbkJ54MAEzTaxfPh
oOtVepWVWW2Swhq/JWMBDZ7TRKd5jxBaH63PYwZkq3Q+eOToxLbTcBncglmAWQ3lAUgIyikEtthQ
RR+l96quWaoKlzycMg6BENvev4gJ//MFUQlrLiW7Npu3Zv7f77vQE3BlNy3acj9FStGwT2Dzkjob
9dq6dTrEaSzj0tz/9cf45zc1USRaOjEPdMHdOX/l929a+34Au9JTvGkwnUzX5CzdfNPq4ADxu8I6
9hsl8Z+44OeS/h9xKvNXxpvhfecC+UnI1P74Ziio8UcxMtz3iOrXdm28DYnYZNrQ/Iur+vOTZnJb
2sAXXZocpv3T/NbIlF4WVZTD58qM5t7SYSFw9qeJvvvrK9L/yedHbjdVJMdEA+HLT19akERWbE92
CnpUp/HbcqTw2yEMTnQ/THxJhglYzJsi6rwy7NV90uMDuJD0CaaJI1/7efor9S5YNTUxBjukt5wP
Ac1xVvzrX/VPn4nO6N4jhZy7C4GO+fNvKqyAqZaM9hBkaP8zdGkuQ8EU8e7ffh+UqUhX5jk+QtWf
PnvULoCY8arsc3Cy7ap2jZy0FD9ND5/v87+Jig/ei1/vJvUZ3/MDDVsdzXi0P/7v/3ssMv78n/k1
v/2bn/7JfztnJ928OYfot+duRfz8f/xNvHH3kr3/3//1pYGY9R+X+uXtXYW/V2H8+spfvZ3WL2h4
DU2T5CR5+MN+aw+6LrH0LOzc14YpDYT1v7UHTe0XSydxie0FB+f87f6jPYgEg3Yir/Q8AICa829F
L9Hm/N1KQT+QXha7ujZHOLkG28wfV4oGBbhTt3a3LePGeyAYZryHSOOUS9OL6ldOuWgPNK8ql7/7
oP7JAgX56Y9r1PzOFpbV+RHhwh1p//TOVGqckGyoi47V+puoNu3yBUDvyEi80+FLtSXZBsuo7tvn
tIyx8+ApK5OlpORD9J70mrPV0hLmparN9Jtf+WSsjHpO2iBwpGYpaxPfu0IdvUwyX7W73sCryQhC
R6ul9w1BliVO+1cTAYTZjHW+NdgDv0E+G17GwvCeMi3OwjXeoO7KyRoBMtQPGkWoMYANlD5KRHzk
7TMBidGG9CwqiSw7WhG4K6BMI5AuUjPy17gi66KhzphwH6yUX2CdALGt6j6+em3ifvXQSW5NbK6n
Oiv1HA+W5eCOCxz/i6AzRUg08Nb9KGdkoj++u4WdbDUSsv0uNvaNAZqr78OLDFt30w0UIgRZ0x7S
86coghHWlxwn9d546KRAq+pBDsxQ/NoxCRdMtpAveqZ1n5c9FOOCATkY7FXQt7ywBnWQlw7BDQ3T
a6ckB6IeOISKNF8EnnXUbLK6w5TuLvSBHAE3zlj6YEitF5XpbVHsqiVN05R/VFAG+arHO4sSQGvL
Zo87hVNuqmh/FYRpFrQMoQ8S3NUGSl82feSuE2maK4WsZou/oN1jrYFaG5n23tJcvBidUa31um0J
CFC4coiFWU7E2xEElhu7BJTkxi+D7BBmibP1SByBKkDKy9TXiBkNgixxRQYp2nZhvc2bwq6lrFq5
whF3BHuSwcCmdhunVCUIbsgEC4hoiBeSsGOmrhg0SZSXzLxWluTYtEok8YPrHnnOy+g6mBtLiI6A
tpCVfwtaS57dMdJfscdlb407xu5SJiXNECMkbSsokhMteQoddJ/RXWx4AAtHqPaMkg+ZWZaHcMqK
r5nEVIFyssYaoSFWntaIOKJpiYxcOAtCzB0HlqFTXDKQCyApfBtWASbMfMW4zIavP8crD7qZnlKV
6dtBJ7BpiyCQHp0t6gq3gKWtKuKkjbUtdOT1E1aNs1ajDlioauyuAAXGjRWEY3AI6HukC8yN7jfV
yBHRo5FMd6jcMatVrvBvYy+1vdYQOrt0KvSiEw/UPtF7RPUh1KOd5aXWY1FTqc9WDgIgbNlCbyU7
g/JUx214b2ZF90RbGlOq9Nz+IXEGA/C/oDO6pj2FVnTsG/29qMpq65iZ/pSYYdVum0y3PnKn972N
ZRojgZ6qIhJvMY22uGGoYcCKQeSYKCBBiF4MUN55pdEtNlOs1q0RkScZVeIIH0PflPxnoj+L3Fs7
YRTm98vUJp3EvW+Nb06QvKosPOldvC0B527a0TDhesFIIj7SvHcsguUqqz1hUcdtPDrJyWvQdk76
jIzVyGXIJtHs4rK6y51JXapYewsTBrp1QUPMb9Jgp8Vuec5dN9kYAVfkwhPdBJkbXUJfNDTmlcRu
wiy+6YfidXKAmI6ZcO60EbHRKhv9/uSrBDYj80hrEfVGNLOXSHWLY2kwI8kprxf1aOuvLoTzQ2q0
6dFz3fvBxUCwsBVjHNQ0uXLeq2KccyVcBj2Y+pj5o2Z9bkj2yRuFcd3R7S9JODKbybv26pm6htAu
8uWqsRFaTe30XpoV64cqLGsTzspyzxjdc4dP07YSlH7eIIJ1nwXRvmjC7CI0QjaIAGgBrRe9fyM/
DcpaJzAfLDT0UfskqLofjcjaO9UDrFuHRVUw4m/Ge1ljyhmbAmdNjMCZO8uvBatF8Cq7GLBfbgNq
lgMXhtprmUZQPeLBML7ItAiPNt8jKSo9P2HgBsZED98D0UIf+IxYDJrOmX1o0pDQBcMJD61jf7A7
RXd5gYsqrbHrI62fbLVneDwsS58Z+bpGHEQ+sQrAhomxqt8IbMZsgXtRO7lOTrKA4ceNWoe1QNID
7z84D2F3i8Yg+dpEwL9S10RGjBOcaYw5YHDigdnaFTKGXVk6sbXuuk7eVU2SPbl8T8tu0GtGHn6O
m8uxLmqo/NcRKL71gOqDZXYuHJtV0ZjasIhqgP+rktMBNgPSwddJWU/nAFMu42vttcRMOesmpy3i
g+6I4nE11PmzGNp5LjhAmFolGB6ZJGF4YEqVtQoyWSmlzggpah77xEAl5uuxBRPJ7fGGOkhu0q6v
cF7mV9+caEq3Ub1SZSYu0E78u0H0FT/Ux81vMSWooxXuU31lVMG4DoI94SjxupdWDQyIncmuu4VJ
9cYlhGeEYm+VO/wYWd/3vXI5KmjIGRg6hEtCamgx4ShaRMzSV/RtyFtKhzU+Xnsru4C4p4BE1Skk
JKgIB/K37OApML1gXTWIHHu/Z3kOzAYxpKW6ZSam8JYN5TgHwWxo96wj+DYbxnXGKRxQrqSi0RcA
A6O3gX4iWMOuOacKdRJpIjOAfCA0QlXGIlDEaZVzm45vqF9zFjSXEHa1VTdMX1Aq8EFmn+mJfLBp
lfsQ/whe9FX5pbdD8egVeb1r6AzMRw2s8g52woL4T2ipniT/rgzWMqmdtUbW4Yr4MGfnxCYMoNi7
KDHy+GaGdQ9vApU8LIKlUXeDtSUIMlongxtgJyGsxDRrHCsqsuwjxwX1bXYg4xqlLsE+FqmLE5Xe
OtYbJddF7vffqLzTm9tM2lHz0uSDHjdzM7acPTyl/ivadWcFOrjoNr2tFbjr6dWsAlfzP7RwaneO
jZY2blKEfWyz/pbYYDtioqmHl0AAEVgmDIcOTmAN28GIzRdPr6tTh9fwHlFNwtQZC1rE5204B0BH
lHYdqOFDYLRk43i6fWRWpz8iZfLfU+ROpAciHtrKOogSFibd38eQPA5ID/FqTgPg18AU0YFHBZqS
FoxdsC00+oGZZuhPJmq3hWVDTVxk4+AxM0uDtxYzDvNgohILvoQcWb2U4pEWc7yDgDUe4yGetrk2
ds9w8skdq4i8I+bDCYmUzAnhU60Hy1lDEb22Q3N6TOJxfG9jJ+MxlUlyq7FW3DyiG5k/RbiBOdq2
y56j/QZGnHqSY6Hd+bRoDqGva6hx6T6z+bnEpXEfBM+RBccvy7T0aA9ieOz6zNp1OGSvwqO/0xgO
YauqkOhspH5scunCh+zJggmq4tm0YNAXzE2cJrjDh+icDAltYV0Ju8MBluCjBRyoAd6GXIDXHo2W
pZl0xt263hYCWwmJZtGAS5nKYtGqgZ4sxhhupgQXxR3tbpS5xGUyopv75tnY3BzYEXu35DfIZa5/
MZ2O9I+ibsxH30dPt57QeeoXtgj2N2gUwLGTUneQ8shomaaEaXpTToylmU8bmngVOBeoKm7qvcRR
yZDJQCMN4HvcQtF0NhV+yjcOLZgrsAKh1p1SvFLtMObbzO7rfVl16hsP7XQTnuK0CYFxm9S8iRSa
sY5dmaztDPWzgxP9Ugy1cddDtx9eCtMYquuIAi19EABb3VVTok6mEqHAW/p6EPdk9cCrRgbbQW91
24bsWEciZbPLIr5lVh88DiVAs0kkBuJlByEfXtdg29aausK60L+1hWc9MlsD2T7Whvc8m8KndRxF
+UOQifBt6J34IGjgvFQW+kOkBFHE11E6w03jgPpem8wPg74wEX1FQ3Uba521YkJUyIFN6axqdlMF
W2LpWLJrZbZfHb7ulwR8whfb0Zz6UWYWVGeoz5a5nuLewJumJM9PFtfrzhxjXJx2MLZwBQK3XtC2
HiOoktyEqzYQhCu29GjXSIAd+tkJTy82famvCvbDY6HHiB4TsyrvgtoNCVUTpnGuROkSpVa6eLKL
rgz2VdGa39KpD5EYeOUTIo72xaAkgopYVrfatq6MkxCawg0qlZTHBjjXKuA+pIHuaC+xi+s0yMFu
zXCjJ9yk4pneli2h3YwWTM9xOHQNQHQahMW9gd7hGiCSJB4zGHyIoum6Gstkz4k6RMli9btKtdOu
5SN8AXPQnZpCOBcLzdYmE5BGmsK9j9x4Ticw9FWL4veWY1g+e43Z4lQEqg4DuwRnOsgKdI+bjv6x
qCErWbZLSkgov8M1fRNdNlzbUqN1P1Q1iguaYDA6aGJ+kKSHp7XNog3da6afvYGdU3rt1z7myUlR
/3+N0wCWweCY5xw+3QGvcXali/sRWDPNnUjIW8Vx9pLOE8Yhisp3y7QmdtDe2OUqcR5xYjWHKYBD
RNBh/5To4EQUOYF32ALjC/pOExoEDo91ppfNafCtflUj/N1jIQuvHQ2AlVlGRUl8a19eWmrSV7TL
1jXM8mYz4saFM1vU9x0w4X3hVl9bbYiK1SAx5y4jNBnrofDksiZ0bIPuY3oJMe4t9KHVlkmK63Ak
u/gZbLhx7jq6GDhnvefIrXzwa6z5dsA5zVFVdxuDgiBLzmJ30KCm9aT85tyi63+AdIXbFtEA4WWi
FAf6rITQKm75TrHeu2XRfo+iOl/7UxO9jI4EnhF7lNQ6tL6zdCnWmOvydEXsKisGyoQ1QcdZy362
kI3UWICoNqScxWdoAv5TKm11sEs/fsKtT4EaOhmVYJev5BwCloWmfnFhgMC0JM5XdG36iL3eOIcI
Gj6sfgirRaTlxqPkPHmnZex5JBj45pukdTou2zqrj1qgsOmCbQl2ghtNX5tphw+haRLwrFXSEMEh
rPJrM5TYBKQ36A+JPZaPbm2A7Rc4enE/t1UO46vKnxVZoC99o0Gj9QLWl6MqagdJjRk8gUlPnFMM
/4lsMiezkEMl0n8Jmp76yibb5bVzcmdGJU50Z93iZeh1ghTwlX0tHJo0dtYUp4CTGpxG1g5+oThb
JfD7NlHnWjfGkvpad2p7xyep7msdPghO7OalzVokTJhdFsqQPmpeQLw4UEHwwZA4KcmCUQRR+Vy7
GvCfJBPoAxJ7CWfEX+juEltMVyzzAkYQbFdnuPNEENqQe4klsXNsPrPDWX/KqTYABEHw+eg0S268
WhtR2o+Ds/CnHsVAkY/jV+RSGt3YyN4pNxLMapoe8mNn+RTURkh6yIZTQH0atS78hvBNf3TjnBso
0id+B8HMdQangJVmGvdkZdWHSiIsiZU75i9T7Y8fBWdQ0lEFy5AvoMtnVbGyMePDjo9ek4DGlg4I
C4v0C4SEcdWwNS/7pgHEHsbafBh7YpEpDiSwPWh+b2zxF4ojqSOSbxNtFSYieyUcUs1aQPdhK29N
pKx73/SzE0QvQyxMCy8hbNJkbzd5foS04exJUeZ2EDT9DlNWtyTLhea8TQEFLhqCo11MFYWneNLE
dByAyp2jYAxXND3qre752mvI7fNa6hpAiAR3OK9PqyPhEva5o4LaOKnZ3EANXcYp1Lfszf0tQRub
I4Aw62Ur7H6bCs9aJDSl7m1Du597Qt80ImwJ1yt7naGLyON7TnYZ4BXWq3OIIZVulyILiNm1FSzJ
4TWJbhj+P3tnthu3smbpJ+IBp4ggLzuZzDklpWb7hpBlm/NMBoenry+rugvVB6eBqvvGBow9SPZW
ZjLiH9b61grXGr//1pmT4p2oUeCX/tTJG6VBASY0wTlhZ7iqhkn1B9wwgDIKhyh5bCfo3YkVSorI
3wxAyqHvrAPZz+lYd2e3Y5aI6cyOPtpY27u+a/of2eKY1wz4bb+RYOc2vavFzUnH9tryp6FcbKMn
2ALO1WwIZdhEiDfOkFXVwamJyLQR6J+xfzfn1E29Z2kVza6a4K5t7YrndOn18MhwrR9C4fR37C2W
2bDVxkK0i9tkYewu39ig1u1gx06wxrb52wBmfNTRGr1ITiYYLigyuY5We0NuW76LETfvkISuj37P
9C2x4V8i7Si9KyLl5gbTjVy2EczBPjGc6iDJ5/iC8qFOjWiyNwls0+fw7tu76gSYDcMrgJ9G0z/S
E9jvMlkAd5impuZS7sHpucwGlvsxtifaPcSLnW28ecNdHrdMaEqWMubdbJIZil8x31RkFwFkU+M4
FLI5GbVZB4tRtT/NlAIEuDEkbyQAHMaE7qxiT0JX+6gh8JIm4jFVXGcuUv5RsGryyksxq2nnFFyn
2yrJYAAsXjSELh64D5wmjBswu0f7MW87i4uHQGGr8Pt3KVfr3ZuIni1GqPAARLoVYZDM0lAVBNps
3CltXlHZleYuFf28bAGUZdXOKJjlnTUJjYxkm9rmc8vwYyQJIjY+AGr0Jw/DObNniug8SJJMP69L
0qXnWsn0JVGrSXihbzDsXXF+TtusTce/mSrX/TpO8mdur/LZm6GB7hQb8TbMMimLnSA2l0lImyAr
KvDWQXn2Pee59/BeBJOfAs/KPb/5GF0n+4WKZlkD35tMl4ioDmTdyqj/NXXX6rN1omlvZFX7CIaL
BL4Yh+dNL/HKuG2xvadmYhDnaJcgjnz4AYkLHJzX5xvUy/5Po3aSXYNYD1mBck69Z5fvgLlZD1fe
DK1EJnZIFDqSkGU48iqsYW82M9GqiBwR8/n1yzDoeUsw9frK+FKcvNZWT0RiMWLIJiKY43E1+s0A
8OU3UwOJnbS6OxzNjtWBMc8G9kY1dQdmyAC7IO3Nn0ihuCAYoS7XoXRVOCa3tFEIjqFe+K/5EFWX
mAAqN5ddDopAzdfI5iY49Fwz5Qbx4PDLgw9QBwkKfzxXNeKeDVNncfMax5k3zbQQAMMGGEP1gPtA
bDWmN3I8nJpETwC4T4XrDzdnsdcPBufTzZBjhT3HKvZp5fb7oW+cNycnTs1pBjdMQb+aoFRsDG3I
Vx97lMH05ZMnfw5NnvxIZ1mcB8PSTx0pBC0jSCtxz60HEoO3oOBXbCGCxHOqrGBQhv5cVuKzyAat
xx0aYhTjSTo/zoAi0J/BHyOmixfiVmP5MIK4sePfkcUyMkhZhL9AJEN6RVRX+ZKlUHnJ6KWB9kmD
4jrtRSD9hEZqLh3x0NVW/9zGtflsw1B/XAxRIeGL0vbHOnvpg1wznHUauPfVhCnHGKfqs7s5tLXe
oH7b6Hd9iboImyuYXiharGgQB56AB0bf0HbXLzSJzMqmhIJto812irYIJiqQaxC792uniw8+bVoH
VZFyEzD1nB8hs0TfkzHcDzgeImHxRQpVwdGxhvVqEtJwSpKIVN227M+c7VxAvW/+7l0YNFu/5uab
GsN4k0ba3GbZqdMcZ+0FkZA+rk4y/u0ROwOl8jk7J89HCt7Cc/ojswgEcjFu6SGKLBjkUB1I5lUn
wbm91aouXtxZi5NhV85mJWbod5VBbQpWSaBpU2CZzVw1U6PFZftlNShtwxg+8TMtEtPvO3A/1453
w1FdfK+NUi+r3fELbpZdH+v2MwaOQYsXLaw7UtUb4D3MKRx5DV8qqJ/f3EAl1HA1+XgFLScKqrKz
07Duk6exVD1iwVywPeBsQS40uu7ZN4eBDBSFS9fim6wIsHW8SvUkZ3QCG3Mpx58rY7X7haztK7S3
fhcpuhJ0BFPxnCdtngWJj9PvJYrq9QaGlHeE4obNfypvLLeqY2FayXNvi+bOTyXAQbe0Gm7dhV2H
CXxNpugR1aw88W0xQaKt8Wu2CniHVv2ZRJo4qLSev2iZvYcRFvfTMpe/W0tATRzjoE3uYufMXxDd
LOVLCmdj39WqDrLEf1nS3gZtUuAdkowuj0MPrXrjTDPxa7YpX52Jn4v1PQ/P0gzgaXmuN53RTzuc
ofcNzciEw0jL6DhQtv9UWCCfItPEhe0CTHt2KejpBAphYEHG0rvRM5KZVAuHAFQ/7n/E+dxd2K5+
o08kVqTBp4DD2FbXSdbubWac8bNSsAE2eNvjgXaX9U0y8mmazLsvdY6e6rTygthkppB3o/23qfDQ
bXqzxRdi1b1x92PyIpKFPS1lICgRzkTLVB9OzJUFDpWSJWHCmVv2BKWIbUsNLaN5Z586HEte3zBp
h/owA67amgrQtgd+rN6bjnC5TeOZpdUwlD+lE/UEka1jWMjF+6v7qkewlmPn5br/YarEBB43og8O
cpD0p5HQAidQGXsrZx3pYGwQvefe7hnllC3+OLY5jHsb8dUIt3IDNJfgLg3MZy4zElhIzDGuwL84
5HzVQqcc+uRFgHTaOb41vaZgiH/X0zL/SilbX1FhjwiY8/l+/kfVeJF+Br9nReT7s4WJS2qRoulh
REppspb0eBudcRjr0VPsYUjh4aLJh+SK1tD8Rd4KTNepiQDUdgsX14Kl8wjl2zzzQ4GC4w6eYT46
+riIARZwVsX1sesFfhL4vBVaqahYPlpgdOxtEn9n2w13ftUmQwhCF5xMHdlGtB1Uul7HNOL0HiY7
P6Hs6k+w5IkXFeTK4enL4BJJk40fVJqa28omzuHOXVvEQ1OmCelng5MPfMy5xTZlJVF3Sjk67cWH
LxkFJOKCuSKPwIcH6Vpvhe7Yo9hVfp61muvNEBnk7BVzqbai6+//YuKh20Rjar+xs3WAFLAQVUFZ
CfG71Wn1AInQvXF5UbsUXJebSHC1HwcTlsFW2ev8ybyZrOA8M17je3dV4kjYjTEhkYHLfjCcYC5v
Z7CMV7wB9u/cJX9lYNyHHjbvksC1RnTiAhVB4DMcPq+laZ1mVMwPi8nG27HuQ3KQDUQmdXboYc/i
ydJ2aGTTzTWYjCb9RHfdf+Ka6E5LVBVHz6iMcMitfjstrf5jNaDqR8qJB8KzOb/QkG6VMnErkgFB
TiJ/R177gKZ87M1P02jThz5O8isCd5j1A0JnJP+6T8m2Gj6TsVlvndbVBZTunedlGaFrR+WxwM35
jZhVhXHjdZcSGu8jkP+sC5oU6etYTOt3Hztw6HGfwUeopwP1OmPieozF7v9rg/47hkG0OShy/t/S
oP9Fkl339a+0Qf/xnf8pDaIMxZyH/9QCznKXiv2Hc1DJf2AMFI60MNzhHxTI4f63c9Dy/2FJeC13
Vab179iW/wN9BxVvMzPGOiiQpJr+/4z5/k/CoPsfYUGc9/EhIu+T/+QalLCJtDVmNEVjPPUvTAA8
imqjarZU2vLRVYnHPhWdBMHzMx5ac8jCYsBP819etn8hFLrTa/7p/4T/DeXRzUKicaVDpM//LVEy
WS+wNPV5Qqy+f889mrhI+mAPcKG9jnnqX2YJkpeDjjha9q71ePBogaCVzuLAv2JDBxNgX+dJ+RO2
rrmpEii2m0KmnM5xJJ7MgSzMlcnpFhfG+JAQAoX5CZhq6LaGfUt6VsgAeasjko8uMFpjHYI5LqLQ
6PJp6wi1EIBGKZyY4/Rp2a6yd4OEzpZ5i38Gtgam2Lehe2V8PQDOcbaOdE1sBozKZt7gPpSpg4FS
ElC1WfvB+QJuUVyFU4BCwQo4skMx2/MsB+JbuZQcZ1h/W3knXuHE+LgvHU2RNvVPQC2oLrIkT1kw
T/WvQXn9EUVr94hYHQN7bdlkuxOoJfEHPcVculuXGLHQzJxTUQPTBUNI1I2M3yD0M8fJYJoFqHzl
p4U9C0m7ab8RTGHs8CE5x6xyIN6AyLy0cFh2fIm5Bz4LYANGw6F3Tf8SG850ZINnbYG70M7EC4qI
djwvg3HPmnbjsJnaJlRMyWGftZWzY1Ulwmhw2fYKObwKZt9bP72jM4iJfSGERXxCqotCMJpd6HQm
1K/eWfnRWlL3GNCVVGHXGFTP6zjNxgc+Lb3LSHQ92EjqkFZQqbb37BGHkv93W2ZM98u8ukGYQw8W
SWO8Tk3ZndLYwTQvGc/M09VNWgxuxhnXPT4o/JA7bapH5ZDWgWMwtjCOptQdFaYQ0WEKzCt/nzuA
gvpegq1MluLAVGdbRVBq+wzIgOyf8PyRWpJELeuevtpOZZceaIuTbTN07UOT58NniuFsX/WgAtYY
PRuLQuOXWts59HS1PJQC+5s/8Xkizq/Dwo4MosEZcf87+TvukOJPwOs+VptGgYmcXq6xi0i9SGrr
Zs7MkomQnB8ZKK0MduiapxWQW+lXj2kBCjopx3XfxMNwKwoh90XhrjeXEjVsV0rC0kGipoFGPBH9
Uj1yc2K8xzYfgk2VxwQYHvYyLFdddQcuqOGe59g070WFpAuQA1RmrFhh5Zd/EW7FIW1B+Rq5dx76
0qktv0cdjEkrD3r218vMPv5Yi8HbVxWhU061+CCeS3jmpUG6UBeb0JfmqNl2pDUeOpZnIeNPc94r
URPQkHsdm2pHaKoKKXnW2FxsjWYG51NBnOFqLJzTkpCxOWJDfUx7w3nW8xSYVf8wNyssTl2Lq4e4
fY9oTm9dLa1r7CWPPodMiIDz0RwBYyTgjmKzGs/actLvpe6Sv2UMnfceRAAaaI0uizUxj1QOLRan
/sGB5XniekfhM7ko4iotgEop+UhEhslyUETPccXCzm48AAbZIA7DNI7fnVu0z5zM3rFQdffTbscM
BjjrRD+WZUIFgKF7I9xY5kfK/mDmw98S5ziSyC7Wtpy2SZwx3uqbFoVckk870fte81BpcyLXroup
X4iBAGdCnnIWk9tJ90PdjHo9CdBPqgEthukQTztq5BCWM0FPSiOW4QZo7TIlU94WMB02DVRZFgMp
HMEfpeWNN8OuSZdDxte990wS6RiiGIpzV5Kci1soYp6240wDQ7KM1YlmI/mBHJKOHPg6z3VyR+zN
jn9fmDBVC2wLZsYlaXJxUi6xqaHT+H+WXObxsakqyBzjUJ08cpk/3dQnEzurS+Kq78Z0ttpyj2pz
XjdEZzd/0xpbMTucbviL86jfREx9P0vLHwEK1o9VYnwAEuwPFaok5i5SbLwqRWfZ3Nmxm0X6A8//
6v4oVA7SVCZx/emWHeGpGVnMvjmpYzSlXrCUZUU60F1IAppk7oOhjYon2hZt7ctocuejzBbtX5oy
svI/0hD9+MxE1X2Jm9qZd0NjNF89j8JXFNnVe12QQNvGEg9IVHNBI4XkTyv9dXprMrczuKQi9z3W
+jMvfeO8eGKOztAju0DKuzJVAIwPzNSZHLzFfP7jpnOeASyVWOHRIUAiW+Rfa7HFM1dhT1CtwuZ1
Q+xVHwdlpS8ja70XNEkzKzyrRV+oS7/9G5c9NrCEXdoHVbXzjQxwOQ5NI5AuaXnGnu/98UtFqHlk
m9nBYNR0ie60tA2o4/bFToS8VjOvap4Xaq+tFg4XFkXJjF+2KHNl++xyWr8gYW0PWWXoXdzHttgx
2fKYzrvefHXWiHhHcmJCxeBwNxGSsBn0pN77BATxY29FmOp0zgpfe+fMznDbkh0QknURNUHmm635
Uftd+mMS2WhvuiZdCX8r4sEJsfSJn9JM2uoxo9gGvp1WrLf6wjPDwjK6Hs6ub4GeowM2LEKkk0lM
nyRtoVswJucFdEJ58q1e7Gxnrh+jwojfGJ0BcrH6vCGmht+CWmvKtk4F4qyY02kPZ3c4W4pMa6o0
4yagq4GiGZHcTWv9B/K/vUMmYCw4USP91s1WRTRD1sIrg9ZMW5PjyQiJuUSYuCYax15c1vMhs6YR
NVN8pHmbf0HZnhDgApSOcXNc6WTLwEgSAkZLl4g4XuAAsPLBLrM2MPwZ5FSJt2tktL7tAK0iFDdL
g1rM2xOyWWDGLvMSUWAe4b86NxECW6KCJ0KWFab+6dTXWXKinKm36BbQXFI2yFe3H5M58Bru9z0i
H+spb1kATYvko7DWkkjlzume+a6dgGO271A6EEIgGN8VpjpP8T2ZpV7iclv1Xf/ZRHLdRJlYjlZm
Dzt6PyiCiePvqlYYm9pSxZ45UvyoUYXuGPEvR5fxxEUaLYPnGChR6m4a909iHu9qN3y7X5FAXOXk
J1t9dnpyYBzoiKx6FJi/qC/r3WCRnwegbNEfRrK0T0WHbtvJIxLpAMd7DzV4iXVPlynvadX+3sNT
v41zv9hnkXAPGMfkXpgpvK9K6vaB8LIEucRo0SeWDfhy01oQ8pl2farrVVylX+qnBAEYo0yEq2f4
7fmrHuGA40ckT1f3xTHrWcGzRnD6EGLF8odWm6hjAP/ZhzeQCMgIGn0qmDmF1s90EPyzHSO+pIar
NIczWOosgoGIZbcGL5Yc2UWmpKM2qOGiqIwPYp7c44rhcIeNvbpUajQfskmhaZvG/H1m+mmfdKwN
Bu+Wig5+FLXk5DB1vGCEGJuNtYoDPzJsA20ZB+Bx1q+RphVy+R1NypLMfOG0SQQf3BELcTKDs0Av
jDk2AtgV+xd2NWCj8yKk6Gn2cVTFl0mIfoOK1fhap2joId8NxsnLsq/WMfxHDIsEwiyrXfwZK0WI
J6citz8y1k03u3QP4xIt25yR21UVLAR6Q5vvjZn6T1xw7bk2J2aZvjHsIL2MO3dmTJExB/mLNb8I
0T4gnBXQGzelgudQT8R/zmljvLM95gwBcU4+p99UABwaIuJVIdrndZJutCFXy3noCMXBlL3OX8gg
otvCKb6Ho23iIEX/VpKTEIxF/6dzUV7KmCgdJayGmzOOKDpXayus6SHqKAoYTwIOi8owW3IVQmGv
3xpbuaHkotkUTZuR2hmp65IUybs1dg+tDTkbFHu/B7uFFqanubl0Is7PMu/UPTOlGA81PcbWjxP7
aLpiubkQHgKSaM5FXbxJu/xjRN7joJmJQVJDLTbn7LSSamKw6XEzgUeulWK1ydj8sWjbEiZbNz7W
VF/sbaP4ksAaOEgvnk7K+pVPOYKEwd3BWQ9MpowHx3ATeql12i7JUu4sLiQGoeyNMxTvMVlkwF2A
O2zq5Din4pQs8gIF+JyvqbzGKrbOhHHBlMwcdGQrG0io79qgZCx/exNRBpteT68ND9MObnt93+Y1
gYkncJt4Or/FCxVt1MXu2RtG9+ZapXfSZqNDLPc+hgHEuBFP+3lcGLpvnLqzKEErOBMjtFKFTz4E
TQ1mTMyHqJASxVh68vKBPcq0tbwE7vDd8L0EUyUgqVh+eoIojNXCzuZzh+V0i3C8ps+q6/FoqdLa
ZfjksaYL1g1l3rmgPeaDSxxOa1JDrK72AgHIfRPLrDhGa8n5x47y3YI8hxGFMJz7pN7A5t76nyYz
Rahvi/XRIeokOiEuTg0Esa2FGBhLs3BDMRE6vmI1+ek5nvMh1do8UwFnjKvJ1cirqD46EFyfLT2K
53xtc85KnBEbt+qSSzdkyRVhwhqaFG3fFmLyo2c1qITcof6NYJ9UehdhEBAVyGZiu5jRL3Pm7nMW
PNjs3ZAkvLbZaJztRUt2ZSxsDejSx9kefSbck/9yF7tsq7glTdKigNWqckJiGr2tUM3lDlsJGO1v
JfqOBCPjVpmAUvWcUydU3ZclK9SQBjsMnMrgYB37wGDYOJkEPIRwaoaHwR96Jqf5s8DaIDwyWGy3
e6jtj9aEUpSb4ep4O3uQP/Jkeqwm0zrkyfzigeSPjRKrTXeI2C5zLckYHXStA0rDO7X2syz9ra3T
r47BBsQcVnExEUjPdyzJwR9YinPNVBc3n2w+x1199L387IkEKevsrmdJZkiohEccM4Aid8FxkmdJ
Aee9So8T1oG9o8cX0yEs2lsqHdgFDR6CNhAjgjL8aAqaK/zC+bdjZ3eJh8rWIJ0qAhdGzkjbNA5J
nTlbAaB0z6g02tW5is5zIch7Ze1w8GFkRMycM3UhCBgXx6y2K9lzx67I2UyqozUmZwtI0OqUbYh2
Ubw1jRoAHCrnjaSReyKMBqIqgD+teyjzJQK/iEjpwMsAJK192rwbk19sPYcWZQXSuWGu3pxJV9Mv
jUJWy44pWxA+e2hPEzs7DWX7p5oF8IV8MYipBbkZcsCfTBzxbObLHSOm5ph55F1AdWVXC7DmutqW
3kplm98OPx8ovZF5t6pmlxGvRxg34N8n9MliF5na2sIs3fRx0YS6nc2d1JA5HciUsCo+HWmYzzrK
ejqc2V9u4EmVvfEM2e0Gtgz7Ka3qzYRl7WjmCNMRcPnkv6Lt2TSduJQETWxlI6eLWiLvop0aDT7I
y9X6g+KOhSb7Gt9/QVQBesZ5Ipf4WA7pryke/yxxx6LMbGoKcRs+5UbIuD30Fhk8XJtGMIliRl5j
mGFtlBMCWE28AnmMB24uKBviYClm167eTuiaN/ThB7iPPFCqDLlt/8gJqmwlsPWr9YAv6Cw8vRLK
vuxarX+M9gT3dnac/NhyHRAkYC4PTpT8GB2b/XltvDupLx5L2E9fxL01B/47uQGULYoG4ui0dGOU
KMbL7DvX2mkBJcxmoOpGXlpwvZtM2J8c4AQWmK14d7D5bI0EVqu3WO+lkv42kx6JHV2yo4YOOsyB
Sz38GU0kkJqreeMrgFX56LE7KuXfXNngZ9NjiTcjmcrXVqaUl5Bw05Z41pYLfFdGGH5KZ19Uyyfo
CyKuiBAO0ylCllu4xfBCk40DyE2vWaTTvW8NT1NXUOoRWfKU9M5bVvtLoGbsflZhUi9aTIwULkF8
SOkO6gWo29SGHiot92GeJdrhAn1f3mUR8nwZ2r0ZSpATKOAsfXJzMDHmmWi2lMexerlbpEZdnSII
0oe0H9mK+zPmiXH0t2Ntla+otOdPvxpO2YqkoqDhQPQ0H2RbzPuhIagiLKBkHNMB3x0qf1JwrASz
XI8coF11/DPOLQT5yvmi5X91YBZNT+hPRqv9rZhzvU4p7Z9F6XtMmAxButIXQDo01GhdYJop7+Da
bKyraXyMS8Yt41g37w7ZWQdU7OTfpAT8hVbTZBtgO922JQvwYismZrQN0U6rVb6wqUW9b66wWVaX
ROLMlu1Rygx3szGn28qfL4Yi2sefspk3yoz3DdSSUNlq8Tdt46RvWszuA58zGI/LZZFRf8nIRYOy
ZjL1Oq6Z7YV8b4960TWONp1iWDvmQibhqr6bNeoPuBRe/Ch7Ke062as6a/akFubviMwA2YjuaXRQ
JiD8wiPRyggetgFMi3ueOpnFKVgQlyq8eZYwOe9s/3BZFckt7Hqq49rkTdBO0w9RwwbBDJMcZRq7
18Jk8xTrhLjqDBQO2qCY9+wwzY53UXFDuAZzIeRHIuPrQLtAm60SJlSt+K0YdW36HJ0I+7n5lsE4
Z1d7n4fD7JyYpM673Lbjj3wVOQLIujpVjpybsE8zUmUMEjNx7y3oOiYUbT8R4mK3zB2xw5HZUFDl
47ZEbUA2q9mxt1aNbXAuLIV19eFhxhctl3MlMuM9sps7NJTWI+zJtX7FHoKMwMay0MOmKrPL3FOS
qYhATj1Z5hl7ScWnsyrBa82LVA/KwVwbxX174FtICbfT4UIvb7+nCBGhk0gUkElD6Ygh6wKmmRGO
4Zg3uxLxIzJFZ98mHcBOHGheYMnWAh40cvPqphQXUw/bjuLPwQzdbTKmFBe/E/YLyIL4VCy2/crB
Xz2O0kn2Om5ZzJowe/d2VoK1mE1UOZhvmhl4G4lzvkUE6+K2mjEbEn7UeYudfHmS82KTIlV+sy3v
OhL/xzBzqp6ytpaBNbt/IpgNv0xEmcnW9pzod1Sk5StlyA94aDkMiu5mj/0rciRYbveB17hOh2Fd
mh0C2f48zyYfVwCnAdwffSBMomK3naqD12BpABBqhrom1idmPEheT74+sdKcA/YIMFDZMjM2y+9G
JNNlQCdHWopaoRPKmgcPdVnQtLMi82140wuR7qbdfaQWpGqY/HgcbCEf1iHGD2v07U839lCzmpGa
9mAVSdxCE4YaVtDYxNEr9B//CP+Ccmckdha0PlB7GHlyzk6Lrf6mlP/31M4BN3UKpI4ruwlYlKML
KUouEwKpcAQMVnWRa/SEGONJQtq6JcqbA/Q3wL8H+7sisGLTCfBRc0lt3GWrc+6R+nxpCfU8qv2f
/mB5B0k+1oYqyQ0WTSRQ5Tt4ZwEQZcdZ29aBW5fW2D6lVE1vGUCwB9vi41cpIz6Ns2ccaOymkOL9
NqSS7BEWUzvVDheLQr33Bk0UIFNJ3MRrf8z7ynjQdxcQ78dr0kj+OKw5W5dl9QaDLsh6O2OE3/HD
F02AWvWRVFTzwiaX5HfU8ifLg0Fi5bnPZEjmeG/mZ8vueDg7jF1qIoENINTLMg/uGXvPi8lDtDHF
tOu0Qks5FK91kT0s2K6CRBKpijkqJQInt5QKxLiaB2TVAzbSmmVSzWjUDQdfcyZPkK3Ofu0MAGsJ
CeLDPGGGsyQHsuV3zdtC3tfvWiimljVgJwoLaFQ+0nl02nq7oFBMaKnzZtdwLF6HpIe8t67raRlw
D3v+UAQ5ik8Ry5vsM383uv6XzKxzMccXDOlq7wr0Md3i3HzqIsz1Y9C10JvK7n0Zs0+hawatfYOt
uFYbI79FvU62KwuWlw4JTGBjm352sJGdWzJmyEiRybuwM3lgoU5JM/c1sA/yq1ZLbdukcUNCB4x9
OfggSW8zu6YrAQTZKeNZ+wKZnUZBoRrKbggh1mYUPAExabTWCKdwQ/qAGXrNcIq1C2jO6o6W5DzF
j0HWiodMjm6FagFl1MJ1UmLADEzhmowcZbWHbObzNnql/W62yV07Nzbi6M1F9QtjLYKAZrTrC79p
dqq85Q188Z4Bob2rOd+u/lJgfDP0bHyTYFOG3IfTLZ1WfYybitxFH5LJp0g7A1dU6VxWPsrvxNzo
YGbGjkWM0N9HzgUshFh9ip+ShO7vRA30dQwNfM1SKM/FeiayLsVKm7rjuxj69FEbM4/xkvMmsGOa
kgfE7dmywetAmVk0jv+Ke6s/JnO9clx1pv4xgYl+GxMrqfaFYk5VxQQdMcl03Zpq0C4eY4FgInAK
9IN3PNq08pKkboPxSaVv6BYQ/BpckkGFE3tHR+0eFAYWMiTrxuZrEegFfj7pz0xV3yjFjWBYhm/a
ctRRbVpnW7O1vwsKPhZuKwOrjZExEulH0ztrIgQ4KWr+2o6I4K4LOZiUlKb4rEjoQ8bNMdBfDUf2
v5zCTsHi2VG9a0YtfmcU5LtVuxIOWyyvbFnnB/JT4UdqdsKdnIZdkxbiNkqXEy0h09REp8+7R5SY
c3edduyfEvJjPdY+TLrwVPWO/sOrM+6qYSa3k7SIA7TOZzm7rCGhkYNVc2E0ZmSuXQdDzi9M1pJd
CxtzxXRjBoASycKIcgmbdQFYEG+VJHREWZH4VdftQMxvYban3ijKNyiBGGiZyh7UXDiPBbqqPlCR
N7GKxm7qtJKqkpwowiQUF9+c7tgo7lFIVljgvK8qMeOd10bZEx/8FsudPx4JyrYfMS58+RjpEbZT
027GSf9wmwErqhu3IaFqT2Oii63dlGQCmitqnsReAjmU67ZdPpsUly82cceuH9gIEtc6IuWMm3ar
l7zb+6m3vlc6MZExouIbs3HazrMFk7joTk5FKjOMRuLthJnsYMJFz3igOOtH+RNgRLKEWYWQ2/R1
d80ANIQzI7BnN48w+meVcF9ZNkF4BOd4m6op3Q3Y0H5E4ASKlaFD7pPSAb20fK8wIQcETprkc/jp
bQQSuNdCFmXQQexFRsbFsAbZGvnnlLEkXUeeZa/JaA7PuNLKMiT6LcYtDLz0LJBVAc5AUL3FR0yf
RgR9tDrzy7zk1iEVo967s0+DVt+3aukRCTyrUweRz/2mVjQe0GFh0zUIAjYNcv73eWy6DaJi8koH
jftsNaxtlpLwXIvmlc6MKmVwu71HzuE1mzK9K5ci3S4EC7J/i84UIkDlqSZRzdLQLDiYMcBz1BIJ
Rcweu78rKjrxobB4lrE57bLUWQ79MChSBZvu3KxWiu+qN5+TydZ7lgyMOYdmQiBP1dLuh2qKXhI9
ywfGlfwoGUtB1VYufEYfz2buudQHUFKvVjQClzdM3EX1CsMI7Zu3XogNUH8XwpGLPdsXekC2bvNp
6nD3eu7Kp4dZ6mu8uuOjMzZPBhEoFdO8a0s2xNEtVOZviB6qz3EVM4xrTbHyBZ0edxlUGZIc679g
Za1qM0lWKqp2xt8F0oHdv7F3HkuWI9uV/ZU2jokywOEOMeDkahVaxwQWGQJaOTS+vhfyFclXr5vN
5oCTtp6UWVlWZkVeAfezz95rt0YWHGh+5f9XNpXYY0i1ztKk/o446kfaY+PZ+j2FwRjbi/iZ9/d9
EnWyHxEROLrYq6/C3GJsG4ONkzSvpqQHLqJglSCTRSHjSiLTIe6wvzM3UtoUkc9252yH1GGlqAnZ
TzOeSK8uurd2sqfbZOJ8rGrqR9qIwYCc5tktVNOsKkdx2LAz5/5Pi3p839YEBSkVbOwbvJnZqi3N
W3YNuxgWxypX05OVqfRrNvL4EXio+8UGzr+ozjrFXWJDcNQBxkhPDBq/YGxlwF6M8tVgIXtTWjUQ
tqKw+FRYxoaGlup98MH+Ev7pUzo0YgcpmDvDJxook4eo7ZuQBpAtxiBQB16R37D4H49lVPjVqhml
eQ7zmK92gomzNxRtc63xFuhRv/sR9w0qinvzjPrMadMnKvkMECsZE+Tg7O3BSmi6Vj5vUFe/IAy9
QVn5NYx+xjHu6CdbRNkxrhWBA47T+NVi/nxpJzx5PIXM6TBo7unMGg3TFAFk2mQh94R+3NM8PxZ3
3kQkLSg856bNcxqCq2ygNDHt5zVKX7uzmrCUYHEGPBkDRsyBSbQ11lNmr38POCmyxG529R0bL/p9
4nJplArpWfMMqIhzZHh7ox7FXSnN/uIabF5bnkf3mDwMij4V5j0MvreZCuVBtG34GrWF/URSguZ6
uME8D/B3rwxD9vumW/RxI9UWyJgB3cnUucfCq4VWQBShjNXCaQ45CWJiBPmqxwUPCAj6GQQCIDzw
f9pCYPIpZoewfemBG3fgv2zBb/4kVtxu2jKAaNok2Bnoz5m3wiajhra/jk0Lvg9PU0gMU34xMnGr
eiLWjVMqoCqze03qE8JOPI6/6KCve3Kcg0evczCQ/FUzfRWxld+zpPUfhCHHWxbYzi/hRcXZmBz2
akToT4l2CZmEYdat7RJKjQRtcpzs9rVBh05XugNUYcdjusNJo/ccpfhdiPfcdCK/x4KXXkbuXIeE
Ot2NHLxn+hOjTUMYhqukNyZPNX6d2wH+FP2NnUyeaRZkR2B4M+amuK/WlT1faT4Q6yINerAuk3ts
onQf5UN0UnmMHBl43ilRWGUpydx0du4dinIqjmgZ/Xom/ME3YhxOVoVxZk40+qZ2Xbgu+J9fIcbi
+rBt+8Vw7HtPB0/+WA23kYY36wZMccTKw00+KEpfxuQuYk8Y44Y6ABvi++P703lKKpTXbCyuiSDp
daHTo8119g7mProBQ9TFn3LAPAxP9lXl+uUB3e/Ta6pHaU7nMGRh5BnqVNQ5SxuIPN0hCUbzNdI1
EJcs9/dKyvzJIgYbr1p20sciKU5W6XRnNAE8IVKNm9gS9XOW8kJ5RGZXjMk1ySwW1SbLB9Id+JXq
de0M2S6EjLL00GPrwIK6zpcSpyFtEQBGoDnmqgrZy0aATe94TNNkwkp+3HJylDt2kua5E/13pS20
niZUhyCGdrOiyb665rml1vi/phN+Asl2mqq4vg3Haw8QxYGK+fkei2W2neMAScq3ivuay8X90E5i
G0Z59TZlPdGsqBt7Cn0gF0S+5f04ox0894BzVtHMUIoiDciFbz7IYtZL/ksRZ9OG3DKqQVQaxFIF
wf9CRUe6ccpjHrnizoqd+NouGoTyOSJnQG13e4s2EH1m5PJADFHMubYRIrE7ADOcnEa+wuQdeZ7N
DarhqAD7TL5eT+mY4duK2SfABf2sA1+euKiEn4iES4nuIkXZdXIXM4TnDAIdmaf2dZGCXswAV9bK
L832bQ4c8Yy6Eb/hT5tv0DbsbegHxnbWfvIdGdK6J7zK5iAos8cgCaItawHGe8pbVrZfuQ9U95n7
qKtJQoGquKdJiCxbJbvs1EZJ+lNadv9QcLyymJmCm9qvlcI7Acs3bwndGEkQnLrctndE4tkqNF5h
3mbZNLwhszhXrKyyrVd6HRnnQTY3bAzkQ94xgBvllD6kpfErabS3I+8LNiILTsQGCB3YSt+E9Wh9
qKJHVkz5zqwKPNScibGBMQiIUlvP4thgF4cyZZCTm1kXr8TQ6U1WuNVu1ggZVQJfH1aA9SMSLzjj
0KmKVWUQ4SF+1EW3DpeDHcu44ERzbLYHi5bzsWXUZ3RGLWAbJe6HsgnuE59+7RAjwGMRxA+crtx5
FLM0x6990Dl182qI0jNF0eMTLVYz+XSKKiRlReysudZuuCOnLz4BQ8RoI4hee+miuflULiE7oG+D
tmQvZMRGunNpIiHusABVq9jZexHbu6bN7bXPyEl3HOk1tjvTA2pYe1DKXdx9i/ZemV3zg7lmovIj
VA9zbc1HEurZmvetWTF0+acqBbffs6Jf81UFLC7zAfmkAZbEXpWkBba8mI8lG+x8vO7j9o4IWYsz
Dup05wfeDjcZd84wpuiB1c1D05NXCftGHUxJGG/deBYNUhO795/ZcEiaaYjoacRr4Eg6z+PMKY80
GwXXOun0jYRfRWaHnz+E64CW70qPl9yixac1rvpgItMKj92jCiLLeAb9M16xJElENsFvH5RFOV75
reoy2I4qyN4ykA+sULAMPzkZ+w+F++q2L4LkHS5rf61sli7otJhh096gMU4mxd1/i11+/10uhMnm
H3mbf8Fvguj8E+G5gCn/8i9cmOJ2uuu+9XT/Tcav/Y3qBPa5/Jf/t7/4J+rycapAXX585WCL4qbV
8Wf7F9SlLwA3/sdGeJAvH/p//Q1/+t+9P2yiPnTHCPO3AR6E6d/87579B8O3Kxwc7cpWnNj/5n8X
7h8kt1nvLI02jqC76d/RmPIPfofjQRvnwe4CwP2vWOA95x+d58L0PJu1tFQ8Xfkj/wFRWfdO1uBS
tfdVYMnHJJTzppui4jQiyW5YMXX7vs7fojQfEdw87y2mj+bCUqHji8M/5L7AMHgVlTJ9SaIIUFg/
O1eWX7jBcZzbiHWi0BHHgXacFzHTJr8aisy5BCnb11XasjJIwb3sQ5ZuLz6e25+5dNsXqIIhupMN
b9dxjfGW8ztb+Y1p0ORcpjs2eeI06l7cd5R7nmVTkPK3Gq4OrIaOIW3H48YSxnL5mIUkON4k5yTz
7WbFuFs80hszm0dou8YZ/hwPMCUBIqIq0pATqTx4AjFf74EGqrPjl/17HVeMs4nhLQV5cA6fA9hp
T4GaBuQ+O+TPtku2eviUWOKCxxdf/sKoxSmZlydyQeEOf396PYtEy1UCZvFi5gldjRpOwKJSgwtH
RtF3RlWmPrJ4PN35oIB3fe4WV4UnAfWbSFzki3uVc8wD4fpBUzPuA/zzsF3iYPioLJXz6DIYVzC4
TPV1NC6m/Nr0IOrBsGHmCCPMHg2NY0eHYxzxiZUeC27uPxhSbIQgt7zYqlHHxLIYNnPQRrucMfMg
Ovq+cab+RO3ieHUi1iH4m6U+JEbKBbr0zQ6Dcmvy7kadT0hv9hgbGw5OhvzC3U4k93eNa3HMliYQ
T9vWX1ObUbmSNJRgdPg9PivgiW9W2zsnxoDwrMBZ3GFUEU9QF/RVqtJE8XymlnmnKjMxtiN7Qpab
ktmDmBxJaG7YEx3uo8/pX1Rbsg2sElQp8xOAEfcii2Q4qbalx0dV7tlO6Oa2HAyPKNzZIwmt9kEu
5YSHUrBIi2cDBxe4E8iKiUK1MPEx3lSYI6EXpV57pbRnX1TNwtW0DPg85Da7Y9fMIl8Vw4JP1Q5y
lAXQ6y4OO5iPqd+Pl4CYSW7OwbsPPuRkpFK+uVycz64xZYdQaMHLVFr+Nbec0qSttcCsW/UUzKyL
xqtwevswStAK2VXTyjGgs3nNbB8bPIzcYxyiY/HU63ujZF3pTQnQM1pFVVW/V5huiZSAm0A5M55r
SQBP++XJHDtj53YBYI1J3rQpsjpRnh2kMWy3Wr4ENGLnnWh2ZelqEihuBPHKG5AS6k8cofV17uiH
Wlc/fgzRLrCB+fldu6oq3L+zHG5yLPIuHpy1lTiA7ATld7HT5bQTYg+h+4ppejcIAcOThDHbJTlO
jPXg+EZzcukhxipx0k69HkwbEVdCiAF41eYXJC9ny9ewf6IIprgyTFq5Ne6+fSbbrrtrHdzcq9DO
NHFF04BHEhojPCHMEcz+XmugHLdh9InMbpobniYYAkuYo/7Jm8co2tsdLw6LlcwYKQMb+CH5Tfgx
SjsE6DnaQ2dgxWtJ3A2em37FdtHtOiuhGJOECx+LdtxbuZJ7s5cmVVI1aDjNTq0f8C7mISZygnNB
8OTy0q47bGWroVKUb+BD0Rt8NsgUZobEWCRtt5soqrhicDYfPCLo755VY4cQse7PuRB4k9wgvQ1g
wezMpIx/yMdxS8BZhF45t+a0G7hgbwnf0Cg7C5cvvN13bxXa6aFOQXWtAAfFhyWGvuvKFLxj3rji
SgO8gkPhxwccU/pVCq34OExstAPIv3lVtttMFv2DmVkaflpH9jKnFmAjEhYeTUchAa9/cwvfbkkd
co3+FSLXc+f2D3Oozlxlp0sLlPRVi7BhWBuhVKTGQ1f1KaEbL72f4hrrfAN+Qxgp+LqisG/r4lLF
RG77fiLPRLKJnFX/RJ1bv2swzIt1Mrr1kU2NcW02BawQm0/TzVDp7MLOOunpo/StE5Hzt8D32zfX
SNNn0BHlFS9zepens3xvsSikmGnMkS02NoCbMGLHHvUTmD0Rzg3mIXzSA/ZSwL8eAJR8LubNQOBz
K306tqeZJO7cKwAx/XzWoP1irre8dfOQZnBVSZhDUhJ6jb80fQE/BD6qGtubPJL2yaW1FaE6m6t1
4yTJV51GGOL6jjcpN1T8kMmQT9ny/3ZBm922RSxgpdLcI6zK+bSGaNo7tJBWW3YwlFMWGSQiJvQW
XDRzzsVF2Fn27tke49UefbPeWQSfwFClw33kNxTrtpBD9p7npUd/nsJ9IKNqHQdB9mIU3fyEj1hc
ZlizsCxwwZ4qiXqyLoA20Wlsf+FnTTcUfKa/VOTV6XbGWPA0stEkAs7Vg+7WWruXsfKSK+E1E+Ut
PFvxe33YDZYufK7JNb7+EMpDY7NbnWkBXeWDn74PPE8TcDSmbWynsCjvuCJb7XGo4/kRirVAnivz
7mQ22iF3kfZPY2J9QeYp530cNAYSETsB12/Cb7hz4a5wkJxWk0DInBqJl0EO/sgd2xbPKDLDI5PH
8BGMbsxDF2qeu6I+mvYuN1HVE2Tj7DuzKV3pbHDGeQQxucpb6y1KhHAOGkzBTUtrC5dxfzeG5HS8
ks3njAL36gfhr8VYxlfLg0fhY1MVOI16g5R6bT2YcJVWcFOH01QH1yxm65UJEYIUyjCjTcDAe0g1
X5JD58fqPBaJ89Cj3KyMphP7pPBbontUIa+QBZtfVZJfY2jljZqEPorKUPuaqJ5Y1YReqLhOsk2h
xABXic90N5kcrTnu8Yoz5Ym+sWxn4ciDg2vp28yV41NazcYGuhgh+6xwECQyFo2lMh5xxW1HOcXU
/wjvDsZQfq0xbUE3iZMXC7jHsdd5t9V9UX0VOkkxYQBLC7luHUa38F8dO59uAsspv3pYqzt0nYEa
aseZHvTi+CScycVENAcZmtElKjsCNH1Uv/tFM59H1Jofl50AHFp1UwkIMTlW/FMhauvX9Bv9G//G
AJM3Zn8/9UZ8zn6Dgn2kj58gMAewzQtIeFyYwphVeJCgvPzKiXnjXYM9DHeq3Q/5EN86C5nY+s0o
bi2sBgu3mMQgM2Bc0McXSJq0mvErXzjHMcDjzrNbzGAwkKeFhuwtXGS8sukF70VK0H+4cOmMN4lf
yJsMBN0hqHislwtlubLBn7vxZWqjX/RQAe/2b7CINbu8bCm3lAutuawWcHNdkeePgDnzTMw7TDmk
DfLfsOdyGot4bQ5dwjVi4UG7DmRoEnswok1QTG9DNXvuqQ8aQmRO5fPel5n84ZJVdnv2zhZArrje
jwMrI1ctMOo5r7n7wUv1vzAzWBbaAqdRI3u8RJlyNxII8kIuuUqtRN1zmZxOiY/0ZJsNthwd+9zm
FnuXB5doWpehBRd4YMX9mKVWeMgb5uMiw7U/tMnZVpVzzRMBnNPC1nZC0etVTvbtFS+hfRG5QWqT
e+Z8rX/DuSsTTnfGzfqh1EJf+L6qjrsXNG+9cL1TUugDFhH29fI3+Lv6DQEPuOFSCYkjjF13kT3M
pCFxcpINe2PnnF/s30BxLJ7qGggVHra0Rm7ispqLVRTCIcduokDg5w3Q3eY3qjytNXy9cDbBi6VB
Fb2YaURdV1W1bE0X2nnocsUgv3gs0yy/7k1WbZu2ya9E77h3XmhKmwuYzW42wTj05U2x9SukOpo8
ROq+sXfujhQislJhK4ojNidZH6Hl0xKCWd2zfZqR4KIYJdsz4l6D99hMGrKBxgm6HT2X/XxbejtZ
q71PNGPD0hkh3UATXE9JoPc8tT4QPFqyvIDNIk9Ge6BQOS7/FkBMeCtq9VMvKPmgKI3jmASEYNCs
4VItgaRrYvj+qncqmGYEOx/MhURfsJbYBwudPjUDew3mem8sIwZK8YEXYiayvytK7ob8JJj9ix8T
o9kmDo2DcEZyzCkXbkbkdBWTd16QMy++HrDtReEjhHhgiFn4BCLVXTEOYhVJ2hvbZ8EGD+jKFg34
H4y+doxHjGHkF6Vhl1QlmyJW3nr2Y84GM3xvSwGKntFMNVps2s51NvNQT6u0jNqjCxVmmw9Wj+00
mDdBnNuklzDGpmiDm7gnSeb49HYOGdTLTGzMbPwAJollMTq0rFA3FGXezKjMtwPA9y2ct5n87QzH
xg58dHvfwjQ7aWoDfWGfkqIJ7wMwuHsZIPyGdd9ta7MDlynjRRmryA/PxDu5lBpTvx8tRZACDn6w
9rJ0stGHO4+8bdbqi4O7JCZRwevrabJm6bgAs2zZH6ThBs+dJbpXAEOsXKLffQ/JUv0wQm6rNrPo
+7vsdzeEE1b+M9DM8YMNZXBu4ASqgwZyz4VGvYZDRTCvNZRPQnNmwMFXbsX3ThWOeDhsez5UIwxu
Dg7zJSya7KE1wwqCsZYO9aRp1pxc14XV2nuNXmIC1YuU7YNNP+DebL1HoI3qzAOGVre48g5jVn+Q
4LVXKO70ZY7JGpeOj/Xa7L/F1EWC26npXYed7R2Yseiqj8wqe5s8z1nUP+hKpQ76d75Z8TpWFa2Z
eR7tc2d09uPEUa3Ivx1F5IeYS8V4aD1UgpUXWf42Fro6Q7FFYFj2xM+hSrO3MvPjfey0HfBPt3Gf
PC4ukr1Ano1EszAM/7foav/PVdRYwGJQxv5j+e3woaePgvao79+S4PHrX/7pz9/zNwWOChr4E6bp
urTAOCAo/k2Bc+Uf0BYc07T4X9BhvRRW/UmgoJzGQ3pz4BZBtpG2+3cKnPuHY/sUT1kC9W35lX+V
Hv9kPfytWOjfe4f+R9HlC2Oobf7ln5QLU4OjFOJqsfykrrQsmgMtvKQ2gzMEiH8Q4KAK0USb4idK
esO7cbG0YtKei3xH9DIhR912b4rY4LHAh5yu/Drg0oyHhjxn3R+QwPxjQkn6gy/5MwiHJP5zyd3j
VQyFew2mWj7FCvDQwLL6OOV28quMDRtvTzgeC/55cPKlJcCjoHNa11Yrv9Jxxszd1F17TfRQPFLS
zDclXgis08Ji1Z6TPQpQ7htvIbUu1//bprZTrpH4vNuF6AqzBUP7QnmlSrc5aXoBnzkjkitKAncx
YhCxAR8OWV7z1VqYsUkCPdZxkb9VCrDIThgpyswLaKZQNWg8pwyx0NjFPm6IusgxzTZ23aVbag6g
VbXaBRoFEbazPH+DQr/xIlWtptgxL9zvqysbA/5pXCC3sG/6ayl6uesX/G3fmu1VuSBxExc4bi1k
QyFgY5GshZqb0SJwJMLBviVjo5V26jrodHbtALDZ12Pnv1ma/OhsFD3numALJOr0JlvAvGqpIml1
Na2yBdvr5xSbcCPG20kp20ZEuF/b2c22gW7RNyTQiSCtfqidq9SmAI8Qg4xLWR61Y/jc9uHwOkVB
8+gHXfBtzZDSVtLDeA2xw8IvM5l4y44s3ajuiO3IfMt9JSFVcdFCwprd8T2Z6oG0WSDj28Lrgwt0
4PHs00C71RULbu5usxdvSnibG7ppacDgM2J4awOnbYlvbybR2Hc5aemR5WRvsc80S4IVuimLi51L
AyVG1Q/ZxPsi69xcNzHGlpHVAlil8oTJzr5KFxBzviCZxwXODDi7e4EGGT9z5Q03TW3cCyepzkk/
iB988GpFN5EYV0lXY7JNwmm8EyL5iiLvnWVPcEWJAx4TEjpnAW1q0w2YpFdtUloWvSILXtp1K4Cq
C3M6KqFsE3KeTmzA3Zu8gidipE8jyamIDRfc6n4hWOuFZT1BpDuEMXxrvZCuCSpuxcK+LmmjDVf2
QsQeFjb2sFCyJ8cZT9TnqrfI1g5IhhmetruQtcMqS49FOgzvuQ93ewjwwkdMWJtyoXIPdt1sYn/Y
pI66i0erhhYJw9vvsv6DVWf9rEZc2rrs7LdqoX7PXW9Pq8kOFrYvk/+VzFFuN/yn0MIbBTicCE14
tiPCVxgzqhs1UloQe1X1EoDRYZGYm91B1Fg812ZepXD0YVT1dKggQ7AYJcdlheuUp8MNmwoOPqqk
+XlNCs5XmIOGZyeP3RPz9LRh2iqvArdFBG4TcRNjQbyqis7aYqzWp6Z3Nb3BTMrx2qkq5yqNQlwn
ATGNbyLK1rfnTIRXgKNeCTZeGiZIPVvktfB29YQPaA1vGoRJFsjDU6yjot5jQDWzNdf51N34k+XT
+ZIwGQd2os61vdyvOqgSV4AKu22Z2eauo6G72LBDMNWmkoXnrYskqrat7fYxthXDu25R0DAi8Sh+
cyUI/xV48InbvdL4kyaqqOAmZoh7eFsc0lWatdwFQ+jSDrB0ZzAwYqw1+uKrQa4ZuX2H4l1qNapV
UTXR21h69E/wQGSz7BaJix5P7Yz7NhWyHRDobe/JMhkp6CUdXmtTzMUpRgdyVgO74KMxmKqg48ez
LfiksfELQqeAK4Zk/dqxm/C2fubpW3OZCexyWh7aQwC+nx6iDI4dnuodXoKp23vCXK7PwjfenGik
LiktsQDSHtaM45XjuLl5wNNYabLtRn0NhrGOtuPY2uM2FBa2lMYYEr2f0OLY2AhVPsROz41q8GZG
Gy5ozS9TLxi4rnOcCG+gEu1DFZnG2dVzviPT3WqgNxGydFKzpjVDTNKYYNPuLSbZoNbU0rPZH7pB
kjJpJhrMOsPBYtGoAEd4ZiWotxBNmGlT64Tq4hwtq0UBb3DE/GjDKV7wpzZ7YjxTtmYfhXiSjnV2
H6du8IKNsbnKfPlTT4b+ULF/L0kXwLPDdcSkkJXOrjNz/9SpbnyfvJ7tjux6510SrIIUiKZ2NJ2Q
uFwME3kfWr17H6Te7N2GC4p5NcncqtnU6mEH7Jy/AMj+dp9mfitXDkP+wJiTJ09sNcYz2dPw2ZQx
pQ9dJuHyW6Y5oHDo4dvyOFVsf4DtRt8pVAlwCldG2jfwHKTVAEbKO3U0DPq80bYd77VCFXrEdp6e
h9wFT01mmg9gGcly2iMn9/vACq2njtHjKs0VhaSpAQFvW1BP/kqWhZ/ZpTHzxBpaFoRqY+IxDcLf
qcyy+gXlOpfHhddfrQMXZw71eHZG5swkS5IWvHGGnWEnNMyGH1D1YfZV096Gaa1O5mtIFXxj2sDK
XqBudmeeodaHabXTC7s6MtuFhFwUuHPCs7egFGngj0agL8fuzef33zU94xAEYH+AaaOMtzrjhBIT
azZI+Rx62Jj2QVz4z+E8Gk9m5Wd30qaQGgc85jba5/IrOyuASZUUC3/z0G1vCEUxtSFBtM99L6d2
M8d2+W6kZXXEC4GgC1LUflAxGWgyZKnxq6hbCCOeY2qCiT5UByrdPK4KLDSyjziq5mpv0LWit/gC
QeomcanrfSJy87UFBP5QFmbx7UbwlF8s4nQSz//g3icwlMKdOyBY6D7BI9ymZXrrRxapoBbTCvSp
UA3nAGsDPNckuhvaCLECOxkwAFB3ePuyX7xXTDtgYqtn+KScAn3L+S6t+R7on1FRHFHmesWaYVkR
VSikhpsiVYjaIN6fLOmXuZPupY9mcBNj4LrhgeIlvyN6JVAG0s4BnBlEqr1ZUuF8PF0BoU+kUfAK
xIsopj/2gCMyXtWQdoNnGiWcOyrs/E1WxbzviS6aW4xE89U8mjxRTU829x2Q7vvBCyg5aE1TYG6x
yLQMYZwf4yXADoqE+kLJCccnQ00u/didtbNKqwO40afQRWeTwAPNpsRDE53cOEy7Fv7iQnyQdiif
jdrHoY5B37x29MgrQhkP5XvmyCtUySo+WGPofaRxZn+CZOPHCnF0PpPrHXh9I5jsrnTDT6ZDvPRZ
5z8TeCv30UyrXWO04prWruQqm1QwbgyVzftkSNSBk7aiHMexWOHkCTuqfZk0/iWAGnIeZWv7a5Ys
bbKJqcJ5H0BA4eOi0vsnq/z8O8AadFKBEf5iBzBN67CZ/Qs69HXk2eaRKj6O+f8/NP6e8v4Tywaz
nA1D7/8wNMb5x2f0kf1v8YV/+81/To/+H6bp4bRgkSA9Uy5MxD/5hYq5knGSB7YtLdii/Mq/To/2
H4L0H+4Ox2V3yBz5b/4NBkubKCP+DT6u7u9f+i+Mj8LmT/rL+IiBxPItPE84RWxLSOuv5EDhsi5i
HwU5LAhwt7gN2L/GN7i2YwL45BPJ48qM/OehVt7eMQYSiTJoN+6QBEeSp+KLY7w4cOiIDSSemy73
873E0/ZOYp/43OxUrFfatP6s2eFjwaibdTZM4TW5yvHeo5lxV3YFYHXstPrLp75zP0aNe8/GIR62
6C/yMyAcKVc0c0W73sh3k99dEY/P8JwT2ugGpz3Wc0gCFiQN3aZgNSof3hjif+WH3StZb/8rBQlu
c4MGQq+NoNvZhWV76yzJxq8wlsE7JLHuNDeJ2ChnbPczVJUDdpeJdiiz2NMPB8xcZKSMYu8Gy8Sw
nWACHMrItAhqdFy9asl1iO397eBAbfOTMbJWEOAmIkpFMlMnEldPPYCK77iOnavWNOxT7XWPc2P6
uFoa79Z2awmjV/Uxr2oZ8CyPcdcTUNba3QZRw8Ey5UlPimoa1wiO6WvD2uXEANueilR86iAHEJbG
8SWOyF/Hrtc8ZEQV8Lw2BKNQohSFem4MywjmnwhCVkhxIy8hxtRf1chDdDU2yviBAN1e5VxpXktO
pivecP6equ1XAZWooTLl9YAcgAfXw1PAoocR1PR+Rom8zT2O0GTGJuFUpxXrdJ6brD5gx8wZQMXY
plCRD7zkhTKKB5mLhIUmGia0RfOVTCkHqpPVB58w1aZCVV/G7uZQibjeDLbPXz1ccDJhq1Z9r/oK
fKOdnJURPHtcsTcKvzTO3axd9Q2nWDtH9tvIDHbohAeIT7r5Qu0jJKY9tvkOHtiVFkOOmbghWuCK
jeBOtc1V9M1yMeDmVlTq2qK58tjh2eVNNy8VmN3LUM7+F4aE8GnsLRZVqLLP0yiykxcFzuMAV43D
f/RrJl4DnmxlijvUDWpbDR92PsRp8o1Sd9VXg4/TXzhkVhdWu65KxPVsw25JBlpVuHF3+DQEn9qY
jrinzPVFvQFvOe+MnNfMTyxzY+gCLLiKyrPhedU9d2b3jK3ao1kXFrQ9sgGWC1IGbbSaXPc5rXAF
c7HroWtjkNETvbgqjfak+oonCxDndcTfrl1D0gZHEpDGWNVREl4Tkwhv7dmSqDP2sghDqg1xqWhz
39gDwnZgUp5D8GHtApz69Fgg+kirRn0A9ih3pCQ8MqLp7dyVn401ngBMJGvDHDbCbI2dLoervId8
4LH7wJ3pPLKQ2tBkIo4VS8p0LSLH+E+IqfbyVPt70YynHnZnntOWgt4qvUVU+/y4j4sQjc36Zwhn
Lo5UHgcME7R99qpEqq2g4kV8HIvqwhVfrIcclGJTvGZkwqJtWWt9LUn0kF+BcH1u5374CfKoA9Jd
0AraL1SwGLfBpQzt4rWsEfQbd4hthOxI5tu21SBWuCGm9zD9+T6nv7/bNkE3eSz4XjhH/Gn2aVAT
sJ6ht2WxJbaXvv/dMfWngPj3gqG7yJV/+btbuCTk0hOv8Lhw+PzDE38yWoTENDT3lgpZvYHmzlP7
wfDGd3MJ50GN79YKlujF1R0ESYP3GITaWPFp0BVJWyNU2tqqOcJePc3ByBWWEg2dZP03N8XwMcrH
6ejWw0Fy86vtuR7XotPvXtPuStzze1Xg386EBx07/qzrsVzz2cqBiHjkRenR3mRT1i0YuOgkcBJj
20170nIanmrRa9tZm6nZwgxIwUUPQMJ6B86E8sf8toO4/15i0XmfepP2RIfsqKAF65patfo6C6Fg
RIOV78t2cF9LQwdHiuiC2ymP+3v+1d3puYtfE8sGv9YP8waXh7edc0ftB0DT+9IZ2B0SCjzSLdYa
qwHa5y4E9/4wZQbk72HGSsaPPSBAptEulb6114NyiKeTDcnsFGNTxDNyS3WAfm4FzNcQ7/gzV3x/
UzPi/DimH26WMtwzgQKqMGBlnxnaQofaBKGejVaJGwj8xoPdUDDGMjnkbPHM8hvY3vjsYNt6Vm5Z
UH5b61uPWOrJnHPrYFsyugS1qQ8ol8ecuG/bR2C3qQkk6tGMLbFAC4Fs+J/cnbly5ciapF+lbYTR
UBYIbIEeG+Xsh4c7mUySCoxMJgM7Avvy9PMhbwm3ze4ILbTQrVRZVRZZXIBY/Hf/fBwfprGg0pUS
Kvppc5sWARdVNp97ECkwv596mYdbRAcOuqByP12mUM9V5AI4j/IfcZdCS+wWj9Rq1y7FeyHMeLPg
wrxemg6QU9xOl1Ir/7ogUo/XKU+uAw9M7aYJlHNo7HSGMFOoeCuawVwHhk4CdATz4CNqM0y29Xzy
CsZ7HoaUfdOMPUmzJbvvx7i68bGL7mLs3Oug11wRNyMTv64ieR1xXAnOgDhwTFKcIaHkcqmoR+qd
LT3fTK1vHQlBjiRKyZ/MLFWU96q99lm9onUdc7Qd4+K2rG+1rnDDutblDbjfsZEbl4nnhuGUd1z+
LIz9n0WSlcIFOcLK2axrqGpi1pk8kQsLQSwoEl3XW2xT5Y9pXYMb6U5X5Vix5hpJ+JOKAahJ48yK
Dj/6caC39rIIu3/3ELd2VR4EXM4bib9y3RjSdY8gXkczdG7jvMOgPt3WOkusE1B4xlX0ubAFidAg
kYdUw6Ad2nXwPIvKu2tN7kY7IsrhF5oZxFJV2Zl3bIVqroCy4yhc98kehMAOfwg7aGm0+hxN6rFV
8Ew77FOJuZBlGFhDgQydKqrnjxEEgmTX/NnSF8GwXsNGiLGNJMPBxgtAvLnlVxT8OTXM6wHC4iSx
rEcK9edwgbsMUkofeLt4PXcIjo9RGNeUR67+myhXag9YZLoUOcVoDHenc+Th6CQzU+BOMvFuwCpw
TvtedptexcCKh9DdllNF/Rw3vezGk216drqqu0l1IX/SK+HedtiyHsvZjgoKPmLaRuMm/F0vRt5P
aHoU0/fDfdLOyQ8La8lThJjU7rTogzNuQAvSCQwWRsZuwmUzHPEjAiO69S2nPzWQpW4402F1GWkb
JN4upXdfzCa+MpEpbrt+CJONGYPmk0n0q0D/3AG0XIUtEthgd6isVdyinwPNN44tRZ4bi74Smmr9
4VmH6FhgADwHpqJr3XtL5ZwDfyIlklb+/RQqb5sEbF3cO6tnQ26BxlgBgpXuVuhgVBlQEBYPCuSi
bfptHk5pe+ObUu/9YQwhdCXicwqX/pdTldQgdHj+MBvxoh3GccHX6KN2kZ3H6/BzRsE+Zik/8W1O
YuYKdwh6U6Osq7AexhOko+kqDRDgGEk34c7Uvsbhaok3e1L3i+6mZ1yXWAYqa+3viRK63dEc+aEp
/yGeZfaeOjBlltXdvnGaovvUaEnvpqcgWgRuvg+rLDryn3yKpIn2q/ti39HMcJEm5OG3gi5nKxfJ
g1WvyT4nr9oN8IaoXVma7v1KXo6yFEu3j3WqMj5YnOW3kBbaZ1cBDWdNdKwdDmLG4nTr7D1Hiteq
zdyrYW77GwISeEVt1OQxgWtRpQHtrDImKTWueWvFgX3PeAawdehfhcL9xqH2OU/AWdjAci5IEXM/
gD+Ktx0jyYbiGv2I8j8fWXk4WEeZeEnB/EC8K15s18hXt7b7E02H5idsx/Rn1IrmN754fK5WCqqn
W97xqL44PghG5mSef6bd4Ub6412Kgs2hf6LICs7Sngz3UvBa4ZveiwHcFPoxOHPMJ645K79j340g
CaPpOaeloxPNJvj6llg8p2Jx5WUarX5nYj/6hZHKPWpfpSOgqvVYv5Q0VYwTZo0pdr/6Po6OoVtb
Bx932XXSFMkFd5qeL31pVY/EkORzzP1l2tI40/0eMgaBWydr1TVVbaw2g3bSJ/KlDCaWNdWZkts/
BADTGHkwyglTA/bbWosxdkHY+HxWIHJ5MoDUDUxDFVwJ+VG1fO9DHp3HXqWXFWS3YkmYtxHsz/cu
15G7zG/jEzjnZQ9lrSXfsExcnBzsAxb67hSG8ph4/P8p6Q1eC06CCZaZObwBED7jMQeI4Nh98B7X
iX2EY5duIpimPajcmbe2mYXPNTRO8TpXLZHI9o3p3M0SiO9Vv9gPdmR/dIMV3DGxZXs0zy3JHiQ5
ckCPUjdzQZYzWb5SZkobJ1YvRVdyqO7Z2xdZ2tSNN+NRiRqsZuxMR7FiVYFSiBeyfzAFiQXF2FQJ
/ydogSBxpHkwQVTggWVkbRH+Ut0z8sTy7JveGCplSDvZgXeNH4m5IWkFOk9LekPxn2EhXJkPjJAk
+f+k83fAQVR5DIPQeiI14tw7djl+u9ln1JIwHw0lkHhhYx8o0eyemiTjWGSVNwXqnitqmLltDpK4
zNMj3MqaVYRqNW9qrV3hfcG7zdMDpd7MQvC8kx0LA3tnmEl2IzIyB8JLJ8kpif5VZe/V8jjHgLBB
+2/qUqbfqadvs6wosbQY8RB4Uf3G88XmxWDpbiQ0csnj0rwCpmIekOSoEOSHLWALvNFvi9eOP/wi
dN4ikXk/fQZJ20607rlFJr9iJ4iv/TyytvgoQaNEOYBEq+VQkepz11CmFwYJxK+ppx8tNf4jKMd5
LVtYyNTqghISN9ouqe9C18u8HMgcQUT202B6RfbDM1mSIdxWQsYn0JZUnFDQsHeRdxkgh9OT7CNz
9Cw8q+Tt3MMEluvkVh4X2ZiTLGX3835I7OnEGZLiQbdSPgKzI6J7Ly/NmcaB6aDz3t1nANl+NAkn
P3ggHh7/HrK/24QnnedxwPxwtjdwQKC7egWGGY27acCd9loP8zpBnbTewv6Gy84iumlp4DwM64ZL
JpJhnJ39yK3ZXGVu2x/xt3Egy8BMwFbkzo/34plYQ7tfelPhZCKgsWE4Y1ZfTUBLTW6N/hbvEm8g
DeIs2AsEm63f82bxpVTbLiz4iKErKAKISudlLpOWEfQKLdOlc4ozVojIKdpd2/kzr0pSnEqJyk0z
Z7OxVQbMN8UWuRvHeqSMCNZmnzEetqPopmRuUYbxp4cwk2birCs+Io4uTcGwSWa4sCmYQcWHhREH
I7Brb5mvUPjKHceHR+7lWxnmIz/bYiJwbEXFTbyipopxCHboBMs+mTzozjKBJotDMr/EyqOZrYzs
89hU9hcT3JQDQ1t+xxE+fH9UyVk5s7UlBWkbOnKZkpdAWr5kXmVvZeI2ObgsGT2CfQlJAPn5PXeV
7uIC0ThjkENZYq7rvKTE5Ldgq8xb4a+sIJNXFwIiKfc/k54Mo5cToM/86A5NfV2S1j214IgNmW+w
BRSVSjdcGIqm9pE3zPnRcV277yxMm7T7NvukQPuIsT/YAit2l2aXSnpXU3uaFT/PvgypCu+3DA7V
oyyHEIE8SF98kbvnOsvz6yBpVY8M6UGHh6zi+GP/D3X71/Tv/9o8I//VVZiYtmJaLEKKQOiW+WcZ
YKRONopcB+LAPLd7DLX+r0YPAGNqr1QhYWHuv6B49LP2S1y3DeMlbI2xsYAXZPOnD+q1Icjgxfs5
SRdmC6teiaYDtLEn0wRZNV5cok5/FE5BWAjUw4RAOFe+ukrIFpFV54Zobf9LVPv/RhFKO6Rq55+E
jjWk+bdfa02B/t//dfPxFc//ukzoHx/6d5pS/qWgmfnkHqXwRKAQP/5W492/BIK7EBSSS2VL/Fp/
i/HS/0vxARQdIBix0Id8IX/XCUn7LxRLGYYMvLGZOTxA/wkxHuMWn+o/aDPoMb6PTVh6foA6tUY6
//mBTMh7TUu2tIdV/3N3otHxEf0uvrOsVLwwYLN/qlor1k3cP9eJMwM9Q6/Cuz8mHIpcmRBe4/DC
5XZ2v4BVhc9L2YUsfJWWpCZLDl8vWlfRDCKjUi/wWOVGGil3E6hAEhX5Y81c9EfgVd62i/vhDhz3
C3CGydqYkto3z8DQXMryq8eQdteQQzxJ16grCN7xudFFf09kP2832N4Qdtq8KwjCxBSoMLDCA8xl
X2zLrlwuiqSH2Da9mh/CPhoY8ycEjq9kU1OyAOnlcQhb7jB+vBRPRqhlANzTDE+FXTF3JxkGOjFk
qfA3ypXxcJY6H0AlDZH5sizVY3epS1wqTiF0d42nOQzxqksS5jO3r+ZhnjPz5VJ/mMDunbLhBZpz
+FUty/QJ8auyTxJ8EZpdAEBEpyN9NkkYwqi2fNbwO08F5Xi1WN7w3WFmqW4nCM7vuDTs58onwOc0
kXqQ7oxulKZnopmOdWUsapWOmNL8z5nz8XB2fDM3mzpqak3jjA/kLp7or6OKqCJXA9BgS6B2RZfN
Avh/lbwx/tdffW01vybRBrdFkMwBPqiaTrt41NTJFGa8QFKlEUdH3D0zDClHfipwqzqPOTt0swEC
aGLA1A4ZW5zd6Wsnt4rsnUJj/xFzHdjZTpTiymIT2nABY9ddNP2kJpqZ0EC/SramZ1KMIoVxxoH1
7LmwM4mPjMGf2CUpyexXX/C0UBqXoWUVFbPjRKdPyH+0NKLakUzj++5VRBs07ZjxVrtT9SGqKdq0
Se9867xQP1HJechtrP/Oe2wCykwNsLagp9nJJtgYQs0/UV2ld2HJSUWkJIV3XREmF78rHo2TJtNm
pWt73uw94OsM35omTyDZJa2/J2QVH+suUL+aAs8YZ1srfx2aqe83lvQQwwCOTnobuKCLAOKU4NrX
SZGCbZmn5qotHesYKGTNzZxrQJtgbtdGkEfuO4IKDNutj27aUe/igH9z3eGtcQM2TDPwvKMJeOCj
QGeog6oi5ZxERPMqtsI+/tmLKsZZPMXsrGXsk7yYbGsczyLooDSOPXidbVWIpDzbUnH/5p4Tv7Zj
MmFEtnVXHSpMStN1PWuLqUq2HmNIJtIXTPWurLexNdp3BClAhBm/8d8cvF7capUOrOgYFb37k+F0
bd16bhs3FC5DGjxMeFi9nct0b96ix0A9HedpFrt04he9YTjmAS91pC6nW7cOdH+DbIVqY9cphbbY
ktzyMVYj+eM5iOzxJ+nZUm1EQMr2EJFuqrbJyIxvS18RPelmYdiEe6F7FmnunRUEo/opayvqeROr
A8MxDuBwB27svNgkPDDSQB95afhC5dat0ux3PnYhnVdR1BjK53Ev7DRcRkRZsZBla5UFsBe3WTTs
6GX/huxR08vojAAxU5O1Z55MLqpQgAMqHhv3oVkbF8uS7kXfmkp5crnSJFc9YPlPJ8xpPCtiqOT4
HiaslPwRi8Qkf5S+a/8AhchEQWS2e8jXEkhPmFpvYxqyt4HHEHC7YOmVO2KsCMecgQlZsEAGLV1n
fV1t+RaLHc3PETGQGHPGJp8yTqlp2Yxv1B2qmyHzyp8VZptiM3rjfNuv/ZVl44TTpjGGMKpPNcJu
asPx5NvdeDOEdXgfWQqTl1obMVOIeQ8ebJmtG5fysRjKGFNN56UY+dYyzaiWZMtNTg+bXc/JpaOZ
ksFQUz8jqTo/i84fD3aD32BZqzn7ZNT0X7JFFjQY0+A56SHfOpacqE5PII/ttVr6o5j78Jrsp7Xl
YkS4DA2D1m63NHdWV/UfwqEtNBlt94Uix+zsc+g9IARHj+yWiTrWcLifKxrrPusucb9okhmfx6ag
JtYrn0KWJTSWmpjePh6qp7R3YSO3S2yuaqaR4qhsTCvojs6uaAfviF2QdIPndtQ3eWmYxAcw01hC
29x/01zA6l3fUrCarVWrtFv1mzKpXBSQUJzSjjZW4ifYTivi3eNJILzu8yFXu5zz96kohgpxOh1v
PSZ/1aau6EE4zDbfMPEF+7fBQX3d4/CPt7JEbrvGOLmYXUsL5Y86H3MIfhMIVs7Qxj0TfR0u2Lvx
11SBoqR2Jrn67lmW+zAQwL9Ja3CosI3WTCUVt2zNzTXTufYt/VOAO65duGbK9KWwUQI39cxC5a21
uQU9HPgC3SG842vp3tGhxAstnT5HV6aAjxKa4jn508gb0c3bBulvX0m6LPBg7ceoSLpbfnvlm1jE
spu8DgUdL/Kxki5CQ2W+hrUkOGZYccvJBdZaWBavsw3opw6tJD6XlcstgXaNfRZWgLCxczo7ey0r
FjjcYiAGIOJtmn/NE9K6dSXdiiYvu+QB06R+MF1WgJl23I6Gkctl23369eC+E3IfHia0NefsxWX2
Wo1a67vZ7XJextQtPyv8T7/AHpB8p2+1sa7aPzXOM6Q3eAl6CDDCz5R5OV4eXBmmPMTYvYq/zrGH
o5nPtsIUwLIOuwbLPt7Tmj/Mos57cFMuod7YsjLzy7VfqL4pO9R+HI9bPrpApdB1vTG4a4/zMnbf
ax07NsCBfxZr2bU3UnuNymyux7UK21tLsbOqIuPZBjNOVQ8U048cEewYr3XayVqsLfwIHbFBZ9uA
csM8Z3NN34Z+y2Yz88OBbQCohQlnzB+usklIyLRo04OZneWj/tP4TQ/V/AGYNfrVtRMoyLYdEH61
cin7kdMcZ/c2g9wLv3jEPMmHl9u6YDa7IbZSUlKvlkcOpjG1spgkUHXB9OIFzxce1rXNXIZp9R5m
UEq3nlOOB8DMcHejjBF+hzv/DSIRveQJdcgf2ewR2Imi6MPp+3Y/RA2twsq1ogvRY4qwje1l54Av
aa9ZM1dcqKh+dkrXv0jMkbhyqsC7TWIPynjYVz7W7Xm6blowiFXI5GrTNJV3WykyA0zmk/ZMh712
9tLV1T2r/rzDbBEuJw47ldkIEekf+BHXdYcqJbeVRA5QfyDGNxGHpt1cpSQ3nWmu31WSstUQSoAc
VdQeLcTIPB9dV1F1GK/V9kWdZXcOMSBywCNdvZAoXMHFOA+mm66xe4acyK8/9NKFz2FtMgDdfLLb
ZI4FzLQJjvAUTO6rwBwRP2VEB+5rNwbbxQKjvjrOlhS/QTyIDi07832pZzpewPcImuU7dXIqxyJw
RrfPvNH8zE409gxHjwaZduPZTQCtIiXcpcpRPvnsOjvj6/4lBmNLlkqqe/w6K5nDq9uHHFFoOIgQ
LYwjiSVw+oLcoA0dsPDT4IfJXQrAhUOeyuY7z6mzX1T8OY81rCl2IqfC6ZNYnr/3Bs/6YsVLD+zP
/gGnZvo7mCeaU4vY+xFOYWUfGIf7jwKHDzpeGiTbMHbwhdcr8nmcQS3EfhW8ZcGw3BeisT4rxj1P
Yo6J8UpIT5cSjMs3qLXEXDOYXQtiSBd/kenvXpaRzpx8yYcLLn9qbGhqFXjbyROUB59wxbxLSlah
EyRu/0Twi4Z6DQhtn2MtIVnmdZcCYYfumkSIbY3Wu7fnviHLLvP8SmQQ8IhTDvNPaji7PRBRgJ/B
HNTBLi4SaPN2Za476kKITuqk2Y+lJjmnW3G2i/51Eh0yvK4S/KbUuCakkd+jSqyXKZ+xZuyoc8Ic
nr1LuyCOAzKuiOeolfMIp47Fa+NY8YukFByfCQkInkJc0G34XQXuqQUTc550pPe16vKDS4TjqJie
4o2do9+RZdo7V1asf0Ct4YdP3A6xCxyrguntyBHB3clp8G91WFX30wp0q1PTHuzZKk92i/Za66D/
BbfOPEAkiRR9zhyNcsTIZ5e97+CrsT2NeajfOc5QeRTGWDJYmomgc5peMEyPNNlvgqGKmHsz1jdh
Q7Or7tvrXmp2apwpuzEB0xdh+7IZ9QNwxL6A+3/svrK6FOM+HXP8wilBj7SWeJjL2u+uMMRQ+GfN
zaWpEd7cKkuvCHEPH4uqvxZjcbZiCLpup9zGTFziDJib5mq25HLkCqQPdHBwq01IPt8Qny/3ceAR
n8a1vEEwkoeEDMBDV4hZbetpai4+QMprIkvmPFsUSu2U14g7D/v4FqeAf+1U0TOP/YNP7GKY+hdn
Gd17Fy7MRuEU3YK3QBii8nPDr3PlOWtYrfWyNgXh0KcBAR7ZC5WHxIMhvzNUKUBChmX9A9vy9JGY
bLqHW7RCQEhZ3MyLH5x8SRdZBRTUOYqpRXcS6bS8+VLcZaZt7rJiFUfb7tTbTsMJsGccKHKnf+fU
GQF49LzXdq6GT7O0N0Wc15c2T0HB2IIOuqRw9KcMI/GpOW7AG6DqGAuLIhhlLZcBRtEt3pD+CfYK
+5yqvZ3mqnyoc80ADrHMOxdLIW8rhvzPXcDZfG4zxjx9bnVvdUSCorPlsC8LDFHwXttPKLf6kIfB
BDA4Gp8iTdOWUJ2gyVCxu1FgenAs2/+pyhqXNcNqvdYFDIvYcxoBqjcF9Z6ELcO2ivqDfW3VOKIw
vZQM5fHesoXbdbxl9s+IurMAuYI5pSYhtvrhOwChFjCCnVbWvixLbiadjLcdu8lXI+kw3BLLnk7p
kpTvkyamuukdmUebwEqNvi9SI14ohao4fmdE/lJHvkvQ93cStv5Xm1qVDZAoL2BC8Hs499xuDj7e
EeDKy5S8ZPUEGM5SWOKejGlLEAi6VntDxg9mR14vr0NsPKaH9XAGeiy5L0xOeW9nOWiJVSD50J5l
74cMyB+uhckHreIyLody2llPNvyNTTcO7pb9xTzRTdp9SAwLACLs4iS9hOqLKr44bdtRktJDiYMO
QESFLdLe+VHlPYO26k5tid/jRk8ERUCINLjdKY1eaE4QhWMdnMli4qXGolQvkEalOBp2TWfTRvl6
ZNTX42jA8TYMULIuBMTPOBNmcgrQ+9vAGrpVTEl+iglW4CYm0USqrgvS16RMmisUnJKhLAgNEt9m
yq+sIHWKZ3A2y1PZ2QOuk4npGXjOiQKFhZ60fTJaoPtQJY7ke97Coi7Cfc317eggzgWsSInAzGN7
yw2XzgZqBDsWE2/SZZlmssPVzHo2KlKUvCw0MIbUjsU9wC9euaS5Zcn33UvdF+mdHTnur5yh+E+U
GQh67EecpGn9LLPc3HqhwWrbaNw8Sagd2r5WI3sY51+pZazoVOOkwHUTE8OnFNCZ0HYA/Xic+BAM
No6R+Hh8A8xv1yQYbjDst+u1sNfoEXndZojOpnN3rOv9iMtNr9mMtgoEw67eKzZAk3jdW7qaGQyK
onNOLTexFG/JDGR/CAaxazKvC7ZuY/pXJ6rXo3JbNew5bZ4/Z8iB3jZCsbwrub7wbwumOABBeDA3
7NOZf1V7hfuhLeLNDZGeaZsBFeKEwxY1Bx75AxfP2NUYGv8zw8zx0y9s9UpZObhrPFvWfaXWurMW
IR9yr9POoKkgskFC7JszJ/H8MEDEz7fR3IOyLXBg1luTdkZBh1H63a1ncyz93r+lcIAJjSwLBcY6
6GmLSZT3C0BcRAcjQaGL7+bwnRLOPK9pa+GbBPBVX9Lad+4LD0ZlXnQ0l6adkz+WFl7VMXLqZhs3
3D2Y8GhiQHbjl9dgcbQkAgujZ1fgx6AOq1izHhHgCXqUxi4q6NkKm6jf9zTZHbMhcMl8w2J7G3wu
WHwnqn3p56CnjLafQr7rwAcnKrNuMZsgnBHQhoxTcp/H9rMKFB0bbqd8zgmZdi5+O/TUe3lD+iEJ
JaJbJJNlH2Ztw78rBqazV2HQLwRtei5dPJ6+2mV6Iv7M/HXSr0nStUe6uv0rBJEggRVAcha1Nv8C
hitvynAmt0WHgMMwu4XqdZf0unupQ9wH9SjIq9ESSS3CuCh6XTILSzmPWA+wf+RRuaJIfoGh1Sig
x/2gw+ciabjNT5LlZ/bt9DOaRwjNvSRwSO2XSnLGKjbE0TaDUEchRN2U4P7wW5JiGvpll4Bt+tV4
ffMj9yVZjyzBKbHJQH5Mm6QLiEnEPtojdwGKqjJSX9gyGKXqDxA9wWWSzerTCVN1i68C53DA+smC
nWog8gXr/wK+FnoM5VPdEmzz0kawwbNUi90ABfk2Ja4P4hpI1psPF3a3BHX/xpvUyOtGiP6ojW77
ayNA73FeDkBsWE6rvyI7SeMDJX0phz0aYOst2xLrylRO9BGkzuBeLWG1yI3ou9rfQsLw3I0FKeLo
+pnZW5IK7M1gBAVOJaPM9RZpwZttplrvFzon072Mk+VBYhgxR8XJqOHKFLa7WvDOMwl2o5txsqJx
23Tpsq9FuobKgDSyoIo1hsaq6gywVqaDVY2iv55Hr6TcFs/Mss1nkFjbpBGISW3gsw4scahuWwpw
UJnZ2biC+SQioxQa0UZh5/HJ2QE82YhRIxbNFV8wPLU2umn70osOeWF/D5mlHhsV2CiPKYR016q6
aScwSGS8xjl+cis3TblvWTYJh3e19QAFaFEvMllmrHoDs3WVEixVoz1YB671bvLtuuX8nnMgo0Ar
kckjKq5b8jP26l08Bsljlqv5RAIjHg5YdIIXk/TmssyDfkmLmJN0qUx6n9f5q6EBcV8lQQBejE1k
H62mMl13Q7Trp6j8YKBjfVWJmZ/BRPbWjgAs5PSAZXcG6sUEh24ceC3cISd1wniIlp0N4S8Oc82n
SFXxY6HbgkpUM7Z7LmvxlWUzbMLov35HXYSxzwEDyqKau79tqx4PqBbOYUJQuCDpuNvU8fr7Vsyy
31lF5VBrE4zLyeHBBXo/mke8K7wBtHhQ2Sm1fKKbmjW7W3B5EJi3p0tc99B+0Vf0YRmDIQam3qJE
EQiDBBi5PbXxiscXCk01OOiWuArAbdlAQw7LYg/LtXGoNDq1k+cwnok7iuESrATnbo6f4tr1cXHY
84egiIyqUvz9AneAqpd8pAGbgqQqrOUrZ7LJY29LY/8JExuiBRUIZkV/6udG2uqZsyiVDSKMA4tm
bs/QVJzVNY2bovoOJSdnJi/oAFvViuI35j6VbZWzoqr8CbG/7pOadBXYLrdgoedE2fjF8b9k8vo/
D7LBrxUy7P8/L3X1URT9v/3vj8L8n3+7fLTcc5v/ANz4x8f/HZny/wogPqOmY0x2PccGafH3kBbk
bUhWSQXC52++YmD/95TW8f7ilfBsFRCPCuWfNNXfU1pH/iWZ0tpErVyH+SoZp//ElNb1GQX/05DW
IttJsE8E3uom+KfQQCl7bSNLLZTRk/CktGYEmCpozsPTPdwapizVfi1xTjaMbeJl07duticdXV/m
iUbASuv6MHNxvPVLimjETCEoizHFGQj8e6uLyA8YS9uQVak23HHyReeIYM4iIM/nAlghI7x4/kmP
Q3tkJCRQf9AoSG7Wd3Yvs5+6iQhrBXTyFaufbew50YQ6DM/lMrKArL63ooybK+zuFPDZYfKhVn9c
wLwjYbFebXOMXL2dWr102eqqG2gF27AoYbUbV9dd9ceAx1RdXS+9BgfAOtf91n/MetzN5XO3Ovi6
uU7mS10PyWWmNffayMk6RIy7jjP2PzddFhqEfbYaaA7sxWjXI+XE9OxWq3uQCo6BcDGOwjodDCOM
cnkj1Jzu8Xc7J3v1IKJkzc99BrTl0uoWKlT4D9diX4g1z1lQq9S4TBZkDlvWGqOLB3nn04WvgC3d
WDulYb6xsuKRXN2S6HjZT3zo5qdOwv4kVldlsO4HW4GIfMX9lnj0iiXdGlKvvzj3RFdOzxT/GNMa
xzQyBkg1WgMBcZlSx2tZBbLe4gaE2ZY+D78JzCynHC7K6imzUAegGH1YJsnogkCA31pF1+0TkYtd
tKR8lgThQEMIbLo9OAPrtF6p9mRv7d2S0+0Zr/+l40vKC3TSy0diQsV3PfJb2MnGMS+AibEZKXRE
/aN1RkW9ziBBFiw+CN1tLgomuG6m9F2Bq+HMrSe+9yTWP9s09KNXpholP7amgg3Qx/N9pGEEt+Q7
9i6fUt43fIkfPWRnQiAW3JVypvORG2434XeDFhVhTZB03BfNOXat+VDEdvQ9G5+vqYUsAqrBpsJk
a/OoxPtorOVj4LfRB34Z9A/SrfyFsSO5Cw4Cu5jDJkbJmra7iGPpThBaeKikzLGPh4Z6nX6BCyDB
MDwmbq6/EZTj7RRVZj/LhCS6V9ncbfKm6RjsjQuuz1DlPV0OyhJfePvnjwV/8Q+H/623q9h1vwUz
Wl5p7VUULS1FSxeso4TF+9OaCJguGHfySpyJdwz2uGOoXFbVbhooqQ89qtcP0mJQc8/piwInjFOa
kt108tcsVR/He+gL3pOTBNnIxc0ClN95bSn3qV2rtRi3F7/Hua7OVpfYXMeLRcNM1WWw5uYj78qe
A90iG4chZ5npl4QPe57tyvvllkt+EsTfHifNAGFa7+eLXaMq5RrXu63MxEAi1R+4neh39ZvsbOao
I3dAL8cm9zsQgVkoyQy2Bd/rElN7hT2N39MEfuOCzRDnk4dzgVGuH/ZmP5KVORHfJEIkDUiawYS/
G0lyYDd1FinpIIk/kZXHTx3Rq+TX0Xy7cPO8T8rW4g7gFfeUOhL91g0HzI1rz+67RckdemXg0F7K
9LS6zvklwfioqF2NUppKYiHu29RmUOmGKFOcg/Eu+tfLgA9U9RzyEnoSrhGJvHflag4r5epzD+g0
ocklInhjGEptSeJnAxqbDfxiwKR3BpZRXYFEMXQp4+hKdl0go+s0DabTzOBxHzfkWCjIUtG11yLZ
bxtLcDmom6A1K5xEfJAHDH/4Tk8vZNuGj9WSPzBow2LB+G0zuKo8MDyaOXl6vXn2vSG8FIxWcT64
ya9Kxi4gCQ6xYugFygOpqYFGmb3XJopoVJWdJJL5LgfFD86wHne86s2+Wtf0cgZrUndwAX09uW/Y
EXLuWpTnHT0ikyBZ8uTWYt27KYRv34Wt1ZClQGGjDrB99Fjn72vNEbZsKvSsoc/qI7UL7r3fu9mz
3VrxbxvGJrOvJBv2vZLhZaFs5SRCkZw4uI9Hzpc4W8KYXPsoy4pDHlnZnRmL9EZ7xZjtbWdcPrEj
tKc0K5LHAm/hGV7FA+1S4ANZLeEahWko39i3w0vVZIz2MW34D4vgKgaVeqQfJRTFlerauaTsoJuw
v1fxd5pm+hFfbPSM1IMKTJwwRH9s8UC3De22cAk+Riqzf2IPBc8oFrWFUFWcXJdbHFqpbcFxBa61
+X/sndeO5ca2ZX+lP+CyQBskgcZ52N6mt/VCZFVm0bugCZJffwdLrjKlU2o99EXfxgWEI+hIWXsn
TcSKteYcM+6Ve50PlnvK5CTIVZ/UqZeafSFqYkoWdmIEhzBkVDrpoQL8EMebMJqsPQhomu6O0bYb
mnvZjeM29JPiAOPvVEXyTccJEF2YTCdeyPQ1cKSCdOI4lyKsSmivnEC/hstwZMI/gjs4QTzvn80m
ZORt62hm2MW2vZ+X8xrvRVTBQUDLxLALzLVWdTEhWQOiR9n8ZvVlAQGA5RcOCkYsxFLTou685mvA
CZyGUWFuelVrh4kZ/Bu9j3HOgu5vZcg2tHBtJ91amEoORNCkL2aMJxWtqxleMmLTcUNlMt7UDt3u
kBjtfdfZtCqayu2OrjKMY5/j4/Q1Drqz6mZLJBsrncbP7GMjxApZB8NV4kWCLjoa6UZ4NVezre8D
VUimYpVJfORIzPZQNjfKkdhbvcC9axK/v4p6hdMgH9mvkcQfSQq/wHBdACvXiKubwOBzShfuyWdf
/fJfW8b/PxhCYegG3evZ/v/vi/SLl/Aleyle31Xmv//cL8W573ziMAvWzp49tMIRvxfn/pxHYQob
jgBzSFefTbd/SCg5f9lIKIUJjMyaPam/SSip2zH1+h4pFmIGGrj/pDjHyfquOOfcgAzT8uAjmD7k
DeAG74t0gFJsimOS70fUkevCfQnd2MeHJfOLyB5Bl2UdiDQtvy+rVKzwr5HjiD7hZbAdlyTExsAS
423xyeCHqtRVYWGnAwN1H9o5tBLJ2GHRxQwjR8CpKrX7617SbSIlEhpV1WW3RGARSulLufMiGxVG
szQbcR5pjjDbiZkbYQSgbXDdIb0SRT5z+KDOWAmhERHZMJI8DQy5zomiU7y4pMxt+9RfN6UpCGLz
aUQzLGHewIyQeKCE8Ldm12me2qiGeTr5PJsJuDWKQsKEVkzpEzRk7qpjl12VvromWHXHHXxVSJxU
lZ9yirixMW9ombH6UnSaHczP0vzmGEQJalEAvEAy4N/ig7uNubaXJZI++q1ataV9dj8g1YARcOoc
LqbfVtYpIQlnGVvphV2021mezgSmPtOeaJYM63NAU+3Xyhyxajw0Pp36ps58EMTdwTai7AJz8oNw
xlVWd+iqV2Od0xwwvOIbQhX8uCLZGJaxGjzB1pfc1X64J/DaXEky/lZYFZl/MvHTpmSnjd01ar5+
HTbNcN/FkwMhPF+TIUsqV1pCTe+4NG4d7igvolt6ATeR1X8JnNFdhI2dbYaBWV4CeYIpNhlDKPpx
OwdYYVDXJVuvxayROZ6zN/1pvIPMemOljOQXhmV3q7l5BNo+ANHDtKTaIokPLwdx9nPn3tITABOJ
KK7o6ZHO2vfnULcvo2SADywew2y8QGU4LttusFHEy1Mom702EY8+hY8qVPI4xOvRGcHrdM0Fde23
tLilHKlWvetbO4T72ZJcs2TdGmtiyZc6XZVFjaeHDj2DJMylF2OvQ7HFuD9SVkJr3yCd2A8NiST5
A7nsAwPQHO2YmD872dfUvjKr9HsiAxCPjfQxB3QhzQbbe7PMabdtwaYuCsd4sQMI2QjbvmWJf7bS
iXZyfnCD+spqvWVfJCvOejdyioznHi884oQS7H3ne7e+KDbwR2a9CQOBpZVL7RKAg3NlqKlFVWdE
28KiVV/hUzm2Mo3bZTM6gtYcTl8raMYj5HfvxZEM7nzE9kcNOfce+njHJBj8fGKFiDe8rolPkRnp
exy5cje6Mrxr6NGteFSbvVXq4/OI3HAJ7LC8QrXbM1woss/pGLi3kx3T+NTTlEELZkKkB/6x8mOx
MYRSm5bAkz1ipYGTgZ3fIZwY7uAed4dEr/L7XI7Npu5NGqWSgfZLG2D7qI2ZJKl8sosduzqlvafQ
OxXWhWNM3aHVpfFsJFm3dsNy2AylL441odd7GfnOJWz16I1CsbM5UY3yteKsrhZlz1WfcGCdOcqD
B5/r9gzbqLEs+16/8rxBv1FWX18YgWmccujE9+gn/TONe3niUXFPhDzop9wuQWlX6ESXM1FiayBq
uyBoKISS1Y7XhPfpxe6HXeYvmATWd+bAHzwGj8EsdBzLZRfwhINja04Z+qG1kjLFK60GjItHnCGt
FJRL+6Tpm4vaKopVF+gD4DOwS6NpdCuDOQIGN6RgDk1vJh/dvegbbcOQiCObmzSssI3BcSWMdeQc
jE8iOw6fOQFwkI1J9boShZ4cmUheuAE2qLj2p6tqjjq1Ay87j2SbLniS7iE3lQtp+w5tzT5f9kbj
MHR07qRkytB1Kr8UXYhlVo1dcFcpZWpb3xlpkJOuUmP9KfiDF6aK/GpJsTZuiykKyP6NEUVsddDb
CQInu3zWDCyCK1T7JVAFo7i33Mh7bszwgHqeesj0bjp3xsS3kDotsaqK0VkiXwbWowOXI37+pFmh
vRtzA59zZ91UQztnu90G0vWWFeF2cC6dg5bFw3LCT7vm4JOiEcGNCcRnxKKSH5vJ7o+BLPHc8PrH
8egw4As3ioSIJSFjI1yUHPGgEuHXqHfUoejBgWrhnOLjklBWjknKGsO0mrZJclNNIkQBFeYXhIa7
Wz/IeZQml6dqoq13UpXjnoBLN6fY0fxzR0DxfaSH5imMRX2ROr5+UxpCvyJF0TSo2vv2yL0eThz1
4rPSW/9sCIvnHd1K80r6Es0sy7Witzwri+Ugg2Ej5zeFUlgcvfntYbrOoG1+ozIcRYcogJiVasVw
XdVxTRxNwf4cEW5WKbbKQsjmpR5z6HKdbzebdH6D/fldRng53AVuWtzh2BrOgEXCfdUDx6jndSCe
VwRkfeJYoS5Z9nUxPwe1d4tXIPscz6vJNK8rwFFK9CesNQyUmj32PnjZ80rEcUDufK0iWMoz4lOB
smMOmZH5o6Ru33N+8vdVq3Aoth0S8lZ4L0lmjkc0wtVBF6l7FSGAb5c+//WRAkQw2PSAuySi3fRE
4F3xX2uXXQ1MwihHm7MKffMlQo0OcXogPar6yadCSQEdNxvPZxK7MB13jtZD3ZKsanybBBWElhx3
OQPb/qJwE0TxTk2K6oTudlox3XD8HbqVgIz2qQmrRxwwMuePSat2mZB21+7KEKnYycz0kCzjJuaw
0bXAYdfQ90ZssXXsozyhP2dDzo5GBP7jPNLKJ2div3YcsLioKlDfoT8kaqRurUuLxuPZCwcHqibj
ozmmay0T27hpJumknKCDXN/WIgIsoEnDo9eYlD5txyr4YvWC87Tnz2EZGH0jjXksYakkMdO3W7os
m09TlsUweoG9srYQpYPcRhq1cZJWa96kbc11KeprWn34MJNE0QCg69Saxa5xPH2TuO1925/EZNXr
MNDPrudXZzuO9IXZasGSGpV5pYxnMBIjWyMYfVT9IQiBsqI/ZLtqoffJ5wrf2WZM1FejgHjnSWvp
+aN5Fei1uihb3lHRyC+x+yWrNf8wmgEqOXc0V33LNmCVNZlhrr51o/IaIslNUrr+asi8K7I6gl1E
Gi/ASqmvyWJzjy0w8x3CQUg2sXXAsHyDMIY9Lzask8b+v9an6muGrXO+R+EC1qO1kJG6Yju/n4wq
/ubYKtozdEYcmJXTMUnx6Q6qbB+AVY4rulzjN6R9M9AkJHR72cgW4R0gdDdc/Nce4TARfi1x4MRh
1P7rv5NTjvKdM9G/P+Qd3ySHvHdHvF9+5Nfhi8uIBc41TDhKv9n39vvwxf5E1J/n0SpyOMJZ7h8W
OcP85Ooo6H2bXqhL3CD796/nO+8T8FQdyJJh8me5phD/6HwnoPD9MHxh8ILZzjHQ1euw9CxLzOe/
HyoFvyN3LU0N2N1IK5Ed0TzsSkAyS7gF3alIUJjjTjaPgs7ZDs1Ru2dAgjjEy3nzOJu1j7ayObUU
uLSfRCXRwuh6Ue6zOUSG5nDquXRq24I02d671CPW2T2iDBWfJCmZX+3J6Y5NAVjg0OkCfUZXxl2/
CYnhjJc2pvZ03WqEFeFlqijpE1sXqyjPwldwYkjAvd4T1oqhpFSLFqpUTarMMBRHpaXuvc7ykq6h
Sg8n1rngODW17OCK6eKxnpT5GLimd9dg47mE0gWOqZ8IJ6KUCQ+94aEAjNOICDTa2z75uGSbNIVC
QZNpOnya3i7sHnddwNhIMSeiYzhG5q1eqM7ZpAR1ZZDspppDZmig7lB4J4sV9rMhuIxc3ue1E01s
FJyHOJ82TLDVpejRf59oCKDWMAMsxxQbqY0uKzEQfXZuKPVlnOTVt5pMnJPZaTGEDmTeJ8oF3YGe
B/hqKYi+5IBNIXKrJhOGaZCamDHadshajOQtZCRFewlim6rSryn+diSVRpeVs0qQD7DhTDzpcZNc
plrgoz5z7TvdS3oSyeg4B+XoX5nE3LWzwkMO66bRy3vTsugdTUk+BFsRyvSAbEIPl/TqBzDzqXud
1rr4qg8eTdgO0y7Iw27g0niYWDjqJyJbd05jPjJQ7h690LFBTYHm9Tjg5rTubNdFM4Q34pZdsgZu
6tXo5quWoeAe8XE0zuFdA5wxPmHltHqfrynbrBvwueXOCev4usltdEY9kXdfUSHDiqkjzkVL+vNq
llJGTPWsbBUygnqzi4hKJZgc2GlBj2561wSTv7d7LRlXtRObCBRo1PHfGeJz7TK7WuRCx9WoJj8f
0LPblb1RAJ2c3YgwPyBZCHf/qhM2jsuu79znGjqjXOiWaA4N4XbpiqFH6SxqD3LrQq9k900Y04Aw
eHKKgOBzbG9LcLgcL02v7jaYGD16mlYRXOc9IgSzGlO1SYfZ5EFpDO+bpKUKPYhJ5sh8xHntYuQ2
ey/XcIoGyHpWIktKrIbKjnAl8kbnt74fe6vG7TDtL/osNzXUVrZMHiqC0zNcgmuiCRTxf/SdqqNu
UoYTyrJDzKToXjd68lCYSt8iDpnWbmxPp9BvsuMYIeQleT6ol3GqXHUefWSD19gqygepmBWSArUz
nF51S98CgHKw/by4ncv4NmsIU0kCo5n2TGNJciIH6ax3HnnprYcomQ+wInuhcz6uviDOm05mD41o
CdOawlIzg3R8YOoNObYeOZ1DiidsOt0wD2ByhbYegxK02DT+Emh1dKO6YhbKqRryCr3UaK8AYUyX
MRUb5TyvTLfxsccxOqEqQvIPxgzRuADfM11aYTdOZw078UM7tuhAa4sY1g3NhpHgLCcyOzi67cgy
j/Qy8rQZGomokiH2SzlUR1IkEyaVDHlGHCd0+qxl5eBegLnMb7v4D6fCrtpVHby2fKiuGrNvt0YF
Mv5/Nvf/IywtlFgkD/9+cz+9pE308qre3qp3O/wvP/frDm9/MmjRCt8VluFZzlwu/CqvMD/pOg50
PPB0UX1vbtP+2sE1DHZ4xycM0WVC6Aubr/HHDi+MOYQE2QUpFeKfJQp/QDMK3/I5/7uubiBowgQ+
y0p+3OCdUgWRRLm0Eio/+HmzZR6bnShRP7fAJxYoM8g9IMszkd028MKZVYgzPuBgWTb9k6WS566S
AJ2nmSTbd7u2bq8SJqhLE2sLviSNs3bVEJ7rZE+tx7xJ99Mn5ZS83+PBooHN1FBU+IO0pamSyx/u
xl90Ot7Tdr//crSnKV8sj+xlz/7wyyWo79ppLO3VkCcrgxcvDb4VsrrShbv8Z5+EfYhEaA+2L3/Z
aGneX8aQo47bQ09c0QlZxGQUJ0Q4jm25Mqpw9fOPsmZa5h/dGyiSABXQ1vA3y+FvMzvhx1vGkFTl
GhMmDs/9V/p9eFzz4rEdcVVI39gHfYnvQfQoxmtRrdyeXrAu7J5gxTqCOa/a3dRVWzsmgw2WWVHk
Z80xp5XjyKdQU0ecAS9mtLJZ0+Dzll/kkI/LykJhg8n8NNohAytowZvA0hnjko1mQW6js0puqa3H
ahUF44vop+e6jj9btUvnPNWdv7nc3ztUH66B5zvkXwtmIg626PfXIHDcqB8tjNel520j1G1GPiBD
jlqC8cBdlU9VLpgEohMmaXaY0fl2n79mzFh/fjO+f9D7L+IaID4tEotsArWND19kjIYhzEOQJPQJ
UCLVNVNuzX3ywmaOqcu+ErZ6tBPGxFl2lB0JmM54DQbC3SJHQPHqm9eE197OjLHBwckeui9TEn7O
RwL7Mufmb77sn6p5IRh+gmgQ+mzDtz48pUXiwcQiL2St6xPUGTA2rq7u7F6/rTVxRm5z13QlUmmx
m0jZimv9AccSLQMboT0aKjmB/zSmhQt9ZjlhfIyEuFMVLruff88/3V1XcKiBCyJsXiWHle793aUq
c0Ucuxqa3+yWBNJ6w3BZ0REbLtHZE9LA3ChPFEk/AvEsOZuf+3q6HXO57ijPfv5lPjJCPnwXb76m
P5yAdFHh8cSIsgoKwhMqHTOAQWmBrNEzt83fftz3NenHB2r+PDGDUWzulGt+793+8HmuNUdXACBe
WS3lL7BiIDatRDeueCrsWwM3D4L8vFz1+GRxhrrxlYjGPYesz+4IrCkh5m8dqhxHs188BR2xdA0J
0UlzN8Uo1MD7ZkuSMCECOPG1TwW9ooRZILw+MfS3d4mga1sZqI9lb9IALo01AaFHTrDM+gsnX9t2
faLzEW4CZtW0T5pm19JsWJcOmif6lrNnFZdna01XP78R7xdzjqLzhTERFLJXGcxDPzwUeMHohLTc
CNRq68kON0l1MSRo6fPzzz/I/PNrguARXSNCAD7Imo/XP95yZ8L1SC0cra3EJSslfWPagoXHIyV7
8q0OGVv0mAzq1q6nfduNN7g2nwMvnxUUwWdgJATgNK+hOy0KPd3JDJ1eK89Dmf2ifv23PCX7z4/m
++/54XCOPZ5AiIrs3mASp9FAppy6+CqT/ClggyYssSdro+rjRaRFzSIbirMcmHV5Vf0UTtiKSzVp
F8SLkM4+1NYORUF/lo3McWeodAeTKdiG+HMOE/qlh07Z5bKq24u+5LBhVx1Ti5agJM2swMX7fLBg
ErzCJ0xaUW1jZMI1uiDKM19Dqu8Qr5SPQ5u8BFEFor5S4+fR6R5MlBWricrhW47WC/VTKDcBXdMj
IWLTJo2yh5/f2z8/RFQ7QPAorVCnsoO8v7W4nCg3rMKHVBFA2k5ZBHvmp+42qMzNzz/K+KvPouYA
VUT/BvL1h316SPQah0zpr3pzsg4dFhBw4daxkkTMRHAXFhn+dFGM5yb8xthcLZnJMFT22WBVW8rV
NBqCm+LIK8Mf/+bLzZ/9fpVxLcvhrUW5y9v0sezLkp7Ac8jgDE+zw0jiiaMdp/r+b67Ax0plzlPQ
6UJBbTJA4cwtrB9fJGmmYceEPURvF+GKmhVeQJLAcDCTjaO5qdDdqLCqXrLauU/UeO00FvkHoB9c
uyBKc8ordF9xsXab4QolX3TCpQgYLHDtvyko/uqbCs9mU+SxQIz7YXFpkTahho+DlSfgCyUxYlys
IuACI+wweAtE5G6wqB89jAg/v0hU8u/vBOx+kzmccB12ZZQ9768Rs5Z2KkFErZj+PQTKZYlBquOX
xJaaN0RDLeO8/puPNP7qMwUClbkTyT7jfLgvfj7q2F8dwPZ1sOU8z+iBSdShot+4MmNK+7z7GqX9
PfqFF0BRL+aE6zLQvrT0bwHblOWFNxTfEuSsRunSdbr7+SWx/7QAezBGAIDNizAksu/f/4c9cNBq
sEO07FcMkDAcSRJpg02AWxgEaSSQSEzkUfAQqcGEMRkdukl8xiE3bFoRPMsa1xZgxxs6Ud+SKNrk
g74Jew7QWhpfkRixrWA0LpwSRGRVfhXst0Rf4TlGOLcv+ddTZasDrj44P+CGYdTUm9Rp3sZcv+tG
+9loCMAbi00v040N+mndW1jkf34F3LlsfPd+eoh9dIsBhcO7Q8DR+6eiwBTGaSNyV4S03Zm5c422
bOcWkBbAzWS08MnrapzoXA0h4KaA/6d0ioUcs2bdhs1NK9UNHRo2Awaa9FdsElUlG7xLliMBSC4U
4FXuI7Y1LGQHTUuE8MjiXatwI5UwZkY9YUO2WqGDewEPXSxE6N32FhmKZnxmKrXC5bonvveiT7Ae
KZ2uGf2O12jWkHeIHmQXr3q+qKHnRCwOpyFJTmmGAhsc6kvfttiyLAYahdq2rTgT8LetOYOsBz/F
BVNggrELRNgDc5xS0w2cTIhs2nwgnRuWUWRjdh2EhgzROJhO9VWRQ19mT+5EQGX79je34k93ApUV
h3SXo93skviwMnSiCAq3xkhmmcsalpe768tdDdq5/L80Q/lvNB1hFvFzn8rla0wD5cfeya8/8kvv
xHNJfJ1LYU/ov3VIfumdeMYnG2Wm7Rg6Ordfcn5+U7+ZnxzWUXY2F/3RfCz/vXdiuJ9gDTLNZvJG
IgPNmH8yHeFF/PBsECiI+cKig0tIIIMa8/1bGjPP9NBvTBtInnQTyxy6KxgHTT9HrozImaPy7ioj
WCNFivK1SZz9yRBFtmGzqY9pkhhEceo5CYZW7MNbr0g4Mc3W7RYeO4HcmoVD4WjEkGB9/HnrsCUN
kT69kgdsofXTFDsZr1uZ7WMri3Z5mshdl/fwjOc8a+AKxWWMu6Zd1GHb+ysHtRR7C15NfAejjTvZ
tKUs9qaX2ceYUzKN28pusNtZ2pk8wbRGQMuSzzF10N6CpmO4jADJ/xL7klG0Tmh36STxgSRS2st5
OpUnz7HEYwMHbVjTcoZskVbYxRYylj12CfIqVkA/koekzZ7VpMdnhpx3gUQm7oR5T4CnkC9CTNHR
Num8ErcqbsVkZ2c9Tszt0GuMNFC6Yxkuon0/ahqneh1tsMw2BPhOa59Ltyb4OcI6KYMFMDl1IwsI
FKnvnb1yyI5m2MYciEC3hpWz6EQZ38A8SBAvVdma0L3x8zCV4hQxEcLBoWsFzkuRYstJaDQd0hLu
6LLRLYhITVdFzNRRpR21mekKekAjxjXLDAPq0KAoH3IMK/dGOOlXYiR+ye+zzN/DUzAbeBAz8toa
sBZ7udm8lG6k6r0CfXUUIWrqhU5j7hLGCoyCvPZ6YhYkrpqj4jQK9QCOPf5Ul0xz5M+hf9X0IQ4C
0bq2tylGVMvNgDYb4m+OBjrwELyEAIHiDcU+OzwxHjBFGvMiZm7xWes7cxM0qtgWIBHmX6kHSwni
/r5qG2fttN5wSpu8v2wNN+NW0pgfF/bg4SYwlexvPQPkyiIncOixc5R4KCtDQq1V0rj2UbZeolHt
85Ujg3IHxTLb5b6taPh1AFtaHS0xY5PkuokjWPpaFNZYR8cRMgG/Ur/pMgOZDgdNqBhCxDcRQ4gd
fXR9J7BQb9DJ5BjR03lFrtzyjHaqZau/BYlOo1L1aMWjh1IRiVKmY3/RtVxjA7bWM1LE7sopZQ/X
hamgJ4vLdjAurHE0Vmk3TMykshlPonHJsOYsJSizs585FohHbBS81eMAokVKWqQ4gvFVVdKU07pj
7DUttWqA4scY7c1Ngmfs6/IEJqE4q9ofSFuGUrlIMC7vOiZPjOcGaMJT4zULrKHBZdLgG4BGFhTH
LiY0ZWMqI8YEocfudRFnzYNBiGALhSRzz41vyKfBtAvodbKiMna9UhydKuiGvfLMpgO5FApkBL3l
jZ+RB8bWLQhLtWqconzNwOuCgjJqIaqTx7PvwztgymY8aiFtLWR7s0c9CXtI+qVlp/pXOP+BfypK
Bi64UzCpoiNL/YXqXHIqyZxGuqEb/XjPsM1YOV1LtKI52PkhKuN6yxwjJRWR+QcsgY5lesESradr
1+myxzge1Lbz8V0vWewfuhothWG1zQUaueI+k44DDcwUTFC8bNBfXRKFtg1emTMmGCY3kRZs+jYJ
ZqHqZF2WxjB+KZoACZKkCHFl6+wG3iJW2CqEWdFWdyo2QWZk+uSQ8JXZdfka9m15PdkieEu0Ztyl
ePZfpRpgoZg6f7ARILEnVmayh+0QWk5zF2sM25g/Nl4IvBVPx83Y1G7PYYW8xQ01w2TvwwQBbYuT
Vq1jkjbFLjAHTl05crbsXORuZe5zpoRo68xYdQsjDac7YHomVNOINDhSI4UdUQbbmLpNpwiRVTZ+
eh6ApLG9EAhRIWwsqL04TppVUG5HbOx4dmdidhZeZk2enaTHtFIjUpXDug30wmLjWeSqqQ5g6sF9
dL5Q23EY8nOYSnUPLzGEl+TjLMAWWH3uJL8O5HBeiUWjCMlZuV1tHUPAr9OG/u48gMwqN9mlYaHy
ZRDn41fdrul59unofyFeCoZXlRAgu6jcCH7+WOuFvwW8QIWn5yPJioCy7RH0YpndNK7bmGuo8250
DIhyInuh60J4PCzw8aVLigYcAoKz9gll+l5Vpq3OmV2qHXRf3oJGy48lPhxYEcjjgUcMA7Jilkld
Re2NO3Ttpsmk/lK3043dE4PDBDzobvUhxakOMgMHVJtIFw8fTO1mYU6peJHhqGcr4rzEo+yczl/a
okrCHXSIPkLHIyaxaDAJTqzZSbvURzW+MdXX73GrqNsWTkW6KvuxvRUI+Y817/Bi0Ez7xmhq+5Gg
6vzIgm0fGmjyCyeRIUT08Tz5mT0sO0F4muekMAang9nywsIpyqZXtHcEonbWnNJqTg2awDjKG2gT
3MpwUddIYDeQrrVia2e29Y3Caew2lebl47UVov9zEF/Pf7ruHVMjF+E2hll2nwwJ6x0tpxaKYzmf
MCQD9UvN7UDqoPryH6vMz3dGkdgEm5EdgP5ZM/qAk2FA6qaIqNcW+BBhuTdpw42ObSC3l6g5sfB7
fZPBF0r1S5kw8WSw3AHEkf1YUEP4qPLAlHbPdV7kl505IZ8PgwkTTOg0t8gltRe0Mo65RNfuohII
gVPpeh7Bf8/Mul6aBPhe8lvXhyAi8HYnKh1+Zhp1zVuDgBZKSahCRqwcOd1dObZQUWWH8HPJpBVq
faRHLNhiMjSoMm2uzu6gV9MSfJ8gXcQxqleDA2tKUkBfHpoIFfTSVvVXj8bArqoh3nfI5RFrDyi4
EKNpDkJtB1J/RRzHnAKih88Oja2Toyf9oxZnADn0sUnOvVHee4qDD07jODTWLk37Yy6bZJ3kfdKh
ZClemToEbGWBfJqKstzLOuWe9+gkLoYURTSO6LyFzghiJ+8Smq+ZAAW3If+3vkpiAMukRbSc7zNy
bQEU1dAy4i6VHV0Nzjuobsw5rD4H1ofKJwnXGk6+o2Z74X2HifKty4jqRemAumxdduVkLOOp4NFj
5lGvplZWNasy7KNF3QAdQGgs/FVgJqh3uy546GGHMPGO5FaKFkIvsnnMt6gApjHaUpDuUj3F68w5
tdjYI1NAoHyiJRiawYTlwVcDXGQj8XNZAuM8bR5V7KdrO2yHJfs+60nKU3kIPSvYtWFWnco+VHcw
rAh0hvmywu4+EFcssgzhm15/CaEcQ4KNIuvrkJdLSMLrIC2nZ6aZb32MLUTDKYygA7HAwhshwMAD
85zvaEOIbQFNE2AnEYkPSHlGHORSfzJsdqPHqC61fDENKOitHgHThEBGri1JTvMubCuUnQoeIonS
fpF+qUKHSRVKcAQDdokMUXiRBuqw9KudZLtYtuwB+4E0jJvSj9UDHrx64ajMVNsmocrUouLYm8AF
F3ULQ2inNTliUlkUGEvJD1d3UNqYBDq1KDGapfkX5lfyyaQH4KxysB9v0tZwJNN/4M8ePHnNCqSb
y063KuiYadlc6ZXy0ekaEG2xOPlXREvIW5ryONcCAUBpocai/iyw5WAxrhLiTyjQxmcU79XXLnR5
O9wWGNiRF4/CMC6i8sUXXXOHzd46MUsyr/LBaO4Rv2EptaoO3q4VCtxDhNI4yz7W/C1UvGHH06Po
3kR692oT4Rzvyin2UZq5ZFzqpQujBl2XhwNvtCA2Jg0Zceac15FlOdEtWuOGT0zQBZ46RZx31mXc
wLa0WgIrCs14IcOpO+AnCM/KzOdwPW8uwXoSW5a4fkxJcWAx5qEmREntj80JzA54vBoqsraYzED3
t1Fh528sEslLopR7zjw9sWgY1cWaawZDsPdQgffAOlFwEK4UrIygfGhE0h95WW1En0pb9pVlHAyS
rUC3pDbYx06tWVURtLuwEYiI9QN7YYiZXxtOY3ifhJn/GvoVr7ZE//Zl6JzkJCvHNxdu7A05Qwhp
fEFyhZlfJ40l1lIT/CjnRgX6l178cJQBXvZ6SpM1Opns0kqm4qp0RWIyukQrijqHhaUq8Y4yDVg6
LJIvfqaTRuJ1zmdkb9OXIasZMFXeGM6yneRLZZZElA9ZeNuB23wy0QDfAinm/Icgub7AKxSoLTzZ
BnKWa7bpkheLjOlWd7AKx1ISFxU66yFXLbxqbafIXV0WxS3QVLztEb/3NSoGcNx2ZaGTcn33OIZF
lhOl1Gbgi61oN0wUFyvyz6ZoCQ8rehVWRbEI9HtdO26+BdY8hRsHIsMxBHV2JYwgItRFaXdAPrNb
1ov6FFr8GlRGDHv6NBrBs7HhjgBq7kyFgo8bGnD8enYTVtvBt8Pbupz+pmX+cWaATESnj0Cn6bv2
8ntn9IfOJ6pF5WY50AsEXxZ7v8vcfiiFdsSsjcMn84PZT/i7YuXql57iu4TKjz0MJgAMQpCR6rTq
xRyL/GOPHl5QnVtVO21TAgGvMe23F3Y0sw8Kwz3ETCK3xszP+PmHfmxAz7+mZc3tze+mQetD09uM
jXJC2z9sVRRmJ+qa9opOKj1vPYnuqkmSXzuOJHQqVf/SzpstoH+kkDTfgSO/C4o//OO/7sqcv/73
O9vo+5/41/93yBjyq+cB1O9Pxp8iPR7fmvZ/Ld4KPKk/9uN+/blf3aj6J5QitNuQD3C2QZr0m5bJ
cz55aJJoiPmGpfO/zCJ/68e5n9A/kfjCdAPJkmvxr37VMhHo4bCRmB58F88jINX8J/24P7879AhN
nmaHgBme5Pmh++HdcW0NiBiWp62MunQDZMtfgMmNwc5BumiLcf/D5fmLF+dPKgVctDZKLASmXBFs
Yx9miYk5BOBzfF6QtAm3oZkmbzPS/7o3WGeHsVerPEBUTJ3u62whY8+BJGF9f5gkDXvVm9Z92gf/
yd6ZLLmNpFv6Xe4e1xwzsLgbgiRIRjDmSdrAQiEJ8+COwQE8fX9Ut/VVRmanrHvdiyqzqqwKkhjd
z3/Od4LpD/fWL8vJ77ODy/fCyxU42GMs7uxPqiQTeRbeSx3E2qq+DoSHtqYG8+FjOrUG5xRCA6AZ
w2bQmlcYY5ezq0Zx+veDwzn9y/zi8h0wXmEbx+dlW+6n71AGEh9BMQZxl8+Q+Mo+ORGzaZ/+/VP+
4Yw7/FQKQOyQGWZ4+ee/n3EOcpGtRRDbrXtwS/3KhI+tH2snvCK9/sOB/Yff5JKlsznjroUk/en6
QuAx6WEKwjgkhrWfAzDrxdhZf/gUbsrPRw7z/q/JLF6H4Jc54bffhDnVlJR++zGKMT+jXDTdbOPD
VOcf/9cHj2HnZfjL72H++OnydQ28DL8u3wSs8qY2ip86XyX9l80dhbo3/w8fRoCAeQD5BFd8+jCy
k23r944fIySJqAqQK/D/wmtcsaMQmjr8+8dZl3Px6R5gaIYmSz7e4zn16VzlmKBW9BGfTLTDwHhq
w2vtJ+KhMjOPiAILMnJE3j4bKPYFi00HDDL8N6+yG5ojZ/lQlIGK7aaetnbpkaomd0Ws0A4ow3Uh
7Q9WV3fbIGtCeRwLGl/tug4G8qZrBtxWUwXCG9XcsjTz4NcX3r1iX3z/77/xn+7zi4BqhRYO0r9f
j5e4oCaZ7Mdpk1nHwjWCI3FhQZDKfTYYUHY4gY6NSn8S1+t2jlVaTxTXBH841P90vYY8uRmpYFm1
L07V3+9BVaBeEH4N46oanePs5DcNZtjNxUn/hxn93z+JJQrvD4udgcux/vRJzOJ7Db0kiH00pogC
a3bxbf0V7cXa/eHQehdSw6cLKCT0Yv6iJ9hYdz89WmRt2oZv9X7shJO1A+qfQ/K35jsMSvODR7PH
1pLDU1rOtFuOw1JuMUHJKPFoyqRoY9aHkKLfeAGeRhPK6HqPQMvcd3eSwUF7jD8iW47LY9gPzvUw
TO1VCcONRWpGw0hngnvaV4yGIUKZMhK1T41cuAQHVH9vT2nfEhuyl1ulpLWzXUyf/A8F20w3pYIw
1gP1M2ltJucxK9xbzEtzEeHR9HbpNJNT84P8FvBs8Q5qvSa7EBKjqwDxL6EL4m+S/rGUg/+Wo1/e
krLND2vPwNVIsEG4BB1PgbCSM+XR2xBw9K5KuvqYubmKetqiNi004yfHUt2bNTbde5CKYJNmtEGS
5ZWo+C3IRXQUJIqwqQ65GIpHQ3TyljBHIEEEdHQlq5lqkFnb8q2D5HZWU5a80G1BRyKjkA9PUyUB
Odf+UhrFa1NhmEEIQPcuBnVrh8q+8WvaNoHm2Ox0D81k2h1PgNR6MM2A+lk784Ir4dj97TqxI8TS
78W9VGXMz0GCmMjjJBUTk35FNzxNbT4LWF7Vch2OISczL8d6ZOiWjH40Ih/FldTTD5ZMHBNtN9cZ
jZbMUEbzRg4JvSKubY1H2Tr9q9k30yV3UMht7UJ63CRKhC8s2/BJuU04PMOsdEC+iCnSknGi8lzn
Wk4eBip5KWDM06BLmEHz6r/khmoKFFE+x23JNhPgdKhAx3K+rX7i8DErc9/Zrmvw3yH5QDGZpP/Z
X3zBf7VcYS53vhCIElBHKRm9BW0pXHa/JZ8TjIJ0DQ8PEGLKWRQppVqHL7p32WzZJEc3kxDFh3QL
foOfuFzxIWCMx8phIbRFnO2gp6nkVLN5rKD7/aT1AXaGGPMm3YrBTgA6WB2oi6Icl2urrCUOs8Fr
t3lF8wMsW7EhNIzevbLAAQdm1d9wQlOmhUvG2IaOkkcV1j6iQUkVL2H1s7dC9t8UThrGLR2YKqIU
gPRXk9wwzKENyG6ZeM4NdSubTCtKYuD3eHlEH1WGRmzkBES02o+TKU8Z8Xx2iE39SHkGg8N82c/s
LJ8sEc6EeDv0Y77bQRttug8l/R5sZGvO71xvU2/m+qjWkq+aVSMjgDY1Xxi9+FdE5X+0pit3+ahy
1qdSfg0TjFksUG15NExiJ57B/pvR7MVFTKV7bOCO3cqq5OiLoDwHFDhGGV0cx6xRAb+V+k+7z+t3
SutAg1KpewgoQvte2istpCV6xP0EDgG0h5geE9+mSCenalcvUxYbM29hlqLqY3Lr4Z7qoeUQaqOO
VT+yXbZScx8Im74lKwR6ygJxpl39KsGfv5t9psYK8WIzdacUoPNV3xILjupVM7jvUzoIYKukywSJ
W5npLd291pVSQ/ieE8V7JrU07CrkWxcTFyrkZTJysITbkowd8h0OLG6FwEhPeQmT0etYHNeWy5a9
m95oaO1PQSsIU7looHqEK6eAG58HZrBjhGln3TIjcDapBz0PQl5VRA6aKOZ/Ft62S0LPltluKvz1
0ZJ+f+6o1f42g6lCcrCwLwIJjmkvmpmmtvpYWEby1gFt2ozlCm5MOthTFHikZvHXcxoWbyPWurjt
yXXRyttHqXdHCe2DEGV1rOkIOOqRDiLarbfpOk1xNYLBbm1P/yAniBpadmW9cq8Z5tscSvvsVP2Z
LEa/BYKbRrMWC0W6i3mNAouahUhYEbSnw8KtWr1vHewCvTmwoTA9wFRKTQ8JxSv5XjGP2kAysDDX
GD9n5NVa++4Ti6Q1HiWzTmpwXrD4iNhE0dtp2vfOADnuu1xd20UDYd40uojBD6YrSLtm20Lc5pdf
PE45VYYb6Qxk1/1+C3IPMBQmq8getX0j9Zg8UBRb7/yEcukicM5Oi4xFqzrJAdub91qPdGuE+GN9
IHqRt6x3niuDfaEbdHZv1t5b42cYB6p0YXyWlASvRUq82gF0yLJqabpn1mXzvdXkwME9O4mZv+Ix
4mFzk9eiY3pphI+ght0vKtST2tKNqDgaXu3NPM5lMTMUG1t/60vKWpgrK0BrXssR2fTh6t9VbkPc
Et6Yep0y1X8j6JZQOEL6dGSQt8zBHoQQglW//gR3yLwIa8BG++M79WbtkT+3bhiW9/uCqsPIdEOJ
T4xROvkTwcPnhptQwqLpk8iyw/KLJWx5sigH2ZgjCDFz0RJXVZrt87xcUPwCbmP4M2pN5lu/cl4m
nHnbNDSe7Yr5OXl4eedRKrnv16QoGXaYDVVW4FFgF/RVtPqOfMTY9Eivqzy0HfCIECjYYejp4pgX
nN61HMcjZVQZT/mxgUXnclFMkn7BtIV0wSPF2CWqF5CLrIosS23djV2VbxuRNV/aAJ+IdNxdYiwU
eiueFnMftj95IeU7bF3VYcUO/Jziz2no2HP1D0VDkbNpBbPqQvWYK9ZQsGZ0lz2DxPYQVG19pDDw
J7TJ9jTrxHy0zVDulVjuMI+Up2V1XcDFNiBT0zSml6ks4U+updplnJtbGSzi6Lsy2RtNqB5Wt0r3
fZ18p1hyvAF+SYcFrIMTNemo1mUxlod5EuhPBdzNMZGkCmtxL6E5Rb2dWfs1mOb9mrg4OlInbU6F
y5UQzJaAiDTS/mMV676dc7IdS05j41DTyRbNxO+j0U3aD/jq1VXSWOWwb+ix34FSquKkIZ3jMCiG
+ONdlc74tqi5xRg+38wUHnynUXK8lp3dbVMTXCF7w5vRbnsgt33/bjPli2tB10TtLnHZGi8NKi7w
d/wfO8o3mxMYgWKXYQjE6+HVz7ABh5vQ120seAke5i49NSQknp0uC+g7DGiTDif1XTZ65c19MWVb
AIKidkz1trN4NpeYA25Q2dN71OgG10tHJhezKDQTQSAYIWO6mzP12i3kfVtjhPWDg7teNBU8PLfX
4QKMHGeKu2ayihNV2VOI2bqiXrxHrD1bK3NhAH/5PQt7kKYpOPdlxQO1AT5k4b1sXujoyPed31Ci
IT4aDwyiNodjNeKa8bPeomnJT3cB0U7efbNzGHJ3jSuDsuOQCrXW9feLtyxI2Z0RnMIWqoYFCvRg
V0/TbNCnMpbmli0UnTVpF7OUL3dBGqY7LyuSOJvCPLb5/I2q3Y9BusmbXzOc6gR3s1683Vqsh6GT
z8tACrwnzDYY40tQWBeSHuysSX0JB5gNdmZ8BERaLbs8N7n3mAKDp7LBvKUY5Uda/mCCMcUyz8eN
yNOnwaN2BU7fqQPakrvmmUacMSJj28NLNK4VVxCTmZBBjLaDj3b2i31q1RFvqQh4+hTbnqxfV/s7
Uly1DyxJJTJGpKiSAN1HdzE4gX3+RIiewFbfPKs1ePFkwb/kO4COr3PrXmco3I5F5xLmFPL2lSr2
TQ0yxgoPuG2edFB8oSMJNopTRbBUb2yv5LtbU7vxuknvsPXg1LyQ6C1jLEiRoV9k0jrC5yTF41UP
BXfVpTDoG7LD0dPL1ggkNSvYQQZJXkEWWXJAIZ9umzB1b5fO738M+KYQzdxjmRiEFHPX20+JBgyt
k2+l7bMxZ7v/NFyAYJdN/oV273of2Wp2+5roYZrU7l6FAqN7WQnC8wShWUp59Lnb5LyzCpNxP8PL
It6ngFU2Z2xxc9Q3M2uVLgnZ3GsnNoiux9R/luzqDdYw/ODCAsQzUwVPaZrD/KPlfLNvZW5p+I+B
l946tgYOYqmvU73uexLAm4ZSLpxy1gh6l2d+l7Kgt8MHbBFnoHSvhPhuao+BTzNz3lPwNMBEKnXM
srXjpd88iwFbgJps2LVF91aYFLmbPmPBvP3mG86rV4khgleloqXrOWnkNjpcd3e0adUvM2LoZnEp
u1c6NQ/OarW7LmHO0cm+eM+nkcZgMvQ8Utri5DdCbRaflKGsNWtbX32lP3CKHc/jl4pCE8Cabl0I
I5usttvdalfjT3/J7Nu8nVndeXa1X4Ro91QsD9ulFOeGPcu+YP9z0hQ+6dGjvs9Sd2pgg+F2gXzL
KB+PG6BNMRLLowRZsk86GblTehOwPLztpTHuZp4dOydMMA2HVsmif2bfnJtK3qz0o2I0nMu98Ngc
B416xemCJyuwxR6amgAJM9Aipr35yTJIuPtNx1pSadzhrd9+zPyok6/8agssO9mAvuoOFjVEMe9b
cdPJ7FJEXzanWh4wGRU7r2mts1hkBfRuLM6lHTgvpD+9l2B2fyQwlbeW1UxxVtniFUvdcKDLwqBJ
aFLfNNf2HZ0ckJByxqWFTcdtR+tsPNOZE9HY1d+4mMN2DjLO1s+wfwqZwzPTrOZhXZg99AqyKwZF
IPZe0G3BIBaNL6rsvhabMevGI8YfCm1F9WWRLBVTFK+PJM2aXS5JrWeKpdDAFjkOC9dGqwbaWhZi
PHiycWnX9TwgDcPyZVwJ9GhFiS+371705nhMnMLe6cLVWwVW4S4XLp4up+xOPonMbdN79xlCVDTV
nPF1CcMDTRzmHlQQlZmFHuPW6vOzMyt1JJ27a0I970NudPZStbpqSSDh/1OsK7HanUM9ssBtCBq6
pam308rIrlsnFY+z5cV1NbgAUctlNzKTjFfXmg5JqQM4OiHlxiNAaTtnNc8G7FH3lg3CuDAjbx6+
z6Gt37BafW38tTpLSJCvVb5+ZzuuHkItKW9OlUHwwhgpWyvVdIWn5Nmy3Fc+tj81KqRkeqS4MWM5
3OPBiVSC5GbNfY6xU6rsxhIG2lCjSLPUo0ALqg0T1TGH/UNNFhWDbbd3szZJ92z6nFd4kSZ9o233
OhW8pjElQK9sxgkQRcveagFfeI9W0Tx3hg4jFWbde0EZ0gPFiuIO/4u9y8ihLhtvzdVdaYXfZFVD
rGYLGnWGTVOs013sDkQ+B0oAEJhGH0cn1aUXJ9/Oo5H7OM0NkqhMvJ00wEYauAyirg9o5vTN/LRk
C0BNV7WUfpitJty8ftW9Iw7pmi5vGcmLTVUUCoXD++bPLRxxN8TVZWOY6xku3lZ20kbltOTX3sRO
Kwjt4sjld08CpDPxLqSSbi07u06hFu7WtqVScCL6SWADRfWqmke6MSjFmO6XQjjfp0JL62Ss5RJP
GnRCZHur/8aUEjOho/3Z3VF7lP9sucj8yO6Worum0HV5WuvQp1JGYKrcBcZMRZNTqupNe+64MxbN
Tm8d1icsqU5MFo2341I6W6Ymj4U38swMFe2KQBP3RWDO24Dc7w6WWR+Vfec+J2VzVQ7TTVCb6lRB
+YV4xbuDe7VaweNTdFVgNuNX+JB0N1kDe3HATfvCB6nnumrat/Ly7KRu/QbbUbkvms6/drMQwJap
aZ0qgqH50sFwOg1uDa3d8dtl68D7BZGRTM8amsxjmUzyKS9t5yzqEO6M4dDC2kCkWCjBwwNDq8vB
7EICvYOfj1u5EhvcDIvJMxEHiLkxqEvHxhLWU5T62tjlfisdyqIoHiDcnOD1S9HSF4l/sSx5GWz8
cTS6jSf7ak87Q/fugUwBo6z98snn+XMz1sH4QzUu5hhKRpt45FAH17y/s3JPOedD4vY8vcoHokB1
TLs2lcfol5suFHgyaFhxUtqwUXKmqE8mb7NOxg2Cuw+cWUf9lPDgZY6wN1xN8L3sZOxPgPDyosPZ
5kShYfRbYy5dkOChLM9uWuBvkf0LxT9FRmE3/Wh93XnvHlupQzgFVqQUkCMdDmCa12GE0ioS7v+6
iGta43az7PhWQ/amYYMBWYN7YpiliJE+vq+95Rybme5YQOEv44L5Xg86RqnF5RokAjRH0+9gQEDu
HA0aznPaIZsBdzl9rxKzU/7gDSTeQEeeEkfMRsTVQs8bqjA+omQ8+31hfZtb2HDbuqAgjzX4Qsub
EvBBE9ENV9TnjbFPjK/l4SWC75hMwnhcrO4V+aO7byiEf0h1MLwxki9uOfLsi5Hu9uak/FvWcpqq
zzTY19x9WzFZP4bswsdbzZkexRRQjQir5BsaLCt8Io+gSex0SLCB97nAcYJzbT+WDY1POpU0BJTY
B0GlOsKcd8JMVgFeAmN9XLu4gTa93YXPvEtHAI+Yo2kgAOmIiNuSBDgO4ULkGQY8I1VKMzdr69fn
wS2L59Kbkp2ZBfK6Tz29TWghREXKja8LnNi5ysngZy1/fdTQ1jUFF3VniltkEZ8/3UMlTnsUPdf3
ceeGrGVDyiOlVd12JY/pzMLdxcwyalSzdTtnuk2qajv0BV0cNujIBtpOp7qf46qem2EOn5tZ08ne
p0sBwrbp661vrm91M7+ueNk3zoDrJqOq3uhLoo/dkEbtkuentEUTYqBzTKvceOk1eIwwR7tEdi8j
zGX5qcNKWWNt3A8tuy6ZusWBjCWb2cmBYdwD6ziygsXzC2OZnJQYeCtuWpqYKZdtddhEKsCO7vR6
TDeBkVHqx1TFuGl7e2n3AusX1h8/zB5tcquEm8n7WwVNKkOedY/eRLCceL8HQL2raQmMEDw8qlzp
X7rroYRQWQb0+gmSuTyoMmUTib2nw7eROOpk2Bb0y4WmlX0Z9GCUUmRNoX3vjd+17gcoj5dBhdu+
2Os02JcdSwVVDzIdiqe0vy+0ZoyY56E6dCDjrQhlsXsG5M/DspwuEnKJIeun45U0e2hQBnHBDIHX
G3rJqzuX/hv1R/41E6lLEsD0Hxh8+kfPsu1n4aa0JHsuQHxW1Y6GD1/14ZdpCVoWMkbdHKnWHQTX
Nv21qP2IdoCouLcKaO9yi9H7wnRy7GfwueIlEUX3s/TpgNgMYV/fUoFnMWKQBZkRGTrld2m44pjM
y3wQTEYe8xr757bMiK8EDCq+Lnh/bt2uqL5V/op9tqA0mxpP5200bJIePSzP98LF8tvVDv+50eEl
WGKwYYrmmswCsUX3MWzdoLsQwsz3vkutg1bDVG964O93JcVPOgpkn94Zq4O2mxl7K0vyF9GHw8+2
sdoXhkjJa53W8FC593dGz5GHttjQA89K8rA0+fqaLG321qQWt+aSJ8MXSxneOyqw8xUAU49xbcVC
YBMPcnqW8Ks9+buGS+TUGQ4BXkgAOyoN559EvHVkoNtEDUmvTY+ZHc69bOwXw62zoz2L5ay0Dr8U
plVGwu8pLluC/OQhM3vMMYYOpodK3ldEFm6AtpJfINQnp5W1NovqtVJxyQIQCG3dZ6Q/3CdeXs2P
qRlbyLNKxAwbDJueA4V9n44MuiiMrzlyD7B+bBRoN4IAFlyFeEovwRhEG3AiTCV2dtvVd4zLCFbM
KXqXm1csShqr7h6XXqtwQ+NDwMHBnRk5FGCdrUFXR0cvwXFOsuGUOzSzFyzSaNwyB1iSBQmaFVBX
Xj31oRZ4zcu6PfPACKAi0+J2B65LtTHb5BkvniXZRZMpK+odpvFLdgLv3IeJ6fEewVrfkUeWj+7k
tz9cOZImEE15WsfE+xk6bnBOhq67Th0f6rWF8fIncYz2x6X8h+AQMaMvJEyoXVSq9zEH+8rbBrkE
OUc/mAOWrLG9A5dqSH+Z7Tz1rjQLzHQuuSfQe+LBUIPzkvp1/b1J1YsJmStqelYkeCMBh/pVas4o
7rK8A5C8vNd9mJFgQTsdWU/B/fOR3tdDDzPm5BInqvdsAzjIYzexwDC8bhWnIpMOLbCDCYxOzUl+
s8wD1CCXqSvPiLQJ9jYoySsCp8rflugVe71KLh18+0SCLFrgY6svGUR3tJqcJ0np5oZLwroRo49g
5w/DErmen76PqkvKbar6N1pRumJb+yC+plq1DxknKtjTguk89wwIaQyppQ/XQePJCy8pBzhHBB6q
X+GH7lcQgonxsuy5mose0g7vzM3wKz3hh433dfyVqehY8l+lia2fiWvxZgsJX6SrgWpvNGZ4Sv3l
myLgvGFyrOcNW2vuE9ZI/AKGCSZ21lbyykXHnpnj+F9SerW/q1QnSJaDC5FlwSpimtcubXP4638F
R+xfIRIfBdva5K5i4GHzD57MYZqo6Vkcs9l1qY2rdjT9dtg5WY501pvFRwKa/eiTzrCiKh3I9PhC
5IQzEvmhFh/y6kwAczMxulmuytKgGFgP3htcQ14fRcrmrVZJfUFglPb3guYWCqog6AHDW8x4meom
tsuJrrpiWPZexRCIS7I5ghthUOYzTLuDJwfDTjkjbxOgLx9r0QHG7ixDvZIPqaFSs5pos+6nPZnh
lWs44anAbXWnVxu4Dj+7Py1YWM/LQkkgs1r2+AuhbU8QHWbaF7O3aTNKSHqoicEEHDasivwuC9zb
irlvbKUyfcpqumpoFTDoGa4J2+yZ22f7pnfeXbDCD4ZXOB+Gh7RjNuJ6scz2++jaxTPpgkocqPEJ
EX8d+RbyNr820ta8qbrWeEjJZf/BiHGxP/zV8hIKBxcUL25CtI5zsU/8ZhzKSuF3XSaDy56e4Sk7
5jvfa7Pbauhy3tssVW8n0yieoYLwKv13w4TzT3YJLChMQbFUY7z55O9ZLcMLctoW48VLh9sQ0udh
Uj1TBMHY3taziBL2ZAzGiUB81yuvFDWO9b6bSnMzcmapxXajIKgROzuR0/vJgKmZPXuvWcYzb7bM
uybVNrLMpUULAdVdD8pz2pOm4OwMqoyyx4lRhYs2aOPUgnEDtpznCitg3vUV4dyxtOJ6Lg2A22aw
9RKeZaOC6S60+zSPbA5cvZh3Mvc+igYCheFPw4EAICavtvGJ5mQ4/TDM2384dNbF6/rpvIVotsSR
CZpfeK5/PW81lxKHz2G1joeSfYO4cxx4f9FYLMRSsSzpBW+GHTJ3p/Z+ucr7cdmH1Y5VwMVjoC/1
kGnoRzVBsGAz1t6uCMFfi7bPonY2rmYxst+tyOnldlEcmqL8E/zsF8nk809wGWgBsjPxMwQX59xv
l17Ou6SbQhXGQnUFW5xwWkHAgnW5Wo3hAT6pt514OUdY6bOTKcT4g4nXeFSEeQ/4nbeuSc261QN0
At+Y/+G++LttL8ScCUbCsiDeu59NgikankdLXRiXJkIVo8g0vBZJo/7wMRdS79/OY+jgeOQW4NH+
Cwfz20HoGBg7fdKFMeNP+pbJaGBk12rcznPlfbPYwPOMLLuoMRPKWsfJe8hZhM5bhPHyCs9OeFst
Ad75kZulc8lBDfYoSMUlq7FzcvFEvrN/+ffb1vx8bHheC9N1BdZJSgF4cPz1xF36ZREkuPam3uKh
sFrUlPp01W+KpOw26P7OS1jetiJvv1Qr6hnzHxFlU5WdFgI7W8wMy3e3COfrX9/r/5u0n5bux3/9
x/v3OqcvoAeX8jH8xWyNcxrI0//ZpP2Yl/Qp/8P/5X/xEoL/DLGO8vj3fvV1XoA72C6G//qPIPhP
zGw8n01APMFvLGkrAE/JfxEiT3MlEOj5b3e2/59QLyzIC9C2WObh9v6/KPL8dH8AdHMAJWDNxvLv
YE52PyFNEpsmC91Y1sEhrntalS6jtEULpovy5M8akjHglq0DWHqnu3R+znXJyNJsyH6KIduaIW2C
tTUFH0XWm1uWt/5Dw47g2BrdcKYCMvvDg/mv79O/f9/Lc/u3+9k1Fm/Ig8U8QGvWB1ZJCKfM7CE2
JVvR4TawZCgomRHJH7hetvPXR8nfP/rT87TznBqtwV4OSBagk8Fm3RC/pWxIzi12Q6Pdkg81WK4B
ZGDtezvDUkaHC+stNuk0KjqXvpW1QYQ0dL2h7dcnh5Pd4iQdj1bH0fPs+SLKpuwSxiVC6CPQqRpx
6Nf8oaP8U1X5MwMBWMyDNDowb1UwvZW5saxb6lrkXZvVbZyxIXucbJEiJvtY0iqqcqrOqk+oj+3Z
HcP8rOhC/ZKNetjiKmmvc9pNdku9MtbvBtTTD9xI4lg1aUyEnnaLkBFCqk3x7Oh2PvoTeJjKrghu
zmm+L/zxo1A4JmFhWOMbPGRBAMso9ivvZ2LqMt+pzMXabhXPrpfcjou+l0WnjhjBdWW8OX0TXg1V
UZ+WInzteefGLrxitThiu2SedV2s6bmua+bFKRykgKHIxh0vqxeGp1Pgvw81g92JZu6NFRYne6JL
zpqWW1JW7r6X5bAbwQJGRmYPp26aAeyNCe9mOgFboqz7WQnyfe0Tud5Tsi4JWw5KhBjwWTSJt4U8
kUhyNykekX1ROhSwpHW/z1drilu8NDtLE89rZoym5BDbHT8su0DPh6OrPPFVp2xuvVTTnuWaw4Kb
Kr9neGKfuGs2zDGuqDqQEOysaQ+14gmSxnTPrGnAG4VI3HkjSHXdoVYYT+joZNUVkWsVck5Q1LLb
cIToN2H9uw4zZ4cWZ+76wEtgWXgiRjlKjg6Y6iiwqBiVLUFOoFEu1UCUO06zvT4Zs6RHj3Qp+mY0
ZfVxtRWFnllewevhambaY+xBwLabMSByZeMLvNJphtyRD3kMsvub4zdPQzkw/EBhljKgBTZ44lW8
7SmF2VgVx9LVqO6wOg4Iujoqpe1HjQ8Vo7KCy3ap21KUsRkn+mVAzfsMRcCRuy9N05eRspeA5B2N
lEwxi61BPWmUVMUW4Ckylh8Usaz0Awt8cWWkFPIhZmpKHQjst91AFo1ys0eC/sYWv288a+eR2kEK
pgJ03HrJEBbH4sbDPbJBn7K2Q0u37VBQsrMYVmxo6iMtg3e8lz7Ql4UaWodXqVseZR085AF+QLnM
T8OcX7ldHg1DdjNJszuwGd9qaANz/7JW8taX4Ax8MT5kWRc8W7LM96Yf7hoxvpdgySPI62dVWtul
bp4ATOysOdzLrP7An7MbVqbalW9OkbRYpfW2cxMuXhab+EbzQt7nOjwBuL2d/fRU4Go5156EAZ4s
i79PsTyzB8On8o1Ym8txb8Tj3JM/tyrrwegFoMichR1rwvljsqghEQ1F4Myv7fA9oyUHa32XHykY
pPOwCp0lwthHKh/Hwp5dFSTbjG6QGXzGQXU5rJrSMhhgweBSdeneB4mVbKqJzs0Lbe9QQa442TwX
t2jPzxBPEBFDqa8WoccnhfK9X6nvxDlqCKJnZk9W1M/xEja+uDZJfR9xC6kHmdTjHe697pC3FqYq
dvMHoOjUwKykMAf4Adc0rN52y3JSFrV3rlc+LU0xnMpk4P1QOkwAVvA/nY/Sv6RMuC7qP6BEdWNJ
rIoiSLItmnu5sRQY8KLE/nVJ7RxT/5IpMdCs8LPmO19MCQ+73kVXNmj2WnneERut14BlPEYM4rke
2yANadIw25+U8xzEkA8x5nkrMjBIHfow/2IbzFOdPLn3c7uhfygx9niDcKlP2cSQqDCP9NY1N/gr
Hn5bmtz9z/X/78nCX6vH/94W/HqNBbRXAJi7ELBD//KG/e0NGrSNLpp+NQ/cwbg0iLIbeAVJRAWV
728NBeCVcXT5OKzdcGB6IG+Sy92F9UZciSKRV+QCFdp2++blhbov8W2goqoLk4+a4RsX8fRQmiLf
FlOVHpAom4M1z9TRMHje9o04KSmCg9+lPykfZcs/0AVUq/qe72HAUrrUdvzvpdg//N6/5hP+/nM/
JSkLp6KbuHTNAwCA5KFXs82Gh5ZoOkDXP0Qh/rrd/l8f5V/wVvwb++5Pe0byXEk9QPU/5KP/k0Ei
xRau85XMfLNVbvf277/rb4xwziAxzf/+tAuH9LfzaOQJXQJtYR3cfELRc+1Xu87oSNLpdzNXVMZ6
5XA3ZuwKgsHCFWXMQIbKDj85YsA5LOh/5kxuey7NypPzvujH4TQml5LTeay3ec4ppCFPIPcV7tZa
2uaOHCi4EJIAlNya/DWcAYyNjOv58qKWl1c2Dtirf/+d/3T+YDG6pm+bl2HsJw3DNJzMNMrePLRh
e0/xoneoMamPeeb+4YPMy1/6fGP8/kmflsIgmJuMObN9mNC6Dk4S/jDXftpUwmqj5n+wdybNbSNd
uv4rX/QeFUBiXvSiSXCQRI2WbdkbhGlbmIHEPPz6+yRdtz+Jdku37roXFeEql0QQSGSe8553yJyj
I+jkJ5txC3GHYSBh8QVvf9fX1rGnBUTFD8OXEBPUlwgvXz1SCP2AYJwjMD7saM3gi9mHKTJKN0e7
wxYKQ4ge8vk7y/ZPX/zVx57V1KKr2Nyq0dxrlq1sl+wfbmZwMjch7OJG16AoTjchmcJ3iPWrjTvi
nfL2F//jJfCQcfYndsfDPO71N88ZSbaySIy9mRBe03IkJnZ7jQc/g5gOAUwunVvb06k3Tecru369
ffsC/vDq+i8//2yX6Ee/JSSdBLku77/C4J9uujI0YRU5vMRa9KuTfqV2frkHq07hbKXxTUlpxeFf
ILw7+7bxiIVUV3n63jbb9ECU37hKWqbcb3+nP7w5rz7l7Du1pm4O4LdwinHRWo18wVWLc0dX4D//
zz9JfRUd1Sfd6m8bnyRvcoFavF9C8glHz/icO9BxoCq//Tl/XCYvP+hsz6P/6LswbyzeTun+TMbu
NhWutfN7aNnJ3JsfsggJCZIUyuNaFcpCdvIdI+o/tMwWijfBK6oL36d3f71Ww3gaa0b+5r6H4weY
3AyPUljGBW5Z5l6aE6m6PrOLIYITMcyUbyit1m4N88sttG8aBh140GicDlQXoE9R8dlpzPzOSMSn
tGEO8/Y9U0Lus8XGQB9JIoQ6dcW4K77aVHCtyMJiabg0HMPJTWTAFsMxI59dXzvacj35zrSRvY7x
GdZ50QgeTBOqbeHsUb7bZb4ZiAYPmqG8oEwNN2ll4IpLT9NqxryiiXiWcowu9LqghDOtK8MdaqBg
l/Zs9hTXKek2cgHR72RYk1TzE8Y8gTdjXRCAMFiHtm1/lTj/C1S9A1RB2wdNVd71/10g/WYosI7J
tk6ib038Eq/690/+HY/iEHPG6mZycfLxVKrOX5CV6/wFVAWeSmYB8NQLzMrU/8KNVVewLgpfNnEW
YkvTFP/nf/BXyjAYjInYFIw+QWH/CWaltsd/b5/AXjhUnHwLuAoKrXMb3j52oEYV6bxzxqb+WNSV
+1S7RnTtCea7q9Rvpi+dph/RbDc/PWJUvo59O6+dIY77DRQMTrChajawcvynBq7u5VAQB2Iw//2B
PqH/fLq9/7sY31+MbJIqcuV/XoyPTSL7hoL+5yn45+LHf/4HK/HvH/vb3EKcAtUNA8BTuRf8Gzz1
jb8MG1ifIQJuBixKlsn/Nbew/mKk5FBO8CMsOiVE/3spCgEYy0jOs5Er6JiB/SP4FGH+67XoEUmA
kp1f6BD5glvL2WEgy0zTQCF7TiS65D5DQ6aN3r5g3r0y/OnJcxDCDvhCQsuHGrlU3c9JiM9kfjyx
ReoPYY2Po12PPzo046sM8G7TTU4faJqBeKeryw+Z1NsrSHQpTj8Qj5cBGhCqqXtHalkw4hq7L1uM
JKDSoAvJCAFL5ngzV/YT3lX11iEJobL0nwWsHmOGTppHGKGVPlrBJdN+WJF5A9lLwFLS6q8QW6OV
7QzTvsPoZcU9DPnUaPiatPlew0i2waIeTseIzhODuruIuLkgETDv9RqBgYFU7SCxhbjqUguejCbx
bC1Dl+gK1yIpRM/nT6EfPepJ9m2Mm6dMZwa4GjoVxgU5c4MtYKhwGLRt/dxD5Lf6B1K88cDJrIN0
jAmcgbigBQpMENU+mpfaSFDbufh+jqvUNvpno/dv2jlyNkZjuvdM2HV4OfEmrttsN7d2saafLa9d
wk/X2tQSflpH2t6xGvcS5YrEqagGmxh9xNaNQaJsHjnHzpm/NpMfIzjAiEGOKs3ez/lTacpj7/ja
dejgd+uPKHGSbkwDImKsayRQPcZG1c8Uv8GdBth72+B9sh0jE49ASDVo8StvnbmutcnisseMrG4u
62ISD167/MCaCdVPNtW3I1k1T2Y1P5F0wZA+QznT+ozzilY/WHXWU0tgxLbM8BdxxH1OSi/bu5X/
1e/yLIA6BlLd5czGR8PFgbjQL/GUYgHgR7YnuC6+Stz8MSExxoVVh4iccx0GefLYIjILMvjhG0DU
CNPVKH8AyPTWBnZl6yXz4ZsnKmFIWh9dRBJkdGv2NQPbz6xX/+ekl0DJWlkgACA0oeigTA6yfcSU
8DGeJ/R9EwLPpf2UMv0LBh1aZFsif50060sOZ3ifdu2DYctpk3UubNbUbLdFT4SqDhuZJeo9YIz6
uEzpXWmi7+BIwqMMHT6aH6wvUT7jAwboEIXXqSnqBjpoBxU0VIqeaCZrynImuTFsTQtQY+S32O7m
m8qKxgt6ELl1WIO3UddC+4ysZB8p26k8jtnO/HZH7OR1DxCCT2HemFd4tqYPbWp5OyEF9ZDdfjKi
dvpQ+EV0OdIF7I2O5KnOcj4aOn7JWYLoIyfHbs2jAuqx5wFzvRT5pt9r+ORXUhngifqQdG10ucwj
HQhZ6Rbe5nYjiAFvflYSNiTOmzHyTML+yC+c7qOJcBo5WdlmAiNDR+RcOrTTt3oTIl4N7WXl+CPw
swGPfpZef6unS9FD61m+4+K2T7qF1IvRRfKnp5B+5GLch3TEAVFhcKniqcIWjAxvvQ3d9eBEcYCq
DioLYmBU7rGqEou8KOmVyPpEtdx/nlvf+dhHvbtHBAiVX3fDtaYjjbIHPd0llhtfpG49X9WunXz0
E4nRV1U7RBrZi3jIcX288YsGNRHkj89OKT7rcdNtK2deRS2ImiR6QnYwYgdpDA/JCPOUaE0EjFj9
UXZP1UJmqLZy8Xs4Jpi3/RwQYdy60hwvAVHHfdd5sMNCacMoyLOtsUS41OTyRmu8K+RMInAhYUe6
j4i4oAmfzUq5Ul5hfCB4cxnZB5AWwACG2L2y8iKF3BLKQ0jw4G3MFHpd6f2hd5JhR4pl/Rm8Fwtx
MlhvuprsiHhuSJdMDLEpWqROBC2nHwefy1CkgocwXu4nJs2B8DDxq+YxuZBpf885pF30VVhvaSij
Ix4by97ItcdoqnV0PoScVqLsbqvMswPPWxKSKlBQlSI5TF6cPdSRVd3bqa48oa1+RTCapki3YmVO
nlL4GbPL2kUKqdka4UNabUNg8Aq4A1lzmDSiODV4VqsQAQteFSa7cGL/NIwYKbGTG2sc+u8L4rYT
4WEWkI545Pr4zE0kYWLTkY4KYVw2Qw8rtggh8Fdl+Em3Kk5FdQ0CD+dNBKC9rjpffCYg1l7n9Jlo
gxb/Osti5AkoVqwWrmk0HrWoLwBoy7F5FNJ7tuH4FWPP7mvsyUM3NmRY3aIv8VfTAJ88SL14JHYi
7reDB9HE1tIHdzLkNZ5v6SdJ0Yq43h43/hJ/KkpnZ2sjYiPOhJL2yP9CX4uhri9/VBMLymmRKdZw
NdJpHoMy12+WYbkufALGOO3Sj0yXxUWvaQhC1JPG9TPcmrhcIPFj6yHn5kcplmPvVl8HV4TcVLDr
TY5x5AaGJdmTWZlcErdzl8R1c43OGqdTU9wnhgNqGQ547ZWDCLy+tVbNUpYrK3XNfTtkzWME8zsg
bhzFcNcVe3Oqvukau5CKCQeN3zidfZxLCKmW/YNYVhtYRWmATfvH/5a7/y+plCqIgpCat6rd/yp/
fCu+lf+iAfvXTfK9On5r/nXR5vxr+7IC/u/f9HcBbP5FIJKO7QR4jaKw0Fb9asV88Re+Niaxg7gp
ubbrUXv+XQAb5l/8F9AJldXmwsMCG/q7AKZ/g4ZGYewqIzD+D+Mf9WKvIUuXCAgMhrgyCnQfIOtU
H79AoaFgttj1T80uHgtizuziWEqPYGoMo/ELadBHLvkzmAzuBX52rIwW9LTSYJzDC5uTymS2WLZB
OBFBHY7Jp6ECMHlxk+9+9YUvwbYz0Oh0ifQOug9xlDvCHvYaAGEkbKNniZqdV5CiBvdabEBkcLyO
/cOAxtYypxunRW0aEQGQobx9B4H5Hy6ALkFwq1y8315fAKQ/6Y0WjOgw4gLMZRrWKjBgZSYhlanE
5hUhDvJo4Pe4pu41uI6378FrKPDXLaBh1w1svvCPPreTbC2EPXmR17umj8jCNdzHPsaeui7fAzYV
mPSiNVfLAQs2h49R0AEBjK+/qrOECGqJxd2VFfb/HaaeW7eTT1Vd+Fsft9j1TFw5owlYIwPs8jXC
YAiYk7i34ZQcCqyayRsww29tyo7cTEJ/MPEcWav3YufbU3PRl9W8awrqHE0ylcoyy2XSJyH69yRs
MFVamPCLu1ojYTIOuZFz7XyBpXqhN60HnbsOL6OSdom537xr7SW+nsOPy8jREhfkQBqevbWmEe1/
mz0b5kL5O+THUiu8gLiDm8XzfzIpfzAX9/PbT+gM0+DG8UqoftSgJ2F4pJ7gi/fIXUqajaSWO3ou
b5NM85cUZ1qIwt2akgO3jZjZv1sP/jvA9wksef3ELNI/qAXhmZ22kdcfXEjflS0z2J3XxvkGbU96
4XpLtxeUs0Fkti1mt8uwrhqBCzalMyRbtFyuV/JAIcSj7om2vdf6nOS8UyZqgcAPIZ5U9Tjv8jTs
EBYKGH6zVr5nCCbEb6uNhtxT/EEdVxeImK+vXe99a5ih9O7w7iuDWrPtqyiGzGcOCC3Hvtpkbpfv
urArbuREhL1pXCj6Uo+Ul0rGufi1AVnTFoW9A7d5hfmwufI1vrQ7821wnkvWUCW+/9NnTT4stFJ4
XThBWj6nxstn3YlE07HPynej1qgwATYFxETZrxvdOBIJVI8mGg2IeO/9/MMNE5YgylL5htjngbi9
KEIIKA2uF0MrsQP3oWzQZwRvfz9OpLNNgIwwRSlTDpwmG87r71fmsjC1Os938eyWO7eps8smjI9v
fwjGmX/4GDJ9BZinwcRInD19ymnUzQyZ4Rblz6EbNgTCtT4GMKXZrvAd5btpI2fL0HWb0lgYo9n5
sxFZyz1yiI1d9jHnzuyvDczW1gVTJgyyIn2ftyxyrJpQHuoaHoKl96g52ox+3b0R09xcJGNPviXk
5NVg5P5WM8dukzAl3CDF2OkT+xvebmKdgFBsqoT/rY1t4wCpD2vsnvLZD/l5q/Y8XIwRj6HE8Vb1
NGl7FEcVbLbE3yJHLFexTyy9EO2niYhmJhmQEsIuPRZLcrRT876QS3gZSvxULTN9bkRf7ckX8tEE
lntt8nX0lrq/zavkuYlCKMhozbB9d/FnH3wWnMH6LqMWRYvMj2j4ppWVRR8h+y3bIfcfYxbHmlg/
rtsk4cSHNYs15MYUHZpe3vZR7d4watvPcrLblUXjBKW2xCzL4sNy8KVvhj6zLQvckfIxObbR5AVm
Db4SOaAnoEZfy4a6nlpePGDtRPGQLBzEi6Nt3Dx9RlIIxTzqPHR3XC8hSw8kF/50Mk7PEc5TNOJx
NHhs3GMv203GARKk04LpVaM9ubpsAyts6N9i0wtszOjXvYUQib2s3GV2coT+B45Q4zemtZzA+QxH
pLCKg53LD6nhP9ZtUfAaNl2QhV68o/gxOVgGCzU/j6ZsmwcnWUBhZH9LgbEL3fLY6C20tp7gTXpK
DGImnibwlaQVSB3AAmdb1/kzPjgCVuBwVXfD1VJkz7lL7gbcnDaILL5oOxY24sZrtChi7ZWDFwjd
vcnCSpAJwxmAkjgLRF/rQShZ51hpa6B91FckBcj1PGTPWqSxYnmys4sXj1HxV3ptY82DArFE6k6+
VNEGdBnPlWJvluQhYXMyeoEWV4cJTesqzjip86U4mlWR3/ag/qDnmvcBlGS7YBJCZgbeYDOpH07o
PoLi8R0pTw9O2lNbqQdDZXDTOk23gd7Nv6m1O48sG13iiI6EEcuWODl6ITWjHZn3WHj6u27Oj54+
IChkhRvwFVanhdssXHdYTlt3ssoNwRi7WXiP0qeQwSkv+/UKFKwwwzDv6b/aAPUVK9KSaLwn5TuT
qGpD4/dVhTRXXswKwsUIywad1wWne9h+wKiHUYeAYowAb2CYpIN0yfF04VwuVQwTzm1KeuqO0QTO
6Hbffu79kcwhcJF1LSFu5W4s8b/w8ZMbeHbuTCzCgm+j4RBYiD4cjUNHXm86DYdqJA08zcJ0O3Uh
5uZsYKScsGG5Nj/D92Dp0repB1zo9r3I66dK8l45U/pcK3s8vJGOp+2id7PnDuc4XALZCco04gNa
RykpOUGkA328MTrSZEZuIs0A9dBCPUWV7K6wgMAnT6SHvPKyIKvZldiosB5Y5JMtqsPpdEL1jfIP
t8ItqefhpXDS51kPwzuBOytBjMhjHQzHmrbEOwEbS/bTH2XOZmIKVi5uJe0KChVKLd5jS+P3Duy1
mVNxQyZ7h63HsaO+UtvZjFvSKs6dm9Om1NtsL3HXPqUT15b0zo2oYFXVuX1Pv1PiLcKrgm3UcdYS
rAvMhowNPPt/dROxKlicxCSMh2PHqdyb0zcc5+xZvRJ1Yt+ro8B1xH0nubDTM5DCx65MA6UuQ7iB
48GLUnuNRxXLpvTQygtilitCG/TUQsjVpM+ZjHJYTSyVRmcxnnY6z2IzsWFBVrPNjooF4obdZLxt
vbnbTBrvb8qbCcFr4ac8S9vnyoS5U09nQkq6tgHZl6jUA2wc+U9ymS5PO3EyqULMifJgJE6AN5gy
a168Rzcn6mTFTzhciTdtWwyQqWJ4AH3Sy21S9ctWywrYrr6eBZ4tOX5adgTWML9enStmxkW1qnjO
HPvewIUB8fu8wxuCF3HmRqoVNi38n7hR3ZPPKbdYfmDIW7HoGoA7tEEsK6JRlE0nj8b0KSjU0yVu
4ykpecPdmF2fLqjc1RG/sB7oCk77b652R8wbCDnLDHOl+RWRYWnbbdQZ1/h8QBSzqhH1U5At2cHB
QxCCN9sNkrMMwzjK4T5J800/Ntm1FubzR53Yj71b8HaTcGKuiBA6ntZK2RVHgKDncpkeUQrPHBgN
0+iBW61OG3KJOBg7XgHi7Uhych3Ac5JHVtZA1oHVoc+2BQhOj0Hx1h1UConTJDcj8VnoZFR9jjiP
IBdyLmTFgTd39Q27ZH2VWHGH+LQ0V0wfnNVkxmCqxuJvs370NlXlE/Zbd1iwtSOeTGFsw0eWS3SM
3alvKKetZDsYcsDCLml3vhtTaky4aNTVU9iU3Xais/qu+dnywcxTeYXYdAoi2X1Icc/a0eckgQgN
4wkWGXOAYiYCwzWTIO6NMDBNjOeiHDxxoU0aqkiVBnIgzcaO3TujLzolCRRra4RSnc11deGpBi6L
qZPrpbkxDeTwrjUZlwjhj72Ga3nqChTIGXxrMS7tNhv15QobQLjMJZu9avMqRlRBbMBs5Xhvt7Y9
xnsfZPGGzETiOMo0WY9V3m1sC9iVaMNqRXyFRY1SDzRoGSfvzB0bRPMzXSjYugEjCaPGs1YP4a4z
HL/o/PqJQCSyGXu5rAasHa8HnEZXmWe2O0LwUpJxrZCPT/llHb+M4R2/e2EEkxhGv216+zKvhq9R
Ho0/s66JseQDIR3RDq9poL5D+9qk0fy9nyieNQDQlQo3QhU/IJKtsRBmNZDpA5C3ws+RcDOrQp0T
isTBVg2KVYrY3WxHfTNEFskKzp2G5AI6EGWiDuF7bhL8znimUXwNCfkqIYWYRTgyPBgvGwfavZcU
kq1c+ykdFp87MqIR+Bptsl77ZnfsumltmBfdYt0jnMZwEl5so5lZUEZsmXrat0GTGNq+TmI9aKeC
t1Z1PksmMYNd2JaSPnk2psrfxjH1kxGy0zBqmD+anVWrJ7xghcQJZJVO+DySTYiQ2cs/lXVvXVmL
/jQItgrNaJ/KEIijyOrme7T4arKDkwZa6Q6bPIrgeKqX7ZhRMen0cLgQaYKNS+3jlpYdSJx4riM2
B3RS3QZlNDo8CWh+6ujRB7AdmLymHnYIHDLGPSB2s8rLBNJ4wbqt1BKlYd5Z43j0Bwzvs3K4R0GK
dyJTBTS9eIIsHAXqOgdPvzdAH3atMlgIOa3xZEyPvREfM7t6wqePGtnW71umTasOcdx6jNvpEuy7
WiW620MEjO7KfDzI2fhKA1lvsf9orlpdNB9xFfmScqZFHZ7nYvYvx4ZNDcvW7DoduRqPqopxXkd1
rbZTxPTLddZz4g0eAvvR9h4xSzrKuThQYEx3izs1VIHmtWyoazTDPxhw+ukbSVDqxIgdwVR88AXh
xyLG2oFk0wYCn3NjjWl8pzPR/JLo3HtszLqNkbkXucUKkzmrocftkQKLe0qEE/fZcr1PlVliuqsl
42NRayjyG5abUOBVEsEHB5Vfzx77Wkj03Sar4+lGw2uiZ86kNumCim8YJLV320EDH6kxxTLIXZmk
q7pqqj1q9F2o9+2F4afPpRY/M297ahrOoba0byKT6zyd6N1EE6bKnVqtVRS6UBEt1B4RNQHNtdik
5qxtNC4YNJwzs5yrnNEiXcsyARC5BCQFWDk9MS+hXxj78TaSvFLQ8njYmL3s0NqElzPIJJYc+XSb
OR3Tkn7AiFg3NlqE7/PkxlR3dPSb0ykHda88JINJGWXNXhBBeTlEko/JBWt4is3la4HQ+AeuZ/4a
1IJ0QL9HeIGJI97UrCZ/Jr85H1t+S1M864uuH4twKA85p95p9dNvbjqXDFea1WdACL5V7jx4U7Jz
fHFfQm8jEIuTK5XaTwVU2dZCbmXkD9c2Dg6rOVNnYMT67CuBTQ81FJtCJO8bplkcZszx4OYxUtHj
G4wylRDDzLCFQMae2d2l1hObNkh5NYtl2Vg1H68cFdYpOT/IVsRt3gz40VnuuNLi0QjQB/lbVjtH
XM8jGkrr/nT2kh+HH60VPr7d+Nt/ghfAGFHNwaRXRKTX8MKQDooNMWc7Dc/lIDMBbO2ue6oloGCq
4+m3IM3nW/CUuyVftrEoerYa+cmuP+Nd8qh7CbFLMY2uKjPQ92obx3UfsyG608W0MOdHI4p4hag3
Yi7VxP/OKbAtQixKAdxFH09A5qlHcg3xA9OK+NmZMNG0O+feyBaSt7XOOAhnni4dORWMzwwKukEV
pS49UGeyhzRuhhqgs6m9yMv+1YT1huk99N6PVAubq7Kt/bUVqSowTrBxpOcN7MgLLzLDmP45RM5E
AG41QkMiJ1Crv76lKTY9RXSKEmtpOTx3DC/bHkTCERRdKDo+JQpK5ftx/ve8bsZI0fj2Y/0dAEXr
yjDDsQyTWco5lkewAJGzIut3KYkUq1Ys8b5tqJNiB7srPOUhhUCzWA95Yr4DVxl/gBFp3xW7yGTD
AEt6/e15sw3M6vx+59XTsLLZ1ANsuQ01Vi4Ca5Hyq5r3b0J9QVNjp3fVUAwffCl2szkZT2/fht/n
KTCJdBe2u4c9E9LM19fSi16XcTVmO0ttAgowsDpeaRff2E1jW/dJxO769kf+jtmTEiFUzg/CY+OX
7vEF9GyWnU67icFjG5reJq9n3MYj/mTk1ePUNsMKZSizzrEhGSAaiv3bn/6Ht5k5ARcAQfU0ynr9
hQtuqtkR1rurMQhEnUWoQUlD8c4K/8NtBWUWtkM0+B/GVJympOFQS+wWI7HWPTa4AW6LX7W5vWl9
7Bi7PHnnE89V3CD6gJ9KwQu+rZLD1Kp7cVtrMj4oS4puFyVpe4UMxt8mndVcsCUA5YwePBh6DqmD
ngknOhZTjnMec2lcbWoMF4bkx5J/evtev2a5qzGQpeaIDrQ5OPa/LS6p5TBYdMk7lqVfK2nPP38V
v1lKjUf4+TvxMucOBHweCcAwmED9CfGkMX99C3rhak5YZu3OS9ybhlikoNTsclOFVrLWqZpXxuB8
s/L0o8StH4bIxyZxtNWQjNe9yH503ojRmJ0s7xC41VT2DJ+2ybyyiUVh5RnOaSTy4smYRCLOkRu1
kEsGcJqc4tmp2Wp6HdFcLxjgV/UhBiT7bHZSKs9iKtq4ANLVqiejmQCmqOPQJMAFSSrlzu6YN3gg
Y+GXpt+ddm93yAgXixKkcy/M1rxHmvrcR7GEW9WnhFRGm9gFqXGXCOVayWxJTR0zgi7JSlQG+UVH
NoipemtdJ4c0LOFKQ0vh1gBlqbHd6WBLF725eHuFnPte8MjUJBlnBtOB+uucz3N9Y5g6GkOcl0Pa
hdmuo7XbRahgxgJczFXGl7GZAB0U1gqnGv30NYFW11ZeVxSEkP0gbQzrhaD6S6n32sbWmRINqm5e
CCnE3S+C7pcV+Jt7IKFR8e5+diLgvx5puWhBBLxMxcjER+Fs2WFjZlsNxSZFaQsf2NMCMDUSm9zm
qRcQ4GOnOBDk0mwMKEgrLcegf0Q6/vat/H3min4ftjPGKyZ6Aets7IxKyZSDCyED96hLMXJjBCsB
Vw7nnQ8Sv2+hjA7RzcDngjsLYeb192UKEuKYl0m8zEEFU+oeY8ZmpSbw8zlfWhAOF1QqUehyPfXV
qkTBtRI9ZqBIyEg2lvGRuJYjrv3i4Bb0exktIPc321SqZyxp3sG3D+hxAU5zYDgtpHd5+2796aEx
wGMAahNYZP82OS7pXIWxxHIXk1gTkB2Mx3c5yXXRUnWiisb4a+x/qH5pzoCfSE14Jk3tnR3r9w2S
CD2kEraJs8LvbIZckGQsDUPu4Cb9NP2ZmB/h8GEwZNcYiL3zaeL3CZarVG0+c18T2rN3VniY+I9B
MBaS+eUYbTOJV5caS+JbGa19I7IBcCmooS5yRBABfIsP5FM1Vdm1U1DcW3p0lJ4xk7RdL/uBxnuV
WRjKWISzopZuB7iP4+3bj+n3c5QrJsCOgthhRz8nEjT25BZER8udq81oSFrZBSSZZojs6Z+AsiGH
6fk7Q8s/FPx8GisCsarOtn3+JpElROxwLYj7TQE268q0aMQnrAEqa1IRJeCpUVnQ0WKwDDx15UOZ
OmGG4O3aphCVHiQlEELIoAhztwFCpG0al0ArxrammpUmLSb5Q1lg2t2TWKi3TphIadA4Kfuabeeq
3SyxwWvV+MUSfXKf0VGti4qUU2tBgxRliLRRBX3Ma4GHuMZQTxIXgVNmIbexq4r5cPR3tppQ4u9x
P43gJKfZRpWj9mfm9l11wk7S8XGTzoQi/GpqBKVL2Y5bWGjl/8+24ZiIg7i5FgmSZ6WmhCQYN5hE
76K5i+8QHwIK0L5shW11uMXhDBFbNLmJL47A5qDZNg8aXxwvGHvosqXT4Mw9gxGd9vpCjIxG5wTv
BAvv3aDrxJfTaNOSBoRcprWXBePumzjlIby9KH8vYD32V4pXGCe6IO7s9f7XRBYj2MZtd6XLYdxj
Aar84nglrHi4ikglWvveUnyxvNANTHfI3jkzlbDlrJ7wBGl9JpwX+C/GOb/H96YMV7iSTIecKVol
munOyMD7vRwk3MR78lMpoZ4nZpxd9PgVIIPnhJw0cOxE/QnWXx30uouh+8Iy5exiouQyAHJm66tu
9JfZXD2RSQ8jXM0fgDaI2gCpnkiWCOHR21JNA2xA9hRQcqcXCuObFJy7yOS+qUfrk57bAbzsQzOI
BPr0Ym+xFAS1j/xn/lHUfE3/abXkYZQeBJvMZdz49kP6Q2XhCapv7Pp9i1PZUXfxRdU1MKsr0zGu
djVDitOAAN4yI2GDiZBMeA3hqUN3zIjZ1jPCvUiyXuOOyfBAXpzGMIveQ5xqfHPNaX2fq/2tdh5x
GkuYi8svJRP9IJqZRbh6Me/evvrf9z1EJlQUvPc6bep5i9h3mmwLgBcCoKydETJfVFtFNtMVn9Co
PCze2fV+K55d1hT1KU0ZMgUOdnVJL+4XPgghUTh0gkDbEs52p+SEHMenWUx7erw9Q6GB/QUmB6QR
zEqZc3bYcJjoJDcN6WkbGzLLCqrGe5vH+UF5ujjiiU3eN8UaUn//4uKc2UtTLSuzHURVE2iQa5gp
I2C+Yjqu7srbt/8PH6decZhKpkEz8duxk0kbz4oq2422WrVucZg1CiqrZe3QO77XEXvnHYLLHseO
AqMTIptB5/j668XNwLSxSeJdHMc23tjIFGNEIsFkoeBoMp9IC7QZG6LTODMoQ/eJPWL6bWjljVVZ
7ufRKvy7dMC63+xvW0xGNrXTOStrHOrNyDsagK60V7knyx1meM5KdmVyKM3Uh62CAWOydOW2Tfjl
yYCJK7Pr+wQ4/CLtS2NbpeQoaJUgscfz5J4exorXWpWMgYUt8Zp49wGj03ELIllvmqjGcRlR+yVc
Do2JSnbbzrpFfLhr7vBh4R4aTYJxhpYGBBZFtyV98nbBiSbIS88LenzGcRvVjoZi2xlj3d+TmCu2
uE2mZCDQqYXKPSajogMRbIDVE+bUQZkV5iUEVRseWOangVPU5baUVnLZp81ASoWFEgm7BHNnumQv
+gnXoMkwAt/9IDvrNooTEWigw1ceElXgn8X4ikbb3HVuZr/zopnnhTpie4owbJZoV6HhnSdY+lHd
+FrOKQ+Dwtuf+h4zhzVStjqTbWqpVBT6razrchfK0Vqby4zzj1QPsILK7jUdgVMp1nHYObkpeXnx
91yk5taDerjiZCBIgwW0mTW8QTw2yMDCzXrLEMFaK1Ri65mL9jhXo3Xw1a9Pq+62i8Wj7cI2GckK
2/h2b276psBII229dwCn88ML2h8vFG8wdYzSQ50tdXZOzAPrzNvGqC1IulwBEb3z9p5vnqePcGEY
2r6O8wiSu1ebBV2YDRCgfMyJRwmqAfh1IDwqyCSBaG1n1twb7b2u6Lwo4EPZOy2KGxWASpv/+kMj
kvpSJ27cLfLQesPwq1njYFszdstwzDMZ6Wmm3V5UjR6uLUz83oG1jPPanvBjVSDjVQyyaoK4vP78
uS7yIS0qHNgR6jGXT1uetrkEaao+MLT9C+l3ZCQb4hHYIdvlljN8fHvXPDHgXjbCp2sAIsd6zoP0
qwjiL3dpXpvGVf7Q29TJtGCY63ZfWGZDI64jlWmGxF9jp99+m/QlvOFGWjfVBOuUIDzvg5a5SxAP
Lm4MuHlue/xtnvRWcCvrluouJsUH15eHEfdI3K5cvk6HzXddW87BlWP9SZBCgQCkJL4P8/47040k
HjJa/k7xdcqsfvUdKWCBTB2MOgGuOZtff8c56TBy5Qjd9rxVh9Fspq0uI2PtD9VwefoSPiYod/oY
uQeyQQxci3D39hd9CXIyWtYLJVhggkWszTiM9n4Ue4FbpRrvtd7igCSeJVyMvTZgRdF7eI0lkXmf
icLcyCYZLpclbvd57TQwABZv50zuwFQbXyE7TWFzEGeUO90Cw6dSM/ZS2xZSLEGjTMXw/NpmTd3e
TPzkVjoDFIs4ephR4BB7OOZ38yIJWCLZhej0S3vsVaYLca9RHQ/XInG7J60qf7y9ZE4Juue3ExAe
TqULFGye91rS98NkoW/aRlkDdtJrzdpNh0MSjR8KzLnQ8VgGdk0GcVnOTGYeiNc6JShon2EftMKY
lZgB5suYRvGapeUQXyEf1L/VypBfX/zlit/iHAa8rpXWr9wDJPUrbrqzy/RBWQn7V3R5+lonkZSB
Smtta1GXkPpEs9ac6lOfz+h4Ju2xAJAOsqV5r7Kxftut8O+h2wQ2stGwA5e+XlBp0s2oQHN7iz93
f0tKmPlVTCNDMC485AT1xKavvG7XjZO2NbUCf7Gljq+MtPPwI/w/zJ3XktxItmV/ZX4AbdDCbOw+
RARCZIjUii+wJDMTGnAIh/CvnwVWT19WVltx+uXavBWLmQwBwP34OXuvnYoNWVlyVZKc9wgBFnlH
ymOXQ9LKMdRmMN9HwY3pxtqmRRy30fGchnNfQ0BP/Wwtdd8IZ1IjCBUlJ8y078fBerE1o1jNgXcf
Jek7Zx0A0cynjmWvebgTxXCOq9S/6aknQ4KzmjAYCo7jVSI2JQzvnUtvYGcz8tsymORGH3jJKSis
3/Rw/lKlLWdJA6cuEeWgA74WhfOUJswouXfAjnziNvBvlmellURPjEY8/KaN6/1l57K5RBYKNTq5
GM2/iplLSa9Klz0rLHKqDcm4wQvCsuQoVGWsdVVOW0uPskvi9snR9FsWvJbyyxj50qehoYL3xwjz
3fA8BNFpjN1zpIg+MVD5TO7VHJNR2sw810OG5JWfXQtqwo0WcF+2GduHOfI0U7Z/1l2jbs0aMZ/R
qOGDcM5uLy2eAcGh8JR1uhvm2LO2uKvHx5FomTsG/tHGMJOBgM9UQalHp5HbBi0uVzVhrHG0QcwV
HJjI3vb4Y/ZBPrNyqEACeasIU8BdcR51luVO5Pm2W94OE9OFa14Oj87MvdUNbDNaMvjl2jFxXRJZ
xFPYaxkxSLWOfazSv1nRAr4fDMbZSVJr26AtaTsPsbZt+CJXiWe4YUIviAqUB0L9pir4N3cLNwm9
mEWPvuySf37OOtct8jJGFeu3iHKIcsy2rXDYnGq73ngOD8TfL21/fb0FIoDznwkQN+fXU7qbVyiD
Ve1sC5JamG/zNCCbCw5ojvx9oqCb//3rGX8tLDm2/UQaceBlmPeVcewjbyO2N7a36JisMAX2SIPF
d09wsvtdpfTkOJEhQVCZS5aCbPdtx3LhwkgM65KH3xsrRgFk5xFhyX8Fko1KH7jUek0G4OQZ/U6Q
iI4Cs27viHVmQFstm7sTtew8aXGDNfltXpaRmCx4FNfcdK5RvKFfbMLMRRWa1am2ielNPgAj6g7K
9c/FsMQAddZnA29ro0aHSI3izUx475reT9vZj9SRvpYZGnKisVK3D+BJWamWYN+fW6vIKbVaP05e
UJRZYVAiuDcQ+aIR4WkKAnbJhFvwWINiP4693e9qd9lNS7IUYkFdkqfsM8R5q5W+PKuwwjNkPXL+
XinWN9j0TIWw7W9yYhL2KIvZe3KW3S4XzRMprTArK/bMAlYBAwuPKL6KvT7QEqYAM5yzP/624H6H
GKRt4d1xmq9RhmykOTbrCWnBal523Swxu4Od5h4PC8tFaozUA/2k+BKn7pD0un82Ggb4suCPQR/7
+45c+XOV8CN6TAVRRQF8tRrxN5rvftfGXXtJiX1HdxbV7At8TM0xssugKYWV2OhCOdfuDo9ScDDL
lO+ODOVdodxHd/Z+EHxirPPCNg88ncMJT40VsoJxFzuzvxuagpIlpYz++bgHLl8fSlNeQWMXEAGV
DunHDNEDq+fQzuX4ebf/j2FOlhf6UTMKSQmI6P7rf//zhRd+zZ/+EP40Y96SUDXffXSy6P8vSGb5
yf/Xv/wnb+Q3BBMcOq7zyzP/F5bOw1uZFv/r8vYuf/Vv/vPX/nBv+vo/2KMsD3eKs4DNoDX/N0iH
sTBLHz0U+Oe/knRwb9IhC6CAQwDndLrUvP90bwKM5tjMbzFNpePIeeo/cW9+OSP9XH1B6ViInYKl
kfPlfNA2li/dyW3DNBY3BsMgTtrNN44I8ZrONGjG/MruJrWXS1zSL9/UzR8V5a+uzC+bNwa3xYWk
M4bGiARP68uxk0R7s8zRySDRBj2pKYH8iXC53zD93C+URM9moITEiw6OxSGfl/zSRVukN4jPRIGa
QVP7qHdjVDcJ4YBTR9ii9PqVKjLzlHYksEtCDk59bZBqO5M4S8wF1IqE6csI8Q9vyuDQsp/U5BCt
rBgCO6l1Re9gCX3qgrOVYjCU7YzvMXJJ4NuTAIaaWHi3kDOd/CxKVHqN6z5YiYXxMUbINniKmCU1
jca1XRso3qTbneO0JEEzBatbExeyJVFbkPJXdNbFs2kUGHrTEQ5aWuq2nWPzhNxSe/AUAaSuXwfX
oxUvKSWWfY7zRScPneaRCtQOGy+CSINDZhHZy505684xwAq0c+CWHRQ+Yms9tRrRurjRtXxvew3T
QBwy9JK1VI4HkAC1dWwiDZMieVMRuoaAGZ0Wufm6RsvwzV9SKNe5Kcw79B4MR7oyACfSa3xrHdjs
eci6U0+I435ELljellY8fJTRrL9WdofOSXe0aqZwq/hVRIzjyxjj5ltp/ljeY+l6lhj8QgAMCVFd
/dGv7COpsGIfE1y9H1o/3WWN9s2VenDWpT25G8JYmlUhO0lxRbZ0eoQiMvV7CsPpIpHNc7Hy/Dj4
U7krEjffmX4MBjZr/PpU4dw7JKgp99aQjJjr62wXRGO8SVsE9V2H50ZJLndHfsdbAW85dCtBhHjg
ldMu14LrEiD3KcjTZarXirOl5bjUPGSLCJ7RC2idDxaky8IFHO9spl4apzlFk7YunZJQnmyMyFfS
EK8VLYI2pMw2GFqk/ZVmUl7bHCHdHgeKGxv+s5fn+lkglm2n2Dn66ENpqnCf9zG5cA2G8rPFlOZh
wKeNhlr2G1CAxN7pP10pAUBQDpTwXYGiPqDuLdDbO21+78ddYGwGFDWkws+0kUF+1A35gvg5xm+Z
Ly2DM6tv6nzFOvOLvBtSnhZjdMhyUQqtOwYme9iC+1UXv/Ks75Ud9Xe6VRHE5mX4MufKn+9JD/E+
VGy2997YBY99T4sBZ7bUvmWpOZ1SWdoPFsoIY0Mid+NdbHR3JC9NELzolTr0OQ1NA3oQLOftkbTm
eDUxmasPfR6PKGcnyvkhMxkWtkaLPtfvgDB5zowFxvBB8Ck3+95NbXEzlohgmlgWDx3eNNJAm0NX
pQ4R6OOnov1Pas40bvPKsj4JphXvODKy/Rw76RkIT3JQ2AY2RsTZg6/TGi4ueaBH3WEctpGT0T+6
oxn8yCIrOhDgxDHCIfyk6sYxWcdd6exxaGXNJjW67qyMFn4T2ttnKypoH8jRuOi1ct6QVVScdTD0
wcMywhFu/13FIOgeYJHxhqzCvTGkkrsIOcBqnvzukRj5elcMkIL6KS5fksxpnmpybR8ZRduHpBux
P4m5jzZOPuSEpMt83ImuI9MkryhqGGemRvujSM0qPiYW9QvxwoVvP5p1Wo+hw2++tArzWzYnn1GE
vGtvz7pUoQHxXe1NjmWIRFLMFrVb0w5NLLznjsJLncmWEWesNxXsnokGeGdoQbuZiOV6406b5lVF
BDILkhekzLJTVmPGC228TogjzLY0mCBhWZYsQ+kxKTv1SKSvlDUb3ZZEJmPJ2DP9A2wt45sD1eRG
tmo4NCBonjvLbDmTa8MIGKQCxBlG0cBjM6Ra9Ja4M02MqA/GYzw745PMKgQ8kdmmERHYOXVskxXd
2qDFHkZxOr1V2SQueAQ68yop/SActPl1JucMonfMF1MNhXZfSUt8NNE8HDooiOHomYMMAcIAk50H
fCJM+crqhZtfxfhehilGaQBeaQe2GguOdJpZXzXj4I5rhpp9t5Z9A6DHHoXxOonB2gx9khtbZv6V
vXJl079q1djZoZcL+7m0hf7SEGW41htl/khlb64tWwWboCcmDsd5d02HOXjvLFVf9GYKsh1zLdKM
DZz8CgtgVO/meBqcpRGdYllsVE2R7lkP0Ty5TEFsHvpVDeNmD5ifN1DmKo9XZaLGaDXSEiHkOM8A
Q+ZU54I102a9SNScYtrNl4T6KHZkuTZdS01bPx+Ftivd2ofbuew7EAjrJ7YeYvrmjKABgnMG8Zin
vTrmLSwtLlm1pv7vtzYxB6dGkGZKy4VsCh3tyxUNQBA0RWJpmELrsrppok6uGSDpJ9BpHolzs3PD
kC1JOKR41nU2DO7FgNOwjhsTGMHcjqymKjmCdxl3CaIYAu7pKldrAAiEiAXCSu4Q4RvuBqNLpy02
DX150AG3KTgwYYze5T2bS+5bic4aI1kedJ/trPvXGC1ACnGgojWs0xzgINUnLwQLMk/Q6/5Wy+ud
1bvTDQLr4E7lY/xk9A4wNhNgUNTqktiLBMi6XZXEi3lBu/Q2k+vO63hsTVezH4u6GX6A/8p5ZtLW
Q1gWz0xwEldXa+Qo+goBDIgZlZxmbJWLpPu2lE23s/Ua34xnJg/DlI2XQQl+OYE0hgNPM27I2rMu
mH7cYTV6Wno39T0gD5sUsSSaQ0VSA23O4k7SeiC6VhlrarJtqsfEd1rWD3vQnM3ottf5HGOenSOB
aF/wevziEh9felc93sidyl1zXRKctUVzPqJIzir/htlxkHGoMaySbDnbRIzrivoI8YjOdGAzZ6m5
qaiDKIQ+yyFRl7kTU3HgVKTuXDNzsQdaKdqRceANHcyktNuVCZIe+K5sP6DD09Wz/bT/If2knbcl
+rZkNbRC7L3B1E95AXxn1fgFuryMEEWHpdWpsA0YuOoPVerioBljqOmrHMLOvW3PzbGbezIch8Lu
fEo+h/1QYMx77p3OfB4bsra9GGkCW+jErKh3JdkeUFxpCmSN7v5QIgdi10bjkwGFKMY5l+ZXsW8J
AF8m1VfYdnr92JBJMdHXGnieSsK9b5pOqEsOYmDfVp79gJw82OummV1bseu/YBhoyXAwZFEjt4WD
RiZmCqAhJ7iUi8cCjs0iKNAJNE7efgS5mSZY/uh4s6Nn871jOU7C6HUy7XVF9LOz16e6PUktSLpw
xptwSrJSfPZezMvEmYGkmutis652CQlg8C9YxHDIOt0JaUIxXlc0Vgu8vhpBh0U5DHgOYm2OrmN9
8qtNFiOLWQl6rC6uKlJfUPyL3tk6c2LeD23UakDLvVgPswEX71WAtdrfLjqWi18XwZUcPDxTSakz
gvUAaiONs5HyRFnQUa0tRmI1ms9eorvPPNTZcGXYQN2IlJtOikUnZ0nPvcdZ4M84TiT/NotVuoHT
PwWOxYE7aClZxSSOqiq0Nxhh6bSJNIX4grEUA/iRkAGC6jg5DBDUXElrpOJxvUrwgDwXjIie2pmD
z0klvesfnB6SblGDDkzaRvvQjSwivsAACqyzqxzAHLIU136SvVijrSecErT+mastzrahsmKtSovs
ERbzfdQV5lHZMR0XJ+pP5H6icHaimvBKPno48ybkenLt6SIGp0iY5cYRDSHKIwxNQeM89LrZiPg3
p76vU7Gfxz4QJx6AWLQgDPT/3PSrTNnLIrX7kBzG4lD38fcqre4bQ7xYQXlvOhUbq0egAEXmty4b
1O3fnzp/nmh/GW/8fH1EFZwFdc6dfwFgzJ0asCbakjEgxl+JbgJ9q2Zp/t5OlmjGfBCluTKDKnmv
2DhMurzEtqNTLsYXY5qdAxgTeXJF2d/lqReclw+zZqpqXrRRzC+mSQmf5i7AP8mOxdhLd+to+z/b
avm10/Jfu4/68lZ+dD8bLv9qwPzRcvnXH///6Megk1xmur9c8b90ZHYye2vf+l/bMf/6rT8aMp79
D1RaFhn27DcmrU3+vT9wWi6ZW5C2ULQwVdHRf9KS+G+eLE4e2i0/uzGG4/JL/2zImPo/jMWswRAS
oS+bvf2fNGS+dkXAfFF6g+uGEQjV5KtgPjDTAcLc5IW9Q3DDSql5fk5Md/qN8PRLK9ym7nBxe6Cj
WSZ9CNf+/BR24GGIicAz7tr58G3QNX9LSRC3qIfyYReXYtj9chX+TbfHWEb8vz53yysSa7C0Y5jS
0uT+8ysGpcp9mUdu6BlTQO1S6kWCGS6BCsvREL2eW6b3PkD1fR/5d3LUA21Fcpb6Vs2WsdMbop06
NyE5qQFCYiqZgXEsxjOHHnUyAJX/Zrb0VXz18xviktvg7APdQ3r05/ebeVo+M73xQsAb5fuIQ3Xd
eaiq1znlJccHWAwMlF24/X793ta6epeTPz4xNYLgJGv7M+Yw9VjVU38VE7H++fdf51fF9x9vj4G3
Z+BZYpfifvx1sO8FjQ74ZXZDiS7nnCojn9Yp7ZmN143Jcc4mD5W3QXFU9BZZ75oew+IyJ3SyHrOO
CYWSOcfl9UwWJGrnAwlTt1NsUHxEmGXBijZD/kpQK21lIsRvitqsv8vYyHe0NcTd33+Wn9K5r7cG
JhFwzNDhkR19UYf4qRr1XloODPqCYtRpfQ4bkxlvJuEnGGZTmZOCoTvkVHXje+WONdlCZRXkJCH2
zp7ji3Yrp6l/de3B0lbGwhHLNedlMpiMdc7Za9ESVV4KRYwgouvKksOhryn62zh7FQ4x5mnkvARO
b116jTjsar7253TYi9ktwQDj3jXKqjnZWqRIl0t+Jo2lRrRNgEWuMuY+dO19G4Yl0JZW6Mm777b0
4AyOfUcHX8m5z+h0rRJWo2Nb6uMM2FhjMFDjJ375++/yaz+Xp2xp55J3iefawu7059uiLUaKabNx
woqJ6ZHZtHpHgeCeKGn0O3PquF8rmgX1CsNCdRNUUbv5+zfwc+X4cjE9prJwutHpWcgy/vwOBOrw
3OlmJzQiqySiMq/Qq436CSTnDin8p5aN0zWHIU4pJVzSci95059uU7TfbdH05yYe8Zaajekd4AAU
G09rqOuryjPWqMUEEXcMV4cBmNAxFuX8HtAduZciqo/AyDTmtHl8EsqNSagSKQcTasiTT9DXtoeG
9Js796vDa3kKWRqWPYnGvsOz+OXD+roYvOUp7PJmuMSlKaPl2toHwb5yQ1IhYV4GpOfIKGjWNn58
tISjjytGlGJP7Kn/6HR4sNox1n/8/XX4Nws8vCyYWFwBBKvLGOPX9aGI55IZ/OiEI5rctdXWn8kw
H5A5TRtvGq7+/sX+umlxIgkYSjCv8A32lD+/WM0GNYI3cUKkQN6LXs/1soxkv3EeLG/5y531p1f5
skwUPk73zmqdMLfS9IMc3fo0y4q+HP7IefsffyJG0wxtlzgTm//88om00RFN4jhh0XvDE6pH8AWR
8n6zC5vLP/PrR6ICpnDAIscSDove+zJ+MVly/bnI3HBw2juxmD5Kfd5l6ZIC+FAH6fVUWWtrGt+n
EbR8UmjXyigimgs1HTRrnDeBlBC4E8i+bifGnRf3TAqmO0jmzTon4i4UaVysdNqTqDeBU1uBgsU9
Nh8ZHaG//8q+Xh4EZmBF2SuRyy511RfVjLIVACG39UJq+ZpY6RRY0Yy5iGB57TeLzF++NqZey8aH
tcoNDOcrKjFRkVl4HDfBhLnxVTTn2t7T1aL0r4qt1UVyz1cd/OZFKQW/PlTIQ3ncKZdY2BjCfb1c
o9k7ZgkfKuQw8OCkeR1asd8yF5jGF6up6XgzF74jI+5A8vsruDcaleNsvmWxaQCOSI7UPqsZmeTK
itybTtAaZm1pdmkrdkVfCbhY6Ss+69eaEPRUH+uV7+eMTsqIrkMBgdkbpwOdWsQbXqffBO4o1qgM
IfjNSQy8mezRVJ/1bUtk5dmvI0gwsD+EqRWQHUamJhGdKUuUt3inQEVhX2EfuJuJw2PNPeS2fx/D
KLhWWDKFemdo3l1XqnQ2lePEL12tyWutycwtuXvxJiJ3eAUYpVy1nZftitSt6Oc0RfYK045evUxJ
lA+mbng3i6Dd2Qln61XZW/brBCJ6G+jlgxDDTevvaGgTZxgbP6IUQ54TlYzTtLj8hoIjVWCsnHbr
NDnGkzQQ+6nAR2HObXmx6cfeGJOL1MoEoIOTz2bPbaX50Vm5fy5Lj5xOIyaSNs2R+eBrjEI1Ehyy
idgkvuVdRZ5mV00w+ea1KNx78g7rTd9YZbyqpLQ5SzfJfGytxL6NkoEAn3QOJ0sPg3ra10mldmZh
Meh7kHBf5sne9LMZfM6jdcpH+dAM8oP4AnzzZM9tLYU7KfCH5zJprjqoWdtO9sM5MhvjqclgXwFw
Rik9ixpX5Fyg2A8UlhmruS0D9TTF0j8PuUc2lWjbVSJjrVjl/uSiueiH65aBJJmQhXODg658J9mv
u5YtOhhgQvGnP/TBjlZ0t9cbX9x2hW+8VKQ4Po+ptSMcse63KXiImxoXAU3HAubQFBOdui7NZt5w
Ap8fi1j1t1Y0y0dhZhhTtHZ+0JJI7Agxyi+aaOK9YnB4l1NoXQgASNYZs+aN0ZQer+yKC1HZMszH
SQ+l7RtvWmS0BwYCzsVsRbNJuHp7lZX9LZGS39vBmwGb8QlHxoG7Nhpu9NgmNuMB482SdD1f00o/
R2g2dsDMx0Nt5PWPKDKSh1rnlmwssmEd6Rsbv8mNK0B8CidSAxo7UMWqZkB26zVjcoGQgUgDYsu6
ntvqE/XLtNUGe74qRVteV47/kTTOK9GiEYAGEHoReK90evY6CPnEBGireaYDnFgTPcUuUQefTMWV
bOPnVnTPIkCrueodo/1eYPF7iv3cRafflLvAmuuQNrWJGGOk/1W2zqYNWneftSRrtpofhw5TjDUK
xeoJArl2TnlXG2FE/HBe3bHCTvumbMaD0VtuyE/FO9MbT5j9PiwnRpA+MUvJAsxilW5NJL4m/AAs
ofsB10E4TIO2zVHAX0cIx0KjhulnIazpfKe+K9qRjDXJqsAzqDa2lQ6HonRulNCtW5mUXBMYk9WG
sZG8so1u5KHqk20SjEyOMOVMZi1OaEUTEIVLBtcM6MiJVPLYW5gVadqpo643fMC66dazw+pIK35m
g2jKlWMk2Vsnaa0wixkvqYqKWwdJ/BkqZwnpFwxjUmQ7x05fmRx325guPDw5MrR6HRXoEAybSSuz
S818DtLsZP6gVUmmht9kmyZAwp/mcXNjaiVhLBFHO3drlfaTFTXgoywGyGECyN7w8mut1+VdHM1H
Yi7W0kITlWcPUZ5XfGKR3zI0Rdo6p+a7rqbiTgwZlb5PQ2mXdSYEGqDs5NO27nWLl2hTiQRk3WTd
G9G0diobi4SMBqbzEvWXkCGqoO/V0BwTw9kUdk4rzAZiXw32bhSuuWs1/b4mg4t52HCunAGRoiSS
eOUAt3zpFS5Z0YxV9C3meAbBiub5ds7mntO1ao89qRPrRaVMuze+SEX/uTdHY52MlsLzXk8LraqV
a5kGFUx8guG2GD5xmIH+oOwgsJnm57G2tOFGM9KGFn6FSrCuxZXjdvWd7Ta3jJ3mFT1W7S212/pN
wQdarFHpU1QRjdxPdnpKo9Z64V3XIc4T51Kh8NgFk09kqiuStwBF6lXj6xIDPTtna+K3TQAS74dU
yrXoM46DBYSdLq7Lg7Ac+qi43NB9Me8uRiG3fcPinaXtbWt85gl9hBWg1u7B771q3RmJuDHHYr5z
49w/iraYj57ysqNuEw5rF330jJ5sfpEYp5EbFMYd3AW41ZDHDkvgwA70cvrNJ9B3Leyu2Q6N772I
WNcPaRLUV5kVs90m841OU3gzkUtwQ2eHzBM+LWLS2Tn2Q+ecIks6mPQG/QHYTnpbpL11aLvRP9lB
zBQwyOLzUPr8VxcMl8bL3kXZZA+JA/0stWN9zy0aNrL77pdOsq0K6kVMJsvqEiSJkYMgoOxWnjsf
OtuCnN1ewSN19DQsO7e6Hou0QWY++f3aEG4UatL3zhbqsTuyhZ13J23KF88kC0DT7KcZH9umTkAQ
VE0/7JxxaAP4OX22AyoBbMp2y6seCR9rmN1ubZqmm1TH1OBpbXOvOQNjlAnxwMBw1kkOgGbFVp9t
e1UYDTpCG8ARg9VWE0DeXPuQxYM6VL5O6kbv3fj8Pr5NbE4EExVnlTbvaNeMUM9biwq4aKv7qpUX
rbP2Xmd/Vn57hU8wvnHywN1MME/JJ08y+M58z7GXOuvGAqZHO+rcxYJWb7SmUIu2bVSO4OIM8pEG
5nbXjNbkNYqD+JETnguEp0iNbQDYDIFCN7QXiO7Rk9d6xh1QMf1s9qO4suJ4Ok/T1L13gGKYlzTk
wowVb0bTbefDmvTgh58m1VWeplloohI8GyBaN61btQbmKKFvI3CXw4p1YX4zg847lUM3ays0JlXY
Bl51J7CxHpImGz4Kpq7w4C1NwLX2h11XC0usPCM1HrWImiRDDIHh1GG/Hmj/gJtlwrFjNGyzVcom
erCFQao1lGLKyLGMd0CtnYI6s3EFgDR8yilI16faIaiq9VRBfHNXgLEQSRIR9CetxMVunQWXPMmH
rZmDgbE4DCEWiTTnFZ0D/TwRFa+uKT3w7GiNAGdm9Wocy+BMRpLgzZNgUFLPoKdEcouMsmg0dT0x
eKJkajtxLeakO2dDdsf46bvtZc8oPhh/JLN5Bf413kupXqQyeaBV2QCfyFvE1aoOzZIgIH/ZbqAa
eVS3LdJpWkTTpiIIeyMKX55MqzW2qPGT7RJRhP/YQ2/QkgJwQNWzBT67yUrIpuyuKeFVzIhXHYnR
R21KxROQtKOM3pXt3fmj+dD6w5vRJDAQ429O3r0kpm3vy1grb0kyQPmpV97a1ksPFZuf9xuwy+Wm
xhRPUrIio6ckawlRc6D2ZaFJtL2FSZ3kO9U5cNr+Xuty1CO1b8GtFaa8QA+MgSC5jvOGmxndGG9B
Mr924tsimO6jqbT2tV1VrxM+lnqFH9ba01oi5gbg+r1CKLCbp1oLKyG8faXNMfnlbHvvUvoDzVcj
WsWYGeCfWYuT3/Kbdd/Wt36cjftBN+LXqu7JxzakT1BTXE3MA6+sKhe3bk6/Y2UEabMZyLk/oGga
n/QWBBZnlcEi9zF2xNqtFWdWHSPFSkZu+snvLBPmUgkU9ZrLxuq2ib1WzMyvchKzQ+r/7torgjQJ
bVqtYWsG5Qlbo+bgMsFCVWSJt8sCvWfJtWsLp4SpwaEP/HsNHgGjNpqGj8gK6lcO7PqRDkG9a5Fk
8nDLgNRuEqLsCPUGOTRDUFaQZVK1nSwU8TzDJmIbzJtg99SNNugyRHRSUAYj2j4A/9bOerLEoOkT
iNEiIWG8pfgInSSvsGMX9U5GUDZTnDTHMvYfi0G/Msuu/q5knO6gkSb3DL3re+VY2lqKfr5NFzgp
0jj3drGzf0ucIriTuWmecQJHK/7J+MeyFH4r4zq5l2PZOPzP3Di2GR5LkWnBo6f6/sHLgzzYyD79
wcJSXJJhnB5HfU4xIHp5jRWhI/dwrho+Q5LvE8bMp6JP4wtRR83t0E71VZ0J60AoaI8ouWSYrpnx
M3l9RKibjOtFQQuR/Kr0WFKwPZdBauGgkEGxo+ZBy9EMNvzCcgr2zeAN/dJlSK9pzA1PuU1jbtJQ
5NTB0AUrtx67W71LPNopqp33FfXa0S1692M0MPesVFaltxa36m3jZzOpVtoIg8fxOB8nBafJfd7S
lF1V8Em2TeZX+4QE8+euK9vXJsOSgpSNwQGBA0oP8MCO2aM0nGBDEpER2jAHMISXJQcbsJr6Ce9U
ctFcHZK0U4v9EMG30iyoS2iY2hu2SVwIloJcyUaM3Gj25yeNWPNHLdUKGN6EKzVw1zkcVv0l96Zb
L/I9bv4hl3vBR9BWAlPvJ3+03TWZH5SWOVAcBKRaw6xjin3nTkvidOO1yKJs4Jr2ugni7tHoDfqV
uk59x183PwoRTSHIOPPaGBCQAKkZOUm12vDmJFGG2R34HUNUgJ9kAtljemclCUHejUWxq6lZNsfa
7lgZ4vmOD0oLXbSTxqGqxEOr+nk3eW65zy1Nt57KKOo+BzMrOFrTuKuu4IO72FwlEqhjMKeuuVKR
4c1QbfN23FBJa9o1VtrePxqzW4zh5DgvskQsKZRvkd1lkSempc28Koe6h4AB3KjmacclBvC2HK/7
ZmxYCpSS0yrK0yDZlpBeSP4jOJb4eF+Ec9fOJhRQHSeYmzoMqvya1G9nbLTDhA71nFtB95gO+J1H
EsdWBPIuID1/+lQiQMXA2Xu8UlpdfncMMeCSKdgiCfFi+dfxU51wkKtnE9npZ0If6KwrR3vnozev
Mho7EtKByV6xFbIMcG2Qx8yy9NuL48fzpatdX6x8qYrt4Az6iW4YpkKPvMdxM1hFummiWlzj1Ncv
te5k3zhaclz0xsYHzdPmNLdZuJ8bcD556FvjMesTv16PjPdRI46ueO0ajBeFsKMXRko8VxDvOOil
9X01RP4pap0432q+9Z1Ye5A4QEfsnuxEQT9zx8D8Ks/BrytFC2xVKS2+S2cC/iY59bihRHwUiW9c
504OPzRrJdIeOVTddq5UT7pvY4bE9UJtx66I/DBzh33G9vUU53HUs8InbsYnMbqrVmX5W025FI5j
3e95VONj40vjRnSZRnBkDtRqNWE40db9QtdeT9NMDp3jJeySE4lZGbD2l5HT8HfTaXz86io+msP0
0RnDR9tpjzpHgFWRpcYB6/a08WG+bO2RJbSG8vDUiji+8gMRnDI7Tj8Gr4zBG9fpfKGzxc5QUlgv
EkBPrhrboA3apt1aTdAyuwBl7Qp9wmdnOmP3Y3kJYrTcsQ/+D3tn1iO5kWXpv9KY56GGNJJGcoB5
cfoaHvuWEflCRGZEmnHf11/fH1NSVSpVSxfQDUwP5kEFqaTIcOdiZvfec75zP2lHuzspBjPdLANh
zgDGTRNDtD07sFwGG9suX66cI0rw5dnFTsY8cBm/xAYxoCFC4u5mirzbQXfuVcca7PK1om3cTS0d
ndTuzwP6uVMzglfh7XglMXkBCmy4DnBrLz3Ibp6ydYmYts28fPZ7+nDqgH/m1Wv88QZNm/1CNgXf
nG0YhkzRnZhxlTu6S/Yzu1PoGBoYeBLN7rVhTWPIWQZFUpb629parnSR1+dANgPRX3X1PmcT7ba8
NzC1U+saWLNDux47AtcLNGal3/MeGJZ7ajnSqg3GUDFC3WFL7lIxHWSzGIfSbLMtsW+YxVQvqutW
GMXeBJRwKj2BwIuVznqofHLhaGUAN0Crh+zTSNCbW+19HjX61hL0BVEXZ9SAPakHUR92uKZ2s5xB
5Pt+OR+5490YLmINlvBHnlgdnMsheBkN23vWi5TwURpCDvzFojWbT1uXvRfQgLSv/KGXW5/jystg
yeSMuDoPORxUEJOHERFSDUUpCMYrYDwpUlXTmHcB8nxqIOqrO2+mKkbUN5zxN8dfVYNdvcpwV9ku
UyzE3cVTDjTzUal+uTcM5T0zry8pieIoR5rXY+TylVmGmUwsG9d/5z/7OGTpwWbioZuLgHo2jkJK
IAgnCzjsyrb9ELYcLrw6HYrQKXhUAmfK8VBzljywTZP8GXvmGBqpG2nQq47iuDUPn1lG647y10UX
GZQjR/sIG++JKbS/hHNbVzlACa+/7ywSKTOO9yWrqY+QqZ8ECY+BO8KYwLB2XZdldOHXcAt12YCb
H115SfBCjWjfKvZ+vSSgTFtqoDaT+JiT6pa0xds2R1VsTdGGTI/PcSnfgixwCZWVU0zGJLZLqZeV
1dzIkJiHK9lH7hF1v3lfla4dAq31L/J5zK7iNn0sNBkRFka0b7UlrAevcZzHHt0vAev2sjPq4SES
I2baSI73Yz4SXJ656fXETlr0ebFrVdLfI8FSD+jZ8kPbNXIPjrjENKbtq7Fw+gOBUd2+b0uSF0bW
fJzeZyIOjMMU5Sf8md6hd3iMEt1966hW3ucFHFNlTGE/o9/CrU12AoMnTGf5yRRltqsbSCiebukN
RV5X8oTbarfYi37sepISGYfadcE9ZmS7M+f2q9Pmy5mcDPvG77vG3TSIECvkkt0RFmd/cOAi78vU
NGrAIMLfCfemxoixQfdbDWHjtv0+mb0KawWj5Yrs3ezsN6hFKmMXJMU1Uub+NQ/c99431KE3JuuE
1Jb/2s/kXW82YdnKS0HEk1FR36HBcs5NrW/o/ZbMDvJDqZO70nDNLxptHEsT5bAY84l2/jCfaYA9
peC8VWV6IYOHUMQxzT6EVCe7ic+qSBxqiSl7tzviDFK7+bws6hJnJqJsFZclKcFC5SQb+ILtwHDB
lFACQXk8eWJuq00Z1HmFdZlJFkcP7+waE1Bv4m0JYyKisrThR/oW8Y9k2hNPTwzE58IP5JlUWnDq
Jaxru5/2ijV3a3oqBWMSu18Q/zoPslYQyJUWutmMhpB7Z066YzbPlUOvpdQXroFy62DnlvvaDJah
3iL+D17PpiJdFEfLo+14GF5GdMXw8Iddynu7xhfI3eKDxt8zoKCV0cTzXWQ40UNd2SDl+wCiE/aw
0yoXVH4tLmpXxMzhh3GcjxiA4jeii9gVvYRHCud8mTwa8ZIwckRmHrypOGIhBtHhIeHWRnSWMfVJ
qFJpja9BkKR3gcIohoHHR/8398xHmI+S6QFvGM4D/LCxFvREZRdvSGPd1GQa6HU9RSi5wal/n4xD
+tB3Dqst6wbxDclCT3OMCkSeMpbea1Vk/dtcCvc9xWmyaZygz0kr5tzcUteFopwIhVkQlvv1bHVH
jLzIOE1uNcXgQLUYVahLfKN5oVHc7BIwYYwwO+8C2xY9fMMjqaVzWa2ya2mW8Giq+sZOxKnNqzdt
IsZmznXjsr8TeHtD1u+5TTrjwbFGZPGOKtSdy4HkiidOv0IJr6mI683YKvPSm633xp1WJpSojtlQ
x0yX5hoLQ3AY8uDzoIZ7t55enAi2LoxNjhnJYtenCfeV8hVS4KIpr2F7APFueNBzjAyhcsUqsrH6
e/bugh0ypUuWEHi1owygUu0MZ1KbbBnyjwVdZdg4dksymj4VyAk3nRdRMzlgjAt0LFFYBe34EJRF
96TWsIIptmlSZ259naAfMLP0qrWNaGdNnrW1fE2Toi2j6IV6ITdxEnv11kvt5TQA0P0cW0mbhw3M
6fPSISkHWZ+u9vCYsTDW79DIe3LaOC369AvmRAXH2bT6rUmpI1h/cuT/WeE+1FhJOGjRP41NUhqh
Hb+2yrAO88CKS291uopLtyFUYlpeZo+qLQ8ZZdHZkDwsN7LJX8bRsu/UYkVq33b2/BlPXXrsOR1f
OUEnX+aa/BnGmS5H63RBzJrMgXk1gR+rN57HZUAPZiSHnOjmG5vW0FdqU6qQJYmu40EVNCq4flxJ
Q3vWLnKt7IkSLt62TXOAxhWOuWWencBgXkAs6lOOMaHpq5Ek7vG5a/OaK6ieGCAfKsv34HagWe+X
pg3NeW701m1cetyJgVCakSLrSvzUlV6GYKOiMhl40DaZNBtCROLrqvZwYcTzAcIKcOSs3Ml0ZMum
kR8ufkwHXle45+2BkAVf9xtHVIoIxBzRfokYRW4dUqhEL9wKUWM1HnPqzxeTdKi9I5365Caifi9S
+rHbSfCAjHETxZu8DoaHzLXEFNZWlx7TKF09TIt36Wk/fxLQgppDT7MuCE1HLXwu+KZDIdWdRsDf
eSBE2qGKL5icMHIQeXacmiDLt40J8nZDRvtyv0xxcUR4RnKa0L44+qlJSHuxwusFguiXhFXxKx4l
KyzQtjxIlNH0iacqPruLwxLmesNtlzI2G0REIVcK44yBCIKZX5fOqRGDQ66uO6Zkp3jmxTBHqmOE
VjlM0/D9EG2flbzsqI+d7dhxyUND9M9pu2jqj4VkRDk0h9G3QCkF4iQ9PAKbUbsHt+UEBdmuE1dU
cCBeG6aKw7aul7uiem/heX8Qp26Ejdcbl+l64h0XEd+j1yuvbSIiQpKuktsEzuKRV8m+DWgHPTta
eDs/wLMA+KWg3nM7UgxI1nLTcgqdJGHdKkCkIzOCh+INnJ2jejyz4k7hwFkO9o81HqSdMvcvSfzb
pHVkfcpoN1xETIG2WOX1tohted8vQXyVWqULBNLzIlApJZtHmkz2tndcY6NHeP2Z7sctPSR7a2qM
eBXi7xcgZe6DxfN5pyu4pb2yiW1xlvLeRSm1IbUR87lrt9uERZYG1eCcTEB8dFPSOd76qZs/ECeS
HvpWdp/qiLWuNG0G+pjkPW8zmwnfODd6PYRZYTFZUl7X7rxSfwV9IF7dwY9voL3VW8aJBvEovtjg
L3OJFAlI/TKV5EplJRwYez5riEyMI8qBuwPO038zRuMVC+CHGjz7Cof0LQ8U3Xq6SWGedcmtNqwc
U36C1Wc7OjqfroOF0fVhdYT0h5LFU4e6aYcjj3XN8dGmZTrmvj4RiqGevNps53UjglFcBhm+EIMr
i2RgCS6LwYqOrpc3X4UaN2Ti3Uee3d3URj6fCnPywjQ1hibsxgT5jO7i6E7RLHrg6Yo/pUVlvYwC
Gj8wfwWsw1X7qIyWG1kQZ117PfUlZi/GzpllvqC67J7SBfK14+c17fDF8k+6EYBlfak+ArX42yoy
010gl/mhDurqssiLfM9ukZFK0LQXxWRW1KPmIBi/WN+rZIT7dlGfjYTqS6gsu4D4QXB3R/DSuofY
4ZL58751huWaRkt3WnRqvKVKyWdY1P4FrrT82BoaK5n09GGKk3hvdZIY6ql/N4JakHBIahAeoFFm
JEXEl9EyEj5S9hlHaqd5LeWQfLWDjF66VsuDh6NtxAPU09SZGR+jYNjSNcbXnPC/KV2SxxmqWo/f
ovCn0By69sGa8vbawVDqXpt+MVx0s4V7hejtfudSax1Jp2GCDqfqdra1TyUpc+sYWCSUVrJDo2JV
dPWCxHuMBltc66rkIGJ5NG0yMfI+8+pVqmWI6S/Zk25yJCQGEqqlLa+M0njyCuPDRtr5mFdGfV/2
TrQ3SkwwnGrLIXTi+Nk0muFm7pX3aE/pcG/g6t4myd1Iq3UvnKR/SUvZ3rqWPb0YEaFMCUKUs13G
fth7Uf/CsvIi08y+mo31fDDm6bWdOuJcZK15yJTOb1WHMytyh/R9GCJciyMhQU0+xJQqJqsDAqsj
tWGM56cSnQ6Rf7inzGvrA07n5TVXdTNvuhlPX24bnMfayjQ2GefkcxK7altA7j3WmMO2rfQWHHu9
CGtnlUYUvc/SpKpTDmR/z7Hw0Nhef1GNxFZqaVkvbpCVrLV8qnxTx7l1R7M1Pg9LZ+/p2Sb8qR55
qZWZnvDK2reVV7e7HA721tCFfybaClFs8W2kXyMn9ows6qcDx+ig2cy2U2+wpJKG1CbFsZZ0jaWv
Xn2t31Epffh0W0PFFDuOrP3kIVGrW5nAOCk/UpmWm0AaxMeQ8pmTF1Sls7PV+XCpGnU5euXzRMSK
Py0wGjMGQ4Y1k26k9I5XNuwtZzvEnnUiUOZhbq0jiqHQMweNabEggn7Ew+gyFeo248Qgy+9p9+St
uVHCOC5mfQHz99gn86VT0/2ecbfc0+pyjq0/JXunU+iRqwUOPNP95LMH4mJvAHe/8r04fRDMvx7d
goqxXGJa4XlpHf7nUpqcGxndY9Ls1JuhtXNFCWzuF1+lB/xC7dN3cd5/Npzjv5kXRK487f/1I//j
N67Hamj5P//jUL797AP5/hN/8YHgPHRRDUHogX244od+9YF4ZKe7VOKr/H+1gayC9N9j1d1fMC0B
xl9xkUSlrCrH33wglvMLCkiSME0mPfxxUCR//2S/+SMw0Xyd/rf6KH/75x/pGH+SGvLBTNiB0DEk
SmrzZ2Woh5nPzcY1aUwRgTbCzY8SSqzvoVMIXaZ/IuH9Wb25XghT8guRu+JB+ZnFlCm7TWVmjrvF
AcSAbewbvs81shOc6w/34G98M/EniTi/Czo/KLJgFU3/iQbZS0oohhXjTlhmyvvuMjGslbZOuPSr
qzRSw1W/2GgKRVdsWeeCd0ke2y1avfSUBw6LXW0g7TLnkWlL2rerdTFQzSeGLcxZYsTQ1xIuwkVv
ivbLPIJDQgviRSxLnMPxJi/4azajXX4YUb+2eFPrkeZ+N+yJ5amtc+c05m2ciVaFLTqkbZd4zkcn
NRIWRF5kObVZ/40Bnf5QElt4in1lW0bZcsvGicO0q2d1QP4HBo/C6C4hAfIMg8EcWDh78utSHfBR
2CSiT8Qngy4W9Gwh+6rMo0Hizx7pscrwDtWCahuKXGLUITmjimBYp8HyantD8y1PUHp4rTx9D3my
BlJXGW1fFrN8LBCmVts0saOLRRnLOcZTdztN2eWkRcfAyRxCFVcvRo46iwyFO2STpC+63uXMwHMT
B9A16qqpQzswmstZ49LBqk7L2ISrnFkBTkFDElsSM0LYWfRmLigKX+IARUo+QUaf6zWryIPSPw3e
dUcDep8ReaS/p3JbZNi46HYHOsyHVAnSJilphXE/1wOtHDBMkJX0AY6os83y4CRqokrTCgZ5BCJs
QwvpG7CuNQ+SxLBk5Wggkj2iWAhw2OK4LDVZB3INfhYyh0Tvm3djT83WcwwmyVO9KZFeQXEmxozA
lZFdaGOhiKQzaxzi0bwr02YLt2oVq2FBjBz90FmJCs1JvLt9dLkmpqGGyMKMJhmeT38Tj6BKREtc
K0d8KgjrPZH53gbmEMLZOKwpdt9jFNIISDf/wADn2iasGRvrZd6pC1UBSUwHcA2Drh9UIw8GUSP+
PGCmTg+dbVxqElt2VUDwgj/5NHXrqK7VZWI7hLQRY9je1J17vcaSFGv+JrsuyatjdjaD6UPC3SOm
mu4nzl5Q82syaIA7HpPXGOxwQnOqXPPbaByDGXD8a4GM+NqOpi86aj9NSsidK/Bep3Yaw6M0HiNb
XYJxNMPFdihiDXgnArzW9ziGSaqzijCty0a8pGbAF6Bbj3oSAz7RvJHLcApQM+UzjazOo+2+nrRy
qBcbiWH+1JZ0EZrWHUNu7J3GxhxGJVYZIwNkGOW8qClY/ccONB4+Yu9xNPmmBRzooeA+0D39EuA8
3v2XbJtX8dcGu8G37mcPJcv9XyyU/52MljRjhYAd+8PK/ien5dWH0m/Z2/yHPfavP/jrJhuIX1jg
BYFDtAJsIKx/2WT9gJ3UxZxCSrz327/53Wwpf0HfD0ES+wVPA+SWv2yywv0F6TBN3TXIiU048P6V
TVbYPzkJgA6aDhAJdjwfFhbuxD/6PHpO7j68HXlEg+uoo6hTwh/BMU/NqnHR71NKcQWFAY+8a8ue
ruOMQlcCtlj2oD3tJ9Tb+anoJGmxlUyHaZPHBn09d+ym+pAb2n5C4MVUaxzNm9wwXAzBbiHt0EON
S0vIcZLg2JbELx/M2af2MylDTjOk+RDNvVY7P+rUY+t6EQERRtZBaLGMx8Biuu/3Xv+Cq4PWTAJ4
xKJbyBjFvzfBljOHNq+ZRA202KqaPQcx29caOdYYJjZNMLqSSl0i3gs62rnWculqJuRrja03INdA
hS5UiF6PEroWsThGLiNJ5S5rSTLHR8E5GOr6DKkkz2Z5N8KzevTLwD+MVjpeVWR5h1AvBuwm6OVt
2PDwDQIKNC1D2j+ieh5Kf2RGU06Vt6lRk1qBUeH6q+KZiGVo3ealENQ+FyBuBvRVmaTxWpSOuqzj
LhkPEdUJmTBjptJNUNSTgsMUISBQBnodOi0Jm7myZjBZ2RAY1t3CGXC+aZQvizvLMVEDcaqPmmPK
NhqddAXk49SbnUwuomEM2M6TyBp2PSeVZQ//KXsZMkx1d37edGJv0ewn4B79VxrSvqOVYi/t0O8j
2Q4HD5vHOwAN5UGvyIMDqkXrGUgRbBtlKrWy278FwXTujZFOb+GLy7KZKe9t0zgakz+8eAi8N9qM
bjGf0lJlHqtorqGms1Fe4L6M78jONffSxJRewmAnDgVH2QGNQvtu54N3pN+m40M8LLGFCM1ELSsr
/9H1aNvhPSnlvM1JGHkg83O+JOoc+OgUu9u47bKHjpDfbU9dT1pHodmg7fLC9KghiZ5QOzP2L/pm
DnbzYi2PUYFUkvGpeyGham10wg5aWObNStBKy7Z9mB2ifLUl2xtDYZYcIZjkmw568AbACvVbWWp0
MzUMOHUojTG7dD3hb/mzmu2cZzloCAd9K66O+JGntT/TlrKA24sSYScxxMlpVuBiNmXUb/Pekihh
VX9SdKlvAj8aXjvuLSK3MrLaEOPrrDjLThOpEsY4bpuG1F4cIs9THKPfm+kTjIRI14G5POcgiN5d
YYy7xveqB7rmLZO9PuG6J/NBJqrG2dM5J2hy/RVyro+y7ysaY7NgBDBF3ZGowmSPEcpIXypjlA9j
OVtpaOnU+wxqCcajibjmNGYo8ZGR9lt6o/ZO0uTcuUPd7826qQ9L4I1hMzE/yDGr7LMpMUOnUdkR
sfWFmXe01RjIXXHS7l8isx0BfqnsVuEYuWirpLioZx3cKLuO3pxxiLpfrV7/2dXk/4vbounZHjXf
3y86t2/vzdu/vRXvYCHVW/NvxzdUuvGPdSh75G9/ym+FqP0LGyT8AAuFzpq9ySb0WyEqfgEngAsR
NiSWULHi23/fI8FKki24BlW5bKOr0fevPAIoCZAVqV391Yhn/Stb5M916ArsJ3spWHkEfBDzJ1BA
Qs05QSGLdiPVYJIg+3D03moF50rn8MN1+huFofXTZsx3J61t5d96VLzwGX76XSo3qrJy22gHtnZP
E/gePdKxTb19AbN3CerX3HRpyX4KbPory43Kmcpr+yVT8Dri6Txl1V4W4vhPPtWfKuP1U8Eo5pjA
34AO+uMRIcIVFpBeEe0qPe/Qv58ytELhKLy9pRryrCsE8DkDQrn3qe4CNWwR0uOjV3AAupDN7u4f
fyDx/Zr/6BrlOmGV5/RkS+7Jn+rnXHuVEZgq2rVLrw8igQyIaeGejM/oZtKasHXXyG6qbKCem+RC
zBVDum5xaT7jHaQZXHw2msK9izorO9u9H50dJz5VXrGvKAG3djF+9qavGYC1gSG8LIsrWE+Y6Dbs
T5uZmafo0YsQTmq3Jns6uruVa4mdCsdsSHzIlVkb26BK9pUDvSdzroK03yMOvZDG/SjK+yXK6Vo7
W6cm+cifd8R8ECiFIdEUF0pGh74uL1spjjHC3rp5mXPjhK4pXIYvRnGWXs84brQvKjZ34RzT4Hno
h09DnzI8nxkIVJN3crrnaOyRajO1GOBo4R7KoWpsOnW3OBexl1yj4wxRToe+O+9yL7pwdUcoU4RF
MoNAAOp+KC4AL+wnHAcyVQw5827Vns57Y0TBJzwqyAC8NvIZp7katNxDTJ68cctwMsyQRFLd7PGE
blr3k/SDiwRKl1ekJytzwQX3GyvmhEJWfOKWUJ/HUGUtl4dfE2D2qsf7snHvuJ+bxLCPfSfzzTKu
Q1ZS+5IGZ90X7d0ImASo9jYxPeeRyso0g4vK4c0c/J2Z5KERP6RUx0ZzPVce3h79hjZ85zhf6qn8
3Laohgf6DWgAVHDTIrMM5tu4KY4+JXfu04NF8AERqL82A7d6iDtsRl5uXM01d84jRcaokvFeLFPZ
MRPHg9lFwW2UO+XXdduJN1XFRcuHKtFEQGQfyOr1nVhU+RbYsQcaElsXNSVuJyvSJ290HjyrF08y
FVDyRtW/0v8iitMO1GEckWMj/jDVM4MqpAWzHW2sqGDML1KLlMDI7fMHPyUWgNOGh6lgMexNMU4z
PoZKTm8ugKVjgdINE3c9qCvNAPTS7u0bt2nlXbMM3n0n8vpXC/n/3yT/CTT51xJwjY34R5tk/lZ8
3yS3cf/T3si7s/7wb3vjugPSBrSYbrDs/VA/euYv1I0/bJtACf66N/JvOC2yWIPyIX39x81xbdoG
rJouQTQ0d/+VzTFYKSs/rsR43ukTS+JzLMfyaaH+cW+oGuAUTmE5mI/jb70nr73GPVQyeEwizvTY
UXdIliYqt+gxpttVLRIlJ4qs4LMeWcaQGJ0jvTynvTyQLbgHZLpLLgnTu+hGF/RltlPRcEUG+TMK
ngOTgn21uIdkaY5mBXGXlzmrzlYTyt7fy5GfJRcWwfnRqbNTKu072bjXrrQPOHbunMgimYq+mPoy
Kb2fq4B0uvrBN6qHZSLamprU0WWY5uBcuy9L9jArGPH5cnAnufec8cqr/FOv8kt4M9eFMz1XNulF
XXHLGXRXzfMhy2mwstDOInpciIvfQgN+bKU6NmNyk0cOJg0N+Kd1m+MSjcOGyepdp7yjjWIYdM3w
uQNRa/rNS8J8acM8/YBJ/kSnF49B99Vg5o2E8dLhmP7Dk/e3jh3rTfrTTcTXz8GL54yW+x9vInRG
0WrTcAi+rrcwkb6ni6mxvnHn+cZrMGPTvETm62Gfw2bFnfnHH+A7TOIPH4AzlkmsnKTVvyZarGew
H6LU4jqgdhYx9jxGphVrk983+8nMLFh8ICjwIt44EcK0Plpuk3p5HhAMXHIqNE65JInX23zMdtfs
F84g4YD1Ze9B8t5F5XI5ZXil8M6HTNmMkwk1NF/Ysx0XxcehGOcAARjtUWKWdyNhp5spWxGKKDOj
wD7XEy1XTedh17fi6zxGM9OxBf1gfFhagP+8e5/sWpzRTV35SX8uasztJci4XxHe/9JC+h8rJf7u
f7X+rr804v7vYJlZLBk+8yUOwX9/naQt/tZ1cUshof+wTP71h39dJ32gZuuJf12QVn7Yyif7tYaA
Py9cCgXpmQjd11Lhr+uk8wv8ectcD/eQLeR6IP99mOX9QjNszX+G5sF5nJrnp+HVPxpmeeuK+4d3
TPp4LQVtOzxXrL4/B4CRwjKk/DWxkkCL2U/Y4sKxTYQNWLpAVI03HBY2cTi0b3BrzrgMvKrHgz4J
TCud7AhCC6S4LGgwbcq+rJi1RnlNz8DLHtJ4NB7d9RyhJuZEMi/0uck9U+0bJB6HlnDOnWezILdF
q98HG+Qph53M14RYEd4aTTJ7JqoK90tE5N1ZWYUzEHkn/RDWx3wnpxIiYLM8qN6ew4UEWMxETBiG
3N1BhG3O2qe3NbE9iP1MM4Cp/gSHBYffbIyHQoz1dVzOgGj7bDEfIjfOXuxpUg+YtoutNEXypcZT
eDVnK8pjNobliyoD9zNmBA99b9+8jSgmsdqnqyRsBa6TwIxqzkpJ+yQY/BZzAad9bOq7wuDqFAIy
ktlVOyvXZD7bDR0rOL8hw/9qu5TS+uLHEM9XQRdYEYxwKZYomX4ZZbBMHAaz4F2VhnoStGJwKHpB
tCqbDGFtlRiKbUe3CYk8YnnTjidKQiUuEm5AiEAb4a9MhjMw0Oc5LsgR88QUp9uFyV2YJQVC+GWq
i50GFWNvASN6V70ck7e4cPIPU0RmcGiGmZleXQykgJjB3F4uAesTRSEnujxfiIAKhk5BeC0QjdHt
K0ESyFFdkRQfXExBUb3qNmqh/ZISZW7QniNqg70jw8YooetmuaNotQl9tFt+jwVke8BNPvpBmKqO
RunsNjiEyqjBYMCcLkYob/bvVVOMem8jdD32sYGat4f9Ggol552oekyjMM3SapfxWD91ji1u0zhx
LiPZt4+60OWbIpKRMUdX1MGZLc+mZPSn6mudu/NrG+jS2rpkndLKBALxGb8uJJjFwldwSJKiebBo
ld86hDdF26UacbzQXrsFJFLXG7/QlkCW7Td3tDan59Yx8oZpiWl8MPtxUa1ZVvPieGn+BQpYefAn
drtNKYLxsS0KbLmqyxkKNRjt5yMlrTY4q+ji3CVYZEaUNAeDPvZG6XF8Xmkz925XLhhyoBLNQVof
PV8byGUqyUzWhGkIPt2damaFIv2ieLnWH43Yx5wmy+qjGbe44ZwBzOngxvI2MygCNsLJJvOTAnL9
snYSZ9Ts5QJTJ+cG+j2YkIM9++hs7Rpnems2I7okSFrHpdWYTiL5EWVieWU+CnGsDO18tL/iDaEi
NdOk+eJ6U56FjuVMr9MAMqLuNWWN0Y6P09hXl9q3MX66jrgoEKgC50c3HmIgpxc4T+2npfUcvVVt
R9wjCdQMkLvyAtSQ7Db2TOVfzFWxT2eb6drkR0eidg587mVX1iT7DuOEW8TW6DGxB2wW4UXPgaAw
KzrbC4j5CWRoWOytm7mDgxLSHwWGshTwiZ0lNq0wH6ccm3OEnZIyu44/kr7ST4un9dlMrVTt6s4W
GcZ8Mb4YvChkWeN37hmU1cj/7QSZuzI6w8KnQHgFhGW3vq3mOJ/3RZ9AFkc/P20tA1xxhzEZdXgv
++u6Tmfib4oSgH7eti8tzHQyAov3NB+SHv8G6/SQZfKsg1RbO783MKXSnHkyO5EQWkV4NmiCafjk
RKq5tCOtX63BS5hSuPmy6zE7gd2dMMQDM89N+gYMv7+2hZ8dFcc8s46dKkQPVl6wlbioA5Ksfndw
1owbo+nrhYs3jlfQIVSHrBHKAp3/BAiB0YItDB285/6G7wmIHqOq9kGhKJw3zCPbjxk7JI0bZv/l
UrHLOEN+hL9SX+BQLhjOdAbOmorcJABZWdodGOu2+liSLr53YtmZx3wpYAYnwLoxi2fSpXTubWr5
JTCddsujWX+D0+VfmF0ptlbbtv3GXyYWpyADX2DwuhGUBB04G+v6NfZaJKMVPL+7rmrEM6351ZdW
p+LS1KV4Ql5fvxBD6F8g61c02L0O65lfKfumIhHsRqJPeaphN3G5E8njA7AgsznXWymar3i4mr1O
rs19Rz0zLzJz4hM865tZm5Z/5hNqeyvRp4uN9mf/tZuAjrNBCdJHOuATx8gRNBua0UW8FHvNJXr5
5BqJmNjTmEJiRQgHFYrRLMsmwxmrIcVn1t6oy/gymSPvE1jocQOMJr9Jk8AMGZ9UmBvL+JbzdxHq
xbI4ysoytEpdP/fKTJ+qwK621ty/4iuxH7tqcG5TgoS3PVKGY+3m5mNtlsaHSEio3AglEM/apX2C
AeQZoSZK6TE3lXfrlfFjWZrGbYRNbwtiftU/a1BRRiLIwWLq3Ie4olG1st8terdiTRDScdl0OHvJ
2rnL8KjxJGR29Rb7RbSfkD67NCTTHgRBOR41Ct1Tpzg6wAFbvmYIJHHc1kmD/ajUN6XM2ksIqt6u
GmX8Oe6a17xSy2Hqg+kQxTCucd5i+ujRrzEGS+9xBxcHo3aXozvoYl8boy8xvgnc+5hGt3OvbWZn
bSuaKw//2udMD6CMfDTgNHqyFEFi0ZgMJFTF4oK+0znRbOse64XuT2E0mv6b2ey6FlNfji4t3qQl
Wl2zdeyDwwIUkiT879Sd2XbcSHZFvwi1gMAQwGvOE8lkchRfsKiShHkMAAHg671Bd9nVZbd79YuX
/ViDJCqHQNxzz9lneHZ5tDwC1IFETylFFq5iCA3bytTqcyY2f+crMvBQRVRM3CCM7yP8qE+m09dX
q4eajbSGhcSMBu/JdmMwLrjgrb1WttgT+fPvSVBF3blEZ0pWgRkTAEtpFaunIPzWT1l266QV/Gqb
3JY8lblKMN7Wrr21mqzT/BuwIWs36sucrBnNwSvX5i1eEQwIUc86fJvEV6Y3MVPGhS+wvmb14jVw
lGySla0s+9Mjjuth5YniV89RcbvTDF0GxZttfHaidN7gPAjDvc1OqgQo00/6GIRSVYduSr038vvi
pSyS4SYjEDFdVlgPWsSYeDtXdeGqhxp08EoZ7T2My9+iKaseW0r4yKBHPZXHjdmcvRiI0GqOipRg
ij1dWnZ7pC4xbz5ygdXNCmd//B5bHVnvXA8dQZgstp/NdGzebEHKLlDAyEdil/d0NkUkkFzHGTdu
0/KOtm1C6Hkq5I/KcdhGUR883RvYbE5BXZr7dia6Ra6wM7YArMDKA7oHkNU602cXd/W0ZuFsbJ2p
Hr6nIk/Bs9lEzDRWpUPazxo8WYfd/Otv2ThEQ2qk22/BgDeW/cBKUxL3xpfTdvCLlvXV1wWFAU3x
gvX7lsdFgiMzUpegiNE27RDFLoOIsC8LN6CLaaq7TQkGDzx86AVvtQVCiciQjphaHUrQcCH79iv2
2uYS0Kx4C6rKuw2FV98xvOQXFU35u+GDVFl7hfJ/z6Y5pj3AoEdwBOJ3P/reQFAp78YPP5nM6VSN
9jAhG1tDdopLQa0msNDp0CH//x7mUbsPSxMafWmAH8UOLGtEk9YP7sHlzQcCjv5Pw1LezygKWyDi
dILgnZnRLTZewXtNSMROxF4Ab3wZAiWwFefp+2xQQGAGRWjvhqkKeLbFUCXx/t/kJHKoSP18nRO7
w5O8PHwJVS7NqzRtDDoKb1M8qe9j5as7Sd3RM/mzs9Vg5gZqP3ifcZU0cH0dP7a32G2IhglvovJm
FoQLMxRpc2lRWsXJ1PA+527QrygKyYjk9Ol8HIeG1JACXpiyoxfuuxlZzbjqmw5wiZm0etWYZv27
YzTdQVdtclcREoRgoZu3NpjjH6pxg0NeZtbrYJnTvB4xBRxJU6huZ+mxStZF2UVHI6C46piVjXkQ
klUNVJ/JWgHw7z5ihmQyz23XX5LYLup95vkgAzJLpRdGguTgtVoc6tFsslUHtH9ruTH30GlpZoh7
gAsbgIYzJJzQnSn9lEDKSuLIp6JIUZeHkbscYSWLgOpS/4VheXmB7R6UmEl9D/wVg4S0YYlbxCfz
oC2v/O5XM/RBpuyOP8EucgIYtvFk9m1/LXKrfaP4fTpm4GK4qvLAX7s2TSm1hdKfjYPJFcMQ1VmZ
U32pggiIdwL+LFxXeZV+FlXexgcBhuNBVDRU0EtVY/jLSJI89kHxqwXqZvN1Kfaa9sKr0SZEc6e8
r0hAui4MoJHsFHOl+UzKjsC6SOlK8ElGo4r3XnZO8Ur0dBna6qQStkgb7PrOtIqUVx9U15iEwsrE
YDSNWSjT8EDxUNsp3hqu8WYRTOfB1aiPPJE+iUJCGCyTUJHWQ7RV8KRljuW668JhJVyqIGfdAb3L
4HIPqzaVdL+bmbel1Tc+K0FfbpsN84/Ct7zdPI5Ft1wjSavKPobwnHtZcgRgon6OUVbdRW3GSWKQ
EnhsoKK/FO4yU2DOySm55ylOWsJqH5zeAt3gdeFBmEN5gImojmU/xQ1FnsX4ilQrzH2RehVdZUOI
ougn7I28Ob8rA4dYg922c/QmYSFwAZQaf8iXOvMvSVXPFWjW4n90gv1DnerPMtX/K7/Y3/QodqP/
WMx66TrQ/FnMbvy/07L4tX/TsqzfTEdAFP6CFy+S1R9alpS/udK2BKtySTqPTe3fFH/b+s1B8BdL
vyKrY2/xcf2xDvd/4z/4dJ9/ucyWX/UvKFl4r/+iZFk2ZmzLlagTCGQobn8v1tJxU7csZsU+St0i
30Og1fPadCuDkVW6n2oKcbVOXKabOqP9JJvRPohbeVycHQ5F7QJrDJRNMnrghhymPcS7+qWfy005
ENiVMnM3MTjso+QK/D1O+u5opomNtt5FRkJteckXa/Dd+Qhfx88IWiXmjRnb3pWwJR4EcjqELYcY
btnzU7AaiFep14+g1PTBKOv2Z4TIsu64zbLtLJJgkweWfw+APblESLrbSaRcZ2Xf7Aphg2PqimSr
utQ/p7YVrIN4bkke4vaJUzv4kRYeoTCX4R1TQOjsq6k3n4g0Jw9Z7TUkI1mUFgRoyPh2ej4BEhQb
ZjG1ExSk0ESVR0slnWg/wZLyg+oIxmPhN9zCIzBQeh07FO5Y4DwfdZ5GG6+pq+vgO/V3k3Zp4kPm
xZm9j44AKfCPlHM0P7B7oF1cnmd3eowNbNiu019Zvd5x06BgzJFwUFokbC9qj6CnwKJUhpfniAJF
jXVt1CRH6Sl47lBMKWzKhxCUqZPQ75ye22z04fsUzoZ0dIf+AiQDDPzEXqMLWnMAHCuqT+50093U
tuFHkI7uMYVnc52VxSE+C8N7zh3CasB/1GH0DJKvcZwTButsOq78LjNXYpH6vGKUh0E1RFSjfngZ
2BpYhO9c8DHjTE+8bVgXU/rGsRKN8bsia48A5wrMb57A70zs803nHnkj0etVEcVEwjxekS3WhORH
4pHDNvlUHhCfFtu0G5d7E7DKx+AK70FWPksgajO/t3X1rcOSTs58lnuuxtmt4O52ZZTwXitwTKs6
ic1LmTTykuZ9tGksL8bFO16w9kWXwRzLXdvYxiEwdbYPI0c88oBmBBiTogLcnfGJhqVGvUrYUxEY
w9canaWyC8DI2pIFnYhzW03QQVP52lFJJdbwW+Jj1STT05hE47HQyrpyieudbeTWw6ft+vrEssRZ
Y8pL90M2dx+adqZLyOx+wOBiPyvTN8g36UqTJk/bj5yrZbvO0lk1a3rlCV8HZoZZINSgozZkPQia
EQcEO64pVg816HZ6UUcIngZ/TOl6+jp4XvHqVAbXJWXwVjTZKGM4FKw6yfnb1ZlrP456NRQnmQoW
PQkNYBwXFo/+RCT3aczg4s8OJYTd3F0GLzCvPOmR5gRNhU/BXFknJ+sUI01jVb+bgYgezA5z/kpY
AJmHlggWVACzXdmWNM4FoWCmXEtXFn9omT6I2S7vwmHOrgp25LYLx3JLOjEnVO6MBykJCe87Q9eP
PjGwB186KGPkKNdD3TFsK+nbO4wS3AgDL08uIg3FTlaTd7FiNZ7Ntov3WJK6S2nW+i5GZf1wayZj
7mvcRNZieqlDpwrWLpf/Z6stxHdLzNU+1LhIcRy2T26JEJU4qMtJbiV7mVh8t6YlMxdGuX4kazU+
sgnTEIiqtiM0LyWTvbcl73cwGrM9yGqIL/BQTHrSXbKElAZcLS8orgn5k9fG8PQrxeDVT20ziK/w
LGBpnX3jSU69AFkm3FcrbAwXSKZOz4Q+6XruAIXiG+YjvRQ+llkIZtHS9asL029j1GP7msR9woeC
lMcqhzK8tS2osikuHCw5WbyDdwZsbo4UubuWAdlQInpyZEFvROzDsbN9PR0XXO0lKpJ5PwGS2cMP
9dklt/MmslLyMNDW3png5a5Ror81QRte+cfwWHdavieaFEIRtfGuwwpyLzy8GlRjl99RfoadY4ni
QwB3/Qj8orj23pDs2aUwi80sDrLUg/E0tDZCg0HTKTc1qsmbonDWbp7F8HRyIoGD02DM8dujM1vF
tcY3sk6z5HfRjj4KvDpRyMgZz1OtCKuP2p6bEf6EvEVNQqpnnI5+LKNnChOHn6Uy9cZr7XHfEXsD
9dMT7dh6E6DCFUUwRLhbR+udMdlLbWlr15daUto3Oya3yB4yRe5ji0VXLg8ube24rN2VY7+3U3ty
keTvrGqAxUgsRSbRHbJUe+Co3loTw3yR4iIL6gIFpGVXbo15WW9b0K5gDE3Xzk+Z3RH14z0pcLFS
yojWCkAk69L8iO1z+btYEWDOEXpb3LYfrNM4mftKNmtf2yNSvYlfqFXzxJwg5q1otLsrg2K4QWN1
6adkm3MYrRqfkU/iF1R4sNLpTc5LGKLo1RUhpv5e93bG1lXUyzKoOI01L0/JZx5Rq7D5xNbOHRZt
ezOhEqItltPZ0oKAyDwfvGGcWeaK/J3p9Ae3dn5bmixHqQ66wELgl8ahqxQSCVlSF4oOTr9qPTqG
fVNu1p+ctDKfnGlQ0IshMz3EspxIufsumQs3Np0NmwXqJfuEZJAwjV9j2HonCz7YK9+P5iL9uj/Y
87JbjvrqR9EVw8EXNT1+op7Za7oYIeLyGmZWu8pzxPFoKMIn3oCC11TAj2+y1v/0xUQ4STXxvRWN
6Yb/EViKGq19TRD+mtuleVF4dd/1YA7bIQY+szaNYah3WqTqILwOyY666eBXYRB/Dg0jQL7InIZt
WYvJKPJ1srV8wLN7j/rZY0niBy0ni5ItZTjDocSICyJDlV6+N4KyunG/SMq7PKI8fWMUOb54joF1
fDShDPgb0TSpfgjGsT3h7M5x0tnJz4ITZ6IokZ7OfGyQnoFgv9jModuU6+6amJn1rOSQ78A5zB3/
LEF2hnGys1MhYf8kWOWDRRH3RXIwi0Rse8nKBTXuAY7dqqxxvI+tOrbVWFEpC3XeN4E4d1wtGOAz
GruVHn/oZBx/6Vr8YP5rP2Q+fHr1wjNznah6CIzIO/RzDxlBJsm6rGx9kTaB2qY2B8riAFlUITKh
VHGx1jmPJ2X29slu/Gcx64KpTmdb0Rs+tdalgrABYy6vaQNwc7fcxapPzmlZwvezQqhilTawlBfd
XruWhxOy9FD9pvAHqxwcnC1GmDKebd6GvngGXuvdJbYfXc0iHvdqHrqdkRbW2otB80dUCV7skkfn
OhULf8rpcqp4hiA6TYYE7ycRGdpRNt8tlsxbTC3htUjQZ4iHUabMEbWqVOre9xWZayMP7W3UGHQY
5MDi19qnLzRGmAeknNvNloIFo4JqpCXcZjPepUBb6O+kq5z0YeWcpd8OW6sdob+OnvVEWSxNQrXp
3vWGACpAuyAgEm29IuRVq5otwiHzBn1M8rC6SnDU1qr32GRicTGSdxfY3qHRWX0zbbuD9IEy4CSl
XPk0er/yoGPi9lpaEGmXFFsHStkJHop/kGHXc7RAmvRL2g485cJBycoChlxpbhtTisOckRgPmsnZ
4f03j+VQWxuHHDaPmqkkBLYsYVG/x4syu0fUEMLHNR2Xck5xBrVvRlhtcDfF98MEpWGgPsKOKvfF
LvGIeH7bbpKKoaX2pFrXwhxPQJ+XLveSBSPgb41phG0LQ7wBikP1KGpFl+ubmbFRMJ3ZBRTQhfwN
WMdQAB/+kzir+C+mmr/OaX8x1RiwQlJtJvGBPR87MtvNNsYQSJbEPhF7NyXNX2rjpQnE+OxbVvA+
+UP9IGIwhP4kmm9holN2lVzwKdYQ0T7up/p5pD9lZ7oGoQqZsSdqA+NaDi0k38ZPBDQY3gGMlA5X
CSMUybtDNZXBpaYkwEiYdc9SwNmiX599Kkl/j0DrbmxjrB6MNFcHMHqvfaMWjkPtbsMmsN5F38tz
Z+EjThcmpFzWmmXmuvdOnpEKcGnD2dDBAVIwlvKDm3q0d8VAqDHVn2A2rnQtPjncUFZTVmYbAH4T
aLx4eoTxeaEWY74kSCjcwH1UKtNqkWOzIcbLChlw5tiOWveH6GgPZse4LEangkvhQs6u3mbQMWJT
Jz74mTb2hgs4kwlmNbddVgHCe6wqNTyofE5JOXAc3MFtFj9dzEM/6hAsS+0YcquRqW/VnOFDwuAL
Y9QjLgTLzjs7XW8cXJGFG5XOVbMWfp/MsGTM8eegxncKFxqWmG6yc9oiB7PYwOKk7n7lsTRY2e2c
kLhyfegvJHbgBbqsqfpqUFuyTsnDnJU8odF+TyHz6zUx25DQ5DgkN77owXEMRn2E0TkcZxYVOHUn
9auOO66Chdbjc1xoF7cD9wW99puyl2vfMqqLWO7Zw9eVO/+6fkOjMM48hbmUp7VWW15IsQPvCv7P
1HH8YC83efvrUg+RyTpZXzd9M6UluF/u/9rwu0uwzATZMh2A0KFcIx8E5S+R4T+oVFO/XgXquVgG
jPZr1vC4mXEYLSOI/TWN9Mtggpamr8XXtBIug4tuYx7WngbYFU9Bs7X7xgCLtrSOfI08/tf4Y8m2
rA9dI0cAaJ51GluX6I9Tw6dtMz64JMtSnL+W/GTDIFYBDb0rUQ7d1cE3tgebi4XDX+atuZmf6tbx
NrlR3wxocYfa4AWDaV7dSO446yrhprygpYxVxVX4JEfYJkPMkOa0YUdWOu3rdexzDVv5vA/rODKt
N/JY7rr3bUA9ICFfG94DQJ3LyJgtwyPxBOZIHADZXZx1KAUMmQ5h5DWoByZP72sKDZaBtCZgs2+W
IbVfxlWiRKTMmGDrZZRNlqG2WMZbfshl0GXkbZfhN1/GYJxGbO+W0dg1Iv9b6QAfY0nz3VsG6H4Z
pedlqAakVu79r0l7XobueBm/g2UQn75mcnAgNnUrDOoE3cS5W4b3cRnju6+Jvl2G+3IZ8+dl4E85
pIuw478OSzFp/6UMZItI0C9ygbsIBwLq9T+pP3L+6nW1HEGHsgUjgKZLnLUkOf/sUlTUzjEkNMZ+
AsB1KlFvOxH6dMCT56bcKkW3sN2r6SyGA7KTIJKS3t0PUBa+KQAf5bqtZPRjGnp9KnJnOhu+pa4+
at47F4Pq1fbrC51BatubwUwTkq1vbdHBgCUVkvGephDzJzllB7Nj6KRJIGUN7RGUPymfaOC2m/ip
7EAM3KzCufxs555yEJJSJP7n5SAjCM2Zln6db9CrOOucr3MvXo7AYDkM/yRu/ne+UmJBf+d5+/cn
EJdpschcJHj+/gULWlZTzjj5e/xBT/O7/d58Gu/NTd+rR0Lv5YOR/5M6sf9SpMifaJmkdJbMEEel
/MufqBFYEMeTcI/FJqR5RiUdSc90us/GhM4PbtL1uZ0a0mNWlMXfLXfutmCGs1/kI0cQgfBmdmWq
cd8JyY16O4c2z3BaXaS5h6JgvKmu9p5hafCoA3YEmotWZz8jFTO1h7GpmotdtNnJK+fxyE2G8wk5
ZeVJ/9aPs78nihkhNhQQARyr2U1Kk2KlXuMDE1h4VDrMj0Pj+nv4oMZLkej2ghUqIws+AD3KAcuc
0ezrpxhSErG2JM1wUox6k45J++pE9nJ+FSJ/+9+V9P8PW0//x3j3Kf5s/6FWz6/8m1YvfwtcH4+o
xCtKvBvoyR++U5uAmkmA2bYhd/1JqyfCLXzp8wsAq9DEu8j7f2j11m8B3xXc+RJAiOt5/5I7X1rL
He/PxmpyWyTgoGjw25EfsP9yBzQLM41CY5r3heUgW+cI4iVnE1hN2mjcHkSeG3pvfE3NfKNaL+Hb
oDI6oKOppTcMwwWm9bBuhidt6sCmZIDW8S43ijt/7Jf9ZtzdQBTQtGRVBKvxN+E+mPLkENOSdOYH
KjbkYfRBB9gc7yaUyfHiVWZ7riFZJg8uJiZKvjw7Tph3U4lpVUoltmlc5TdYwe6EZWua2C/K2Rbb
sTHLYF9JRiYQawlmNVwpLJz9NPUPZkA90AGQRHoberc50LIg6ZMYy3eydGOw7kMLG6NaYBO+CpeV
t90/S+WBW4DRTaWgphJir91apmsyq1jdNEzpnet4Ay5au5HVjpZWpwJlGCb3SWexu6AK3Sk2kaxn
Cg8yABgopiMyAPu6UB7ShWpzcED7l9uwdRLOWE97lNTGpfGB9TQI0Nan5FKFrEUb1IWLEhicV21V
yeQ8UoUwb/x86hBwbNl6uDTpmWOzGfrvka76b7nItMN6o6t+CvI+v2JHGsaaq3MNrCyZADpTRUAF
V6CaVQ+nFBG5HrODZQh9NWYDMAu59N/tIgarl6VxlG+nRhvvqnEmYxM2VBztHehTV0O4KC7CiXLM
Gwo9DyzFkD9Xdj5w3+jMrl2zgqDxEI6I9curzWBZJVj5t1l2drjrjQYMcshQtU+SNkFCqFkM0Bqb
zRTehEZwtqiE2Vk1RlTRqsWgZ9TXeEDBsruqucWpb943JLQNyHFpoTe56/pbqH31p6m68d4cUrtf
s9oXa45pYCwk1LeUOtNoNNaY0hKmmtU8gVvpnKbaVa417eIoo8hsCqc7MyrBD6DAv451lbxR0cf2
yJ59bram779zzZifrGocr2WExdHpMJFkVqAfUotTP8/oY3LqJrvr6ZfZ9fxerMPA7oYWfiallnp1
pzQX+6TY6rkF6Q3X9s5AEFsctuHJsrrqIIo42JW2V7KQj4vX1sL/Rw3Ki2ezBMLnDvYmoKpmOHOT
4JPPxmrCloZrKhiA3iYLVkb3pr9J/ESdyfSbmxBp76WOSmpI+n482R2Ik1jOw7oBYTOtvKkN1lbh
8PpnIoyulmvNj7YYMFqVqF981u19LVJZb2Iub798YO2PIP3EJu1d62mO9PyKydY75HJB/uq0kXAO
xrp8zZko3hw6NV6zqoMQFLfpqwSfTjdqf3AgOT6kJlPlWmWddyUt3nxr6Al5LAvH+tRB6FbrRsjg
SSQoUWWcJ+Y6LRhxVgFnSrYaUzvdantCGmb7+KnnlHKV2lDOixANmsGQZ5tWDwXpnlQ++Ci7HylX
+m1cuGG0oVQcPdKXeFRrkPrcgfMfUoXoVVVjCnDLhjs9pLLEVxaYaf1LAEJ6XT4Iz/Ys51+x1Lre
+NrMX2a0hcepGBejnTGsxrgr2jWbDM3fk6U7TFHf+mbbjBMwtMfS3QR5Ht4TpexPE2fELWRt87OI
s5Hd5DBOb1lQ5t1KcTQfbNJ/EWVHof0rayt8NYo8O0CKTHjP4CNwOvdMgbAN3Yi7YVR+eq3Dt59h
FgyAX+dXEzaoYD1QtlTX+OOFub3D8zcvXS91B4GRqi6IrfRqCJ+xjI0YvgUuRDvmAMweDlXXJ9Rc
KIZtzsizKa1+hg/tuw1abNwvt9Vcr2hkw5LuUUW39juhbpHIqfCsRrBBdBaopxTNeOt5gIQZ5ryz
7eXhLcod5xuaWXaiVTP8MLR6MutivKRRT3a/Nqf0kRLArDhUGvgw7neBD9EGaMCtldpWWA3iaGFX
v3iZ393lTRZjQSXSSZHDGNxDS2ECS2cDeG6VO/Oj9lSkDyLpuicsNPlzTKneh0hhGgxDJM+sWk3I
vak+JVwkL7lgL5VkfYEbq4dZm2Vj8FCUE3TqanRPDFEGaQ1qIooVhLDEwErYecYObwVFW8QGmju+
CuLFi1X1GDUpl7Vu8E5Y+4rPkS6LT0yF/R62Aj+ztu32h9V1BGurRDwPVuJDHKNl3W9iH5JfW/8e
hZH+JD3MZT2y3c5fZwbbrNU86Pbg0W5DA1CXY+q0yl+hqtoMpZpKc7xpeKuY4qaNcJV7ZMVVXVKd
2buqWV7RyU7o9NJutetA9B9jbv2PhnQMkgGmX9S7ZMx43vp1wPYPt3u2aiy3sFaxHjT73ByBIAbc
e4u7qf9lD2RJH6wMzC6fOycbeHpK9muJkyJKQP9uiynlyd6q9rGsZBGsFXM6bsVUOusMkRT8aN/w
8Bq87F6pMdrJuKhOsUvfCFuNVPyQGBvVymAkBJVo28k5cCcd7IQYzBdP5skrz2yYTG1Sd+xSgmpg
xjTcc5779R7mXfASxGTBmOAxm9KbEpXrTPQLhjecaa8bVPkMPpSqKVxe6XluKC47x+Vkv0F19MYN
pshjojwawmgFrE7Dck/v6HO4jaYvTk4QZ7tQmcba8oGjztWsr3OpeEECDt2VIbvuzQ0aCqf9YX4z
devRbduURzX7eHkATt2CsHEusrWZIiZPeW+daMEjd9rmOuRGjhuy+KpRg+M4uc/DJnurAsu748LW
OPsQxQWrpArySzD1/rdgJoQyJt67SRZyP3n0W9O/zcc5cuZN0NbOMyj+7BjjywR+hTmChSwWyBf2
X325rWmc2rOhyL+VkalfBUcnPUCirc8BJt9t3M2muQLeOh7EmMcnOlj64zQZAPk7evDC0NglVKQ1
K4gfFCcmeviYxATRKsko/8HLmn3zKRf9spH5hzY0gX/h5hWsyc3hZ+gqKFxjum65GG3NOrEBvqvP
Mqn9g9Z8/Hvm/7PV+c/OFII8BvxsyaF+a+Gn7AenBQwjB58TKx1ccz8aquJsyqP8KeFj8taM5kiv
/TAfCOcMxdayrYS4djCMJyz7Qbqu4AhHW5yXznuguul7DaM+gZ2TsJfSecCpnhbEv8lZ1GG8jmIu
OlQkoPbyNkMqB0pPpVxf59+SxtO8iAE2y4k2Y7kPF6f1HPfZNf2yXweLE7uaDOPqYc4mxy2v0eLX
Tr6s29Xi4u4d3W+sL2t3vbi868XvDcLFPqSLBzytonYXmVSG5clgP2vnGC6QlZnAPpxO904VJqKI
qZ2tLlrWJAG9fLKMiyMwcOzWeBKvyu9qyHXWvSwS6x5UUwhbwNSP4WJZzxbzOmYEfOydxTMW+v3i
b5eNlpthMb33i/3dYv1yiWhxyraGWkzyBaGhu3bmsrhqGWde3S9D/fxlrhdTaXhnwOsd9vbW8zf2
4sSHyAqNlT6IWy3ZXG3snlvizmrKHKqZAWh65S6+fjbAwb0mTnKN5GL7J+gw2Rxi43xi+dC8K8/y
XnyoSBcvl8QGnHLwXpVXuY8cdmxtisaMv/EFNnfUIJZcob/CB0sMQS6BhDpziYnwc4oNWot/EvzF
fwXeUGB90RFU+Yz75rGkLzCBZL+EHnDNKPNQL1kIWy2xiCKv7ZJTc7KMTa/YvK8iPP6Y7VjfEAOL
IuLEvZLJFu+AK3AvOsYnJZPqqYzC2V533Nk3NXbAh1nm/beKAkv6oIapvOt9ycLc97o1RUJccSZn
MB985eXfFCpGR3gM4taDKmOT4t0GjPzGjR2SFIER0ndtDSP0LbOM2bqMNXtOvhEBaYZBBG8h5Ihw
NcgQt06G7xbNDbm9Ohm5Y0DvKicaOLzZelMKtXvfeaZP9xWKLyunKHmpDL+YHgtoTf2OjanzS0El
qmDTFu20C80OeCN+nIjiP9JF8UNnO4wceV6R5vFja+ahlweaZ9V04ztDNaVdqJHmdiosWk5/WPHD
oaW85DySOH/jWHJvXsXjIEnD4FwOU/c0TplCw8/nNz1H0iBkk4zA0mFdrVtqEnBbNB7o3f9d9eP/
saER5cBd8K7/2ND4/DP/hBlZfv7FzvjHr/wPO6MtAH8Gjsfv98Xj+QPvIwH/kIslE/vvydz/NDRa
AdwDhLTAdTBtMWz9p0higaBFUkE+ATNmLyrJv2Jo5Hf8q0jiurYF+BXVMFhoBn/RdZOMwclONWUN
ZnfzABkcim5kmkRc2AVGoX8CPeGxDiLoQNRxglyXqx3AE7goMxJBUBHs3A7e4tTILe0+KvA4MNLC
8kijJJaKPBvv2at4dyx35dEIA65g2PV/tCKsdqBYU9bN3M6/qwSQ1V1qkmIGVckTHaZg/NrVpbpr
qrZqNz22aVq4GfbOEjkRRrkmJDFG8KoPaUp7RBaRk+17h7GEVkrq5Od2OxHo9SlEe/cIuazdqgah
yctBsfwAafXAwZwQuJnrbF20DoZAVaUEPTBArUsea/NK5CPgasPxjXJdUrvxwGIB90TqMLFvYiNg
60v7Y7kf0aBeiOEQizD9mSS9pHupDtLw2ewSGH3CzADF8aiM75cOPbJWBsRMchp28tDl+fAKkCfJ
tvSxmOfRJAEx6OnemqyBMgKlf69Mcj/cQxEzVK7UA2scjAk4aYb1lFvua2jSO9/ZtvEcZ9J8NyqK
I1aeLYcjZFX9OISLg4Xm2h/+hNK0jrxx+cHJiwFUIZgEDc2t/PZQYV+8mHQUc1fGJ/Mdgqh7BI7g
tIw2puCH9AMMO/jZ9xl0iwdRBHS9cJhOG2QcboO+QftA5Hp4jSjsI09rYR6K8U5xiTxVRN5wDwgc
97T1ogkn9BHSA2yBZZnLS0F1FVFD8iafEeW3Jz1JfccHqk9DFs61QbZmwOWXY/6K22AzjKoi2GcN
PMMYx6VRJK81O+fNPBrNmXVQTiOXhEHjj80Dm1Moc0U1oRBp+4HsornN/TQ6sKCmLsTBFSMMOp4L
gPMf9BLOp9iJwmvFkHQ3pXxQ20rL711WjjvTHtUxq8gQF6X/3DSaZHpbrXHyxlcmJwQ1rp0vZNPC
XdT7zmdi9dOZHaOzjmz6lTw24Qha6o1YxbeCVMbKkiM3p2Z4pQEasBJdZ6WzlYGbPBWjPrRjeq25
T/UxpL16F8kZ5a3kCUI3IN6ZHvONW6J6QcYT2GwxYyTPfA/knbIK74YdzqPMoxvTU0530LuSJtfJ
Lq2yTWVbtk+hmEd7Uz3aRbSCrD49CbJKh4zP1L3Jy0euFbs/j60gwfxgk5kuKs/5N+bOrLt1JLvS
f8XLz0YujBHAgx+aBDiJkihq1guWpCsF5nn+9f0xM9t1K11V7Wq77dJDrrwr85IiGECcOGfvbz9B
nLRvnNy1dgaeLYnxCAR6KMf4m7DCatOMuD4QOoXtB5hCdbkpXe9BFka1TjqqvpUS+HhXrJP5FNlx
dGfD3fQvKgWDdA00INVUK9OfOxWfJ5KVaPHMUY46RgyvVZxUN3FMuuOsF84NjMKYNCdrWHilrPaB
Xhlnz2QQ5i615dG+dYYH15vMxz6X405ABfrwsjh/mDsUTAiHEvuD9R1/M8O2rJXrGCh3itmM3o0w
s4lzgHlFE5jx+m1i412f9dx0VlaSW/UmJYt9OxIUA0uQLLZtBd75NqJofRhyUx3CxjHv07y1jmBi
0HtwUcQJQbcB/Uog70I3qextr/fqdhkT425olNgmY9wdCY7JPxOWMN9qaJlPbdl2xyxtLfI+l3rn
Iiy6MpLMvSmKnFgUcIoczaUV6lcirEhJqEd15RhDcqRNl4L3cOj6oe1Cf6QxCia+Q2QaiChD3oCf
z+/cRuln25zoAzH0tKJDtYzyUWW5bhFYOzefI4c87CE6wXY6818CyGp6a+4hqWfCpN2kJHgOgxlx
pFqZbi/moDZIYzc6WGj7aH8XN3rSIHk0MHz7lTWBFfE6YzcR43UnEuboDjdu0KJ52jb8Y2WMS3Hf
Dha+TFD4hP16twOJHtfplGPwsrz4GltUujHMcjnUgLuvlMjNnQRN8JEu9COHwaFqK8JuS/dLXrWk
cTCbVuIYejVDI+bJa55FxRUtjmRZl04/BjLPP0BBlwFcTFqvRIA/I0nYCLd/TgQnS259YkVwt0S1
iSIMkNoPu8SR3VYyEC3REhHK1fVQalTMQBhjza63Tu/Y+8KIbzmRSp9Rg3ZnaIXczcAm9koLDxeB
BcAVMemocbX5BTc5XYoQrtydGTJY8ZXS0CrC9FqK7AGt5LTJSVzZ4I18yXRaQqS/G8iD4o9EG8bs
YDKKpJvk9ak/Knv0Vnq/TJsutIezMdjJ9TRoFZS6qrtpTBMdk/PWT9WOkAgyl1oOnO3U9ut8nowb
tzSPht0tLkhtIOUr0XDqJ/OrxLJK2MqVaRUuCrdqmcF7OWG2jSOdf+1LO9/WVnJo0hDlfejQmPaX
SEdEaLjdnK/iciRyt8ne8znLDyIT/auFgAzWczTH18lM7jxIA3xKhUUuR91x0l3q0WXobnMukMPU
X+W0r3NCMhqgrzMd4aXXrC9Y2kMcsMUDJberLqKY0VS2rsY+xmNZtewDsdmWpPCg0yAJNEvEZ1HS
tGDOOd7GaURHr4BZJHEgrDyvJzfGMq/h8t7ysWgaKmdOHqxWr9EWet2Ib5lZx1MYRj88lvvr4gif
sufaifADpG19MXqF9RnJVkzWk5NbsDwp9wsLHAUzKaDrQ7y8aqrWA0XL/MAsgsMBRTxGgLGb15bX
AFxyU+ejZbLypnjjlTKYyLoeTpA81yRDmap5LCUuKCWyIGsl/Lgm709VEqqny3xgm2PL/GZKnCGa
tKsN7XOHvPQMG+su61SzGwvAbquhaio8DcWgIxG0ixN7wLjts3S4cR13ORBfYT/FC5OFqdWmQ226
SJbqWt9XudOxIUnnuEBqQ0pixpdcG66V43XLJ/IMfcdxqPUtZwk3MIcHhBSGs0XMskUs+kirhiOL
Qw6yM9brCuqr2Tq+1Dm+ueg/sM7nCNzG5suygUU5JUsxnURg6gJ0eF34eTfmvi00X5jznYai8FCW
9AXSanYAB4blu8PzbN3alBROm8NQdwt9U3XA6c3F7FZJg/EeNL9xVAQ2bfKqDa+By9C6wcCzqdAI
c/Bv0DAQLqOG/so052/DaGlhAtHTJ0wlgnjFDEURrgp6kJRaNx4ElE0BOeqqW1S01chZu6BZGVo0
xvDQhU33ONt9tp7iadiMBsMbBaJBYochzkkkfjhM5IKPygrSS8wsWhtvQ69xitaWNb3yl4ZjnMvl
g/yXKQgxvm/sSBVHvUqtixyGUGJb9OTQgpCSmypK7cBBY7grYjs6kDAo76qBvTzsK/2KFPP01nRk
djOTUHuH48mlf1KkR2Q3KUwAOgQn7lC0SMRrNUfOIfldoUzna9GBPtsE+t5ak2ncOL0pgAJnzpcX
hR6pnt6FiR/F91ZT1+jnhT2uoJLFr5qRd9c8NrN9vaSjj1LlE8mKt5NFkvnKTvqbzjbcV9vuiF1j
Zsiclo2eushKcOXMNXGqTM/ifZkrsnQjp5p5epBoqBY0Oxnz5Z3XSLHXHDmfQ4AQCwPD/lDGMvQL
BL0HPEjz04gZ4nbKo5dSyPCkw2h7HXW33lmyiqHYW4AiqcFnldQbGQsjyBvI0nNklDeNTNjpqlDB
dbRQZiPW9HtPYDnKU+cZdg1O+9iFlt3zwKN+LF+iInbemG2kB9TjLOCmtY+u0cG7XlRPn76NVXTH
6AAORi96ODLL9Bky6CHtmn0vdE3eeW4v0lb28YlgvKtS1o+iG9Szq4VUmbnQ/Z6CCB3tfiE1Jvcu
IbJ59j4NQJDYUVFEW5S8vu70MPx1zdexpDIRvAQ5V+NnHI/9Q4ow/pA048yyHoa9BcYd+VWfBWab
6v6Up+FujNy1p19GHnWW7GX2Awk2iCC3gr1Q8lKUsMSWj1nzOWvRfJUNQjEqjLN0Y4644kLyWQP4
ZuWmWEYunz3atxrUzy2ZVM1p7OlORaKsPnQWzE2fGsM+MbH8x0zgVhx9KCdqD/26nLvrnBHCelLx
fB+GcUu9kGTvjCMXPkqVBXmxRJ8cxkzgMo3hg7u2V4PX1Y94r8czTlRau3g5jNdCltpbLr1+U8d6
tXMmUDZkIGSVB54o59DTucapcfGrhgMTVDct8/XgeenGBXPHGHssxcJJbojXVcv3RVpV+jIX08jK
GsW21AqyPcP+2qKZKMA3yBJAiuhhXQyx++1R8A+dd5wKj9evuvU0FDSqkUtRnuqHVDQ6PNL8qx6n
3aigql+wJsIY4lPMlrhKs2ImdkiqzWw39R7lX7cn6697xX4/vC+DgbCMpJMnJKvescQs8KlRM4GV
6ot+PaDgQxqk7AB3gry2lqw6QtbKX6Ub9tRGjrMvdUra3tJwUXvzpAUGHmFMNYsDEL8g7eNYk1vJ
cCQGbY470GFAgheLUr90N2GTuFiTZmET0MAwZSZR880TmkDcTtzRU0WJdEmy8G6wAmYvNYLL7RzB
WBKmNb0L2rXsHWlhnLL+0oqzi+VOadpwSJ1lutPadiTdb0yHNf4LMwjRKe8XOhVnL/eadzWH8Ran
ePVSsb/xiG+tvZztPCCSsblmTKcTfIp4KeiRLuAHr8u7zmGIdVGFNl/6ooYHjUBOuWoHu70WiNGD
sScufkWkpPuatdbF52J+x2nhHYDkh9g45tg6oUnU0clb8RMPDvpwettHfqU5/fUkF/PQhCYAgHnO
X3o0tp8gBLNTwe1OolxW3oTN4NxkOJIZolzcI2VEx5UIRrM9pZg/bymuk+oiup53TWLyqKnZRM+q
rAkUI/Mv21cid7epsTT3SUUNC12GAWJO6o7vcYo5kkqP4SMr2kdBqgDBuVKSA52qJztx4y0DeMsl
OXJI9mMhTEY9+DNzyrMDRJ7xZVis4cGjCr3rzZHdZEmspxya18EbjORDyZ69KByXG2dx8CWkla6O
KM2M66Id6lVkQFF0kszZ69UAPwoFqAnRIxHO+2BrESSY1NLfsY6mNc2DZXpmhibptSReS+Ohs/U6
UF7ZX2lYGwKrdDnt1uQ5b6DdQH3AZfYaTSEhArJGsl/ZHAxc9JCza5a3SI5cRmSppFEOwMboB8fH
j5/f4FGlxEq6FsGyTOLhBfOY8B09iW5DKHPbBmOHXOFvEK9El2oUDYx+OqIMrgjapuqME1mutN6u
A1mHySmBbMlX675jmOMJhh92oWm10WfO4HwOY20S1zzQYxYhPq8V5oG0vbCLrFsj51syOvLSGi3L
H61Mh5rIVHAIcIWID2hOER6thHLJS4UAf6HVObgpg5DANYHjaz415a0mpvs4TLLrmHDItWNOBEZM
NjTI/97+7z+g+k3aF6Y5dBzTvgBgiUrF4v3Xm7x/mef+T/8LwLv//lcotn/xLX7rBpMthhjUxAVo
Ow4DAQOZ7e+w9wvQ1nAAMUKY/11K9xPQFmP7JXGMLo6NjelPkjkds7wteD0+zuUl/67UMcP6Yzf4
ApBE7MA0ELgKWxd6vp9VvixtOnJAI/C5PvZzee09GBu1QZ9MUNMlqf6Cat3o7dl6LJin9usleWzr
GFj0M+l5fsyN4w42hvf8zQtB60W7KMeOrG0wzWwHDhphm+8j92OeAElUCnRK/NyPbygVAm3GqKUv
95cm02jOtxaQHks7VO53Az1whyN7oBT/EeEeLJzjjNCsGK/Lpl+H4pvOyjptqFsRBxgCTiJePk83
boa88GfYhFk0b3ORwuCbiM5kTO9oW10kzSYxOsUkNLuZorfC45xbjB+6Vzy2nX6X1wsCcCVdhjVz
FbRI4+zis8tuhUtuYQ8TB58FcikCRDNmwMQxjtI8QSO7VxmQPKvhaWDuLsPoFKAMdJqjNZFg0VbV
bdujW6gVPW2IvyLRT3hxSURPEowq5ZeDbIr2s/2q81jhawqGUgWgRFZJOG7sNmXvn9dNR1q1aHza
QtdW3J06Yd0YofWZSnGaSn5XxocO/RyTjIuZ6dXCkdkLFIEzCPRslA1C5iuBgwpEX3xSecUGyUlk
ZbvxTQ2QPJmuf7pt/pIe2vijIPpy3+lS16UBzlkiIf/ztQXwoAXIiFx8WvJH+kHl2rbb0zQ4u4gB
uGOSVZJJcaDVss2qW4TsW8ewryAU9v6sI//O20srLvT2Is52qaYzfB83TQKrqg+tkzWU5Gk495bt
4LhIWr9GN1EXV3pvb5uquEL4ZjC5B9mHaX25c+hMgTkJGoN6hK8QMN633ThnJ32lvN4w3l7HxIaq
JCVJJlo3kI3r8ZIM0x7pgfsmHjzVaDvEj6fGaTaDZZ9m3TsKdqMJ/I434c2NuoekoqVtiO1C3WC8
CQfu8dIfmNTd6GSt4/pTbEdyilYeqxLOyaYa4P8W17LGiBg2K5qsH3k377JM36kRRWOvAfBN++W4
kKXmuuH7XDmbskAnzwuu8NegGzFm/Jn2s2mqm6R4MJvmuoFt0xrjQzG9LYkzXVXmfAnlNeQrkb84
nCIYSokVkCBMwglLZBT2Bn3Rrkauw4kPhFo+36oZZIQblmi6Oqu/qscaGdTy9reXiXkRqf8s2r2s
EviHFgJDog+8X41dP9GQ/xSNKcr0S2n9c8jlCxvjrW4iMgAajDLNmePrzdIPt6pt9sk4XRrCK4PG
ywa/CkZwL/HpzO2Zot9GJqHocXduXY+BTYcmIRq+K6f4v6xuum9/+L3BkwMF0XmAs8EY2Mn/fHW3
HI8qaqMwqGUjEZFYYAj4hZH1TT0lHmdkyHIR6naeixU2TA2nLCqj/p0kCeSD2zrKyLPTFmfV1CBF
KilZs8okDikmiSkh40JwWo+Hex6sWyubTnHS31ea8bhAjoBh/QP05n1uE5ZmuR3FZNOtsHjxxqIr
A7roPBoH81vvkdqortOQ6uOnTxboj1k1nqNhOKFTvKoEtW0sCiD5ISk2wnur5WKssH48CCO7HVCX
4WypvsEmRYFjVQ9jp317ZBWv3Vh8Y6u5J7H1JV/o5A4tzizju8qQ2NA08Ap+A1XvOQgTO+cx+3ae
UB1v8cF7K9l8jJG2n7F2l/kYtAbuyJGg4GhNzuBzUQEZw8pno9yj7XSNcfLUduwelY42xPV2mgET
Lurp1dJjQdDIc9x+WdL6UcXTbY/d1h963ORat7NoX9dK3zl1ce9E405Hy1J0yWeoV/dZ1B16Ey4i
fr4mccgick+q0PdlNZ5GG9dv5t7nholuNxc+NpXAA4gSgwZUkb7hqz/qBhxtkpDhzj5jAd4NEtaC
hFyH0rY8duEStDMKchTCmaTL3b4ky/0FvE6v3I/6K69K93Stn0klwEB1ib8lhmpTY+p00yWIUGTj
Zu6+04hTcCdOPV1V4G+vdU4IBHC4Ymea2a/ZfDXEF9k9J7m8Kxk6rTTA5gWiWaSkA0iEhCgwGyAB
5xk3R0njPdtthvyk/AElfAN2GSJIGR4L5pQrbyhPXZ3uQOttEhKwOeKeU5Vc2eY8+hj2VjX9Lyy1
Bn+/8ynaNxjT/FC1BTvTS2KOO2uadnlPSkhaxIgaO0reqHhRrXOcGusp69xy5YgXZ6kfJiITA1b1
vg7l92JaV2EfcQ7DPMpkWV3N8NzQRDFrJMgrCxx7OWJ7WkGRvMUD2Wxlo7/b7ULvYmzOpTW/pzVz
TfAML3pmRegFOYLHhFw0dvc4LO5hkGAHLD0OtHSfgoCABVQg/5nWZpQ8gHh76c3+Sp+mj3xC2K8V
0DIya6eNCOR0/ZQL5UOceKIPuXKbdN3Y3ln02rVKXznuoAsk7RpMYjvEdxbg05nVbiOsXWJwr1yx
afJQdFz6dvG27DBwGvU51D6GlBbBor9NxH0qc9oYvfeZ0P+n74ctwXHOofeVS7YML7C1m8a9qejB
WbdFf6ajfGq03O8tVCzWeZhhOyfuYz61SLZRe+E4J3eOdi8CueQrjWeQAQjJ2xfpPYwOkLLJXlkZ
/YnIN8zXXt1LhZnYbVaufYfeGYQYoSS9yXLRGNKfsfdUq2g56pgJOGgDqp53sbD3sCocjt3przRj
wf5wa4yf9Jlpb1gvHdhsMXNfp+aL650Yb0Iiu9MVLgaelaTPm+m6J4xMxR8jjKC8/56Scp1X3sdk
WdnGG9oPrRK7uFE7ZE4/hhHtS+9FyHlKj+DRVNF7Hn0UeKvOK919wix8hem3JdMzf4pnTQWTOds/
tMY0mFQD9LCkuxnL5Qrq80OkaukvifHgpdprOc/PZbo8kGB+WsJOQkJp4rVVWGTtdGkWMCsoGKMV
vT+MxWfZL1t3kbsOCxJoT4RyMBGoq6Z7xkBkpOtVMCJRynHldmjFeobiYgyZ6TI5XIT8yIfhANbm
y537BxjWpOEmJpKGWfklOl4yafI0COXFYgcDOhm6h8xaKO3obiz2sayQS+skyRhb1YkDs2zfKJtr
stF4+kKNqB2SALstpnvTt9EUb6A+4qwcGcUBYIkBejcafXKvQ9Cvzat/iZbQzGRPmVY53illALCi
AkOsl78AT2PUWTIJUm14tiLjwLWJA2TkAOEq8gFKKeGeFz2IQQ2cE260+/+q8+g/5EkTiwtJXJ4J
tI+DGyL3n2qhfxeoeXz/AR3tZy0RQSj//gV+VxWR/wXVzELoh48KPRBl1O/nSPMXBD065bVn8y/m
n0RFlvxFl0z1dOu3gOqLKYvOeBf96z9bJm4tSd1P4xqbpkPV9XdQ0pgE/VkxBAzepsLHgMgH/vn4
aGddCZm6i3bZKPOLl9YDXFbRyFy7Fd2rlQXt/0pqhUuTsWkPOpCtA3mP1CSD6AAMV+zRq8KdndxH
gAJhhIjmm9Zz5yfYth60JYC86AvSnMImZvme8ypp72Sq29NaJjm2W0tCAqMwZXTarCnIwqC19JAc
pqQ21cfgMgIFYFva11B/rAPI9vF9COfig3mJ0zJrTSp0IkVD4JIT4xHNhlbou3EW4q2ZU5wrVulN
83bG+QOpC+FOTXKtxrG3nlEm+n1lAPdKXBHfTZV01DpZmvrBkX1+j7BxAvrdDyGQzEa8mnOak8ts
zBo9YJO+ZpMsWbbh6RVd4pEi/bVOmEkgWtZ49HhpJ89TEQ/sllhhPxOHaZyX5PbB6JU6o/4ugguD
4B60Qf+soz04kT6an2VOcIjW2d4OffSyvRC5mNIz/jgOGObAyeBtsJADIUnAcL4ZiPzkyWX20aeH
mSvaaVkbeUFmioETRjouV5UmrO+RUdW9DhD1Kx7zHOmqqurXxUztW0anpN5EbcLwLLcT9SjtjFTU
vs+7U1R5pJISIscjbSLJBgPbPGzTDI4XaTDD+IjDT3vimYTrnl6s/gj4KZpxyNVzGsQ4tk+uiMyP
xBhriLZuvTbMjmf+pKv2RAfg0uOk+yuDvEIzieq7OyYFhKIVh5hiJ3FltHs7B6IEXLTo3nLoYw0k
kb79Unk4PThDSYXUMttic+g0dy3D3r0uq0YQIFkWWeZ3nm1u0zppvVsoqlmN5ziB7ofy2Y4IbshK
dAmLnOIVMZ2lHSQDzO8NRiP5VWBqoeGR1USRE89YLYGozcxYa16elExBwf5j9I9edBPaLDvIBI/c
mTgsctfM7Cljlo/IfCRFLBeWHkaMe5zrN4BiWVu8EfgsaKpnx4jqhqsv1Au6k/CbEZqcD01mhl8g
7bqdm9S98UkyHPpoZrUGB4k8ZEzJe3XlBkl+BF4vM40ju2rBqBBDwR43RPvZi2gKtKbqC1+Pc/7c
mq12NLS4TIOhJ8/ILpclOaFiFaTaTiHUu3HOH2sULj9mkOqvQD6Jg25gJFagTEDyG/DmNomupTZ0
/mLcV5HEQBNRuMLe1rCG+kCtMnetlykeHvoU/Wb2GGBRdMzulzc0gqSz1oNALzMHIuLUyTu9D9v9
IIYWRmres/tmXvvhNU77nCSRfmNPy7JhGNaVPowZwdS78Ya7iyr5eWwczl3OCKltwZpMmLgOyNRN
KthBQzgEdNUZNpIhQRAAQgGuRV4ijqZNWz3PeZteFUbqRLRyRGvRprFLMoEV+H86MgvGwwJ2FNaZ
EmQtGnFmbVKgGimHTw8BJFaWpJcciOYFaw/M8zNk8giVR1hWYZA587StleZsjSrT97JKaRuYfI2v
jZcuPyg5FFPxTueIkXfadS8jde1h6YPVVNryPOZVfD8MGjBVJnPGXh/FsrPbsDnH7gigA1QHrKex
0HxV9sXLJZQ1GBbSLtowDB+6nkfOGm3YsknSkfOp41XUy52Or2Sx3eQNIEJ5m2SNE7Q17g3gFdO+
D5vlx2V44q7niHCLbZpSaNFrmvnuiemLLKoPVb0S9pi+So6448FDi1bSwJYNtYbePfLtoInTZ2Xc
ckxt1wMOkvmgORMzoBESOT5YVEd+GGukreitNVas1aT8gIgiHjqbgSrY4t4z0RnWyZtR2tWLU4+c
M+u6uUSG9DZOXhsKT7Qu0wQsdydhhmzNSq+e2sRI0rPpAv7nK7F46CgdDpqlQbm4ipIZkNnA5V8C
FJ7aBHFkHrCHZCOlYaPPLXj+umquMZ0RgofEYk59qUzvpqll9jFFKvqOtKb0q1ZHp4fjk0FbZrHd
yCx1twn9V1D6qpRBOBsUgqqQMQIdNGK+VtbTwR5qekXWHGaHfhzg+ztDlrfrrOxKNFYm80pDgWMa
3HA6jVVtLb42a+l2yCN9b3RE5XIkzez1hBJj2tQk0R+txoBWY5adtdMJq9gO022DW1+tIhLPiVRs
h4XM96oK+jwvnJVe2zo50yJPPmSdFvDnratxYpS8gv/I3wKbUt9VqKuerQwSIzAIRGRq7jhhMFEG
TVMC5fEVAfAHbhunfM4hABJ40bU7KWiOQIxB+YB9FuAbYSkip35Ia89eRYWXHSJrBAICIA8ZV9yG
jk6UA8pRPoG2bQwMjtOdaZSgFHXAwxm7ARs1JPyMcv1KLeWFYBO6dHHb7syIdvi22Xy2lupAXHni
XTaj8BdyI3YLXqSd2bXtozU51g4hjuTWzdDjMxu2v+qYHgxA58E79Qbk1TQb+2kNnaM6GBxw4drF
PTA3tHorC9dv4wMrmI6LVYNIVKXue0MI6dLhQR4kY0EygjEx5VvbrqHhgxJGmK4jKDvbNpm9ZLXE
dbpfYlKyifrMDhNL7ei6HcYtL7av6Oe4NWkFffvisc781incT4GIpbg0QepbO8/cM1QiHNldVxgY
dkP0nJNm/vBYMH7YGsVdnTABr7MltgMsLfZOd7rqUS8I+hp7vv7Sq8nO4TCV05hPF+CIQunIVhN5
UxBi8mnEHRlwKJjKtWi6CuyyR7hmV3cPtUnO5KSM6iQ6MV0XUE/JqkwTddM6rWS0J6Pt6Pzas8RP
0lFzmfItX6xkXtOUnx6FHSM9djCifIVRHREjp1lHaDDIubKcu3A1IoBjAyV16XWwZxnIoXY5dFmo
mWo9VK9Sx6W+UvEwvWki0t7S3maQkXQJ+XXEZmwjt5K3l4bkwZvG9JvftzlJ1aIRXXqkQks1t5Rn
CGMRSjVu94AhJKe70o4O3h0Vu3SaSIm7c1XjbsgEGp8W0CkbSc/m3TMFpQae+xGZdxvSbEMAVDQM
Bi215asaj4biLOnLOGzu4sYSNeXLZUbRLRlPKrOcuiyocBHHMEO1vtz2Hc7xfdV0uvJRtIpskxmR
ccM8gVavHAe1MlvwMpt4yC+S6sZVFjKKxr1ihrHk69Ke2o7jqkcb1SX6FG2nWZNhGs5j8zp2cZP4
DSo+eiRLFl4jXbNKnxF5tGeFeKgkmdGgy5ZsaqPjGggqJNe/dXFurcg06HcmQTtPth3VZzqhbbpq
OA+dk9lGqW0MOEtNXV7FrePeGlOvf8VMqLMVq6AwA/bdi37V7Jnzpoxt74FPxiRzzJQEq7FpoyJQ
8YJEx9A4wpxcJx/IEx8ceyczs0QEntpMlrKhcOnPs1UM12aMaQ21R67UevJKuRXY6M5ZZla1v3ij
S3/Gy+zvJEfA7xckxD96jjaT9qHpP1w363t8uEgISMeDS0+xiiAJqXU9VcRYJQQ9tV0EmjhT3yb8
4nO3QEKavcrAShC35DAwQwkWWTZ3vQslrwGkdDSK1hWbmaot8e3JMAMvQkDp6n1KS0S04bs31uZZ
LygxAqpeT1s3uedkwVSJCbCCyrTvrM8XarS+2XsICQjdGTD0a2ExBY20uE1s9mWfld0bQZ3o5bvl
1ZV5YpCcBeEAFZI/TadSz4h7KKpyNFd61YTRilVlrslSi054Su29lbrqNsVu0FzMmdLgBGTSz2qs
ETCG5CXVYxLb/E4GCsSnapQukxZSc79LCFVnsslQw2Vg4H2cmz1CWW0hLXbiS24mZDxW0wUihMK6
RusNnnpWGPZVgeirX3TWYkW7d+XoqnqPMq25SqcFR/hkQLnUOgJCZluG8zbUUMJe41TRHgZt4FXc
CMevQi/JkYwz54WL2YeHkjX9OWfepfNrG+rMzl2R/mXG3hVDjAKIqk5m8DSV1lbXEL4OtUw2kj0k
UI1ZB3SB02lVJOhM7IT4Lk2nm+uVmEv6ue2v+aXtA1lf+gt1QB1AsicJyogtjZsmK7Eao6uje1rT
mKGT609J2p9Lm+nNKrcg86zCGjwRgQjxHaSLLDAqD1CR43rO1UVhHlDBhYEpwg/qVG+rc08GnOSR
G3qeejObvPuYdd2xVhr5ub6azRSRaCnv1GIAR+J0gH2i1LLtouX5eobd9jBN4Ym8BeOVMLjoDuwg
96U5SQZqwpkOLi6RnV1l6grXYMp1F/HBjTKPTrOMnW2Z6uZz3Sx0Hsu4FJcKHesPul7QcNK2L4Ej
KqGaTWP9w+ERs4spS4OUG6e9xqTSs4gsDscN81h6WHHSATFYsn1JsE68QvFdPpSKipcSTpyEmOx7
eykR8CCsPpUtMTAjiQ6kGCRieKi1ipYYT15zL5TrBpgnogduvfA1EibBfkiZIBV4CswamgpSrbJC
z2+Y+qFGDyNxGmxTNKsaVwHJMEJPrx3N6ncR2RM3sbmA9w6hhN02Wa1g5em55hMAJ/dhrmbAFn3S
3RPYET8S4TycwBk5n9y7xsnAkPJVE0i2abD8MFc1Z0bR2mgbz2ZXUtUbabJ3apFcMx7FtKQP9DLy
jucVSVaoUXs3T/ZZgXioL/J8G7o1PU1Pm/ZmJSowlfZ0pWV82FTyInTaC6LqOoVIycFa/9yw1UW8
GxA8ncm+H+tddk8Tz33ool7DZN1XwMQqhqybOk1AqVnmhLYZP8D6Urk4uDuj4sHIDQY+9pCcStv8
lhwGmSTWKeLUCXP9EZSVJKjWboIhTTFxA+oenwSbMt/lUiP/6oey+5ECvFr/C4fzrAoLK9tZM9HQ
qLinyWfeXmI6pRF+i6yHzmnmJTgK/qv6g/+/nYi/Z0RcunpB0cXdfNd/NfP5q+2z7t+yMi//9VTG
RfdQ/r/9T/+nKfeXX+ifvn595/9YQDPzyT9Tvfz6e/36S/+tl8ne+Wz9j69//WfT/UXQeaQ4Evqv
P8hosrJQv/9nshqISQD/5Rh4FfnBwcj7/XSZ/tqF+Nuf8bcr+rf/nz/7AJ+cW7vLN6HIuf+5u0pl
/h+7BH94hZ8uAV1TxwRea3DbXn7+cAm8X2j8ClqhF7vm/+AleP+Rx7DT266JP7ufLwGSavO374Xb
Q32V/7as/o51gFUVj6p+8aT+xYsgCJnFloDk6bcfms7/I+vgr14ECgLjj435v/dmMOxfJOg900Y7
9evPH1YCFwE3r4EB+LeL8NvK+++/Gf7qReAwov8Hb4c/vMafbgcLBZttGo5ncjl/fhQ4v8CNdAkZ
xtB8+fnH+/Qo8v6zn94Uv0CZuxio//Lz0OLi8NlB3v22Qv7hLoKFjJA5zn9uUxC/MO3636xdTW/b
MAz9K8YOO8d1PjoMK7C2QNt1yYKtwM6sLdRK7KaQYwzer9+jYqZV4qSZpWNi+5GiRD3KFimcRRJv
GrkzI+IwauSrY848/38/OMFZtjyL8x6LzDKsVlUXER+6QXhl/3rLKXfZlw9MHM6NTLgb2a8EfOG4
ieW9NxeFB62c9vG2gfuiHVnSKvnzVitDJs0be6Fp1ZxRCYrGJtXcUDQ3lKnK+bIYj8Zcw/FwuLAd
BUfxq4pKgWHL8Hc/+d0ZhZwEi93rZASGYVG2FdtkfbW9JdPsFmtIRlxZwRtZl5TmVHRaejhIEGr5
ivhGOFQ8+kjly+fonlB+XzsWArPwrOor5Z7MM0LUJQmUHe4bfvTGxjgtdoCH/NnaF/g7Laucsj9K
vQiYVXvyiXeY+qJPKcubbh8CfoDR/iPTUF8UtV6EeDFAZ87rrE5zZUzjgI+TGMGJr1nm9fOCHgXH
ar2JIHyBf9KC8PqMnFCdd8wHsMgvvVxqZ8JKBuejAH34QKUuohll9VuLJGfjMaJdX4vYc/O6ppaW
sH3xf6tqHV0qVLIpRFnuT2wtiQNoPyVM5piw1sYZ4+3Kw1f3m3oBdGdNM0Ege5YE4IublaMx46L2
uZioP72BlbeJIzOdrh7JRHcVSglllYCz/bFciOMQo/4rqvwdpie8ZkVN9xATpf67Mm44AOjBBPGw
NKu/zR5QyrB2R1ALHsB7u1N8RGnuCysLaTnyX/+GzAhuhq4WpBYdOUFJADNNuTpg7UYGA2Q6IaVI
BPZXfaqeEONQ43gFLMPwAYLJa1XkWrR8NcswgMcdTNTaaD8MwIdXfKypfiLjhtnWOiGc+CrPab3W
1Z6E9uTVAP1reeb4+aye64V3a8p74r9bkM0T/9Qdmp5iuuejPimHRxXpWm9uX9Dur0LlxWvXY+4S
m+9IC0Xm4h8AAAD//w==</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0-F0D7-4C69-A3D5-64B9650528B3}">
          <cx:dataLabels>
            <cx:visibility seriesName="0" categoryName="1" value="1"/>
            <cx:separator>
</cx:separator>
          </cx:dataLabels>
          <cx:dataId val="0"/>
          <cx:layoutPr>
            <cx:parentLabelLayout val="overlapping"/>
          </cx:layoutPr>
        </cx:series>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_xlchart.v5.15</cx:f>
        <cx:nf>_xlchart.v5.14</cx:nf>
      </cx:strDim>
      <cx:numDim type="colorVal">
        <cx:f>_xlchart.v5.17</cx:f>
        <cx:nf>_xlchart.v5.16</cx:nf>
      </cx:numDim>
    </cx:data>
  </cx:chartData>
  <cx:chart>
    <cx:plotArea>
      <cx:plotAreaRegion>
        <cx:plotSurface>
          <cx:spPr>
            <a:noFill/>
            <a:ln>
              <a:noFill/>
            </a:ln>
            <a:effectLst/>
          </cx:spPr>
        </cx:plotSurface>
        <cx:series layoutId="regionMap" uniqueId="{38622C2C-301B-47E5-A0F8-B92CBB0193DB}">
          <cx:dataLabels>
            <cx:visibility seriesName="0" categoryName="0" value="1"/>
          </cx:dataLabels>
          <cx:dataId val="0"/>
          <cx:layoutPr>
            <cx:geography cultureLanguage="en-US" cultureRegion="IN" attribution="Powered by Bing">
              <cx:geoCache provider="{E9337A44-BEBE-4D9F-B70C-5C5E7DAFC167}">
                <cx:binary>1HvZct04su2vVPj50kXMQEdXRxxwcw+aLcm2XC8MWbY5gwQJEiC//uaWXW5b5aG7Tt+I27LDDomb
IJiJzFxrZervD+FvD837++GX0DZm/NtD+O1Z4Vz/t19/HR+K9+39+LwtH4Zu7D645w9d+2v34UP5
8P7Xd8O9L03+K44R/fWhuB/c+/DsH3+H1fL33Vn3cO/KzryY3g/L9ftxatz4g2vfvPTL/bu2NJty
dEP54NBvz146B7u8Gu7fvR+LZ7+8N650y+3Sv//t2VcfffbLr08X/NPDf2lgf256B/di/lxhwjhC
8ccv9OyXpjP5p8syfs44JwxLoh6/yB+Pvrhv4fZ/eVePe7p/9254P47wbo///+n2r14Erl49++Wh
m4w7WjEHg/727GDelffPfinHLvl4IemOb3G4eHztX7+2/z/+/uQHYIgnP/nCRU+t9rNLf/LQ5n1T
lH+Y5z/gGfmcU0JUzPm3PCPEc4QYFZKhj57hfzz6o2d+uptve+TTbU88sTn7r/LE1WSq+7d/2ON/
7woSP5cUI6aw+Co6BHtOEZexisU3o+Pn+/i2E/6474kXrvR/lRdO7wdz7+5riNf/VLZC9LlAMcWU
4m/GBH+OuFCIQdh8K1v9Szv6tku+uPWJV07/57/KK+f3UK3ux8IN/0m/qOeU4VgSpr7nl1gqgulH
tyj2x5H4mKv+xT192zNf3fzEN+f7/yrfXN9X96Mr7s0f5vnfpy6o70xSQrH6dhUhkNnAKZKKj457
Ut//pR192y9f3PrEK9cn/1975duQ48sU9tUn/l3AhZ8DnGKIo08WR1+XFPWccMKpoOxjrDwp658A
0Pd3821nfLrtq43/P0ZT30dan/HoBspD+ghkvwBbP776+HqAsZ/c+qMK89FWh3e/PUMx/OFcfuGy
4zqfbv6Yi/5nmMw9IPrmKdb+eoH3EKi/PVMCAADDCjIfuFQxAs707x+voOeMKggthpBAUkDGM93g
CkDcx1ypOHwa41hRccQUYzc9XuLPOYslU7CcgFMg8GdOcdU1S96Zz8b59P0vZmqvutK48bdnBOFn
v/QfP3fcrJAxlEHBOKUEY8kEgt31D/fXQFzg4+j/2LztlxIX82Eoy7zaT+tYX4qRTW5DssktOoSp
qfZAjPpJi34onC6lmeymEwU+RJJWKUd4OKyFYfwcxXWY9BxK+HckY/lmLXtldS7DMqRRO+Qna8fV
1rABx+ngY5JfdIy15T6iS/+GN3FhNh0qzaBXg3Ku67wdZYrhDV6NPqdb5ISPteznNF48HmAr9G2/
LnWdZpbyUUedcc3G4FyuyeqVf6HQVJX70A3zmuAQL3hvQzXshnadiY5mM8srgu2cadr3bZssDOXn
Jib0hfOhz3RtZ0E1qnzPEhvZsdREtvGHooy7NbW5VG5DaUSvTZHRZqeyNr+ztMHTTspseSA8cld9
1WSbMbRmSmTV+0mTgc73RTWGA5OsHXXb8/INjfi4HzIq28R3cfwieD5sfIv5ASFnNDGUci0rg7km
yGe3juPlDvlcOm1WnDmN467cYymmKiHrUHNNl6plaT8Kco5b5M99WKNT0jZiZ1darhekbCd0g4eO
ID3QxeZbqnqiXs/O2MNiixGljYrtlKwmx3a3BBR1jW5y4KIHO44svpRHu9SpXcmotlUjCnk7Fkvc
aDcMlc5439/hkdTpuMxHYxUHON8mcab3KSxDT4midi9r2S6XKASTJ60oZnSZC5nPOhLOJ5Wv7AZl
xmo6xeHalfGHarFLauoaJ37E2aGLpjmJ+gzrwSK8zaZxSeYlWy+UEIVuScn0slK3LWu0GJ2zwEqd
c083RE3iZlbh4PsI9YmIMnUSNVOb0iq7GSuZX5Bmfo17UiU1N2cDnI9EKvYOte3BzMPBh9zsoiZu
d2xUOAmmKlOyOnOeY2JOOByb65b00YGHuU4qQsF01spdS1ukVdefTNyeFXlEEy5prddMnlMUj+eS
dkibubVnTeEFeJUW7+g8NjtJTfu6dMxczKRm+2nGVZKrbtGRKibN5jG/rGUvUtJM3bUYaHcxmDAm
tGZruioRVzoUcfYyb8JN7XqrF1fnh2Xyq7ZCDCc9L4guVZdtRCCRpl31tkMVubEdqre5yedE5Djb
8qyhKTW+1ogqpOdMJSVy07lt+Gp1VsQ2rRY23TZFfzX3w24O8er1xFCdDFXhLrOiGRO2Lm5IWEk2
rK10x/ButkOSL/M1jVGjYxHdGNO/n6byqvbIaZahOm2cc4mpRnHpHERZLqNpU8AVbUNt7ihSPSQj
cktnOP9LG2nWZu8aVOzQZNRVtK7x+6Eq4aR3/WnPxaSR507HKur0UIcPwrjTqS3ixPoIPN+TNona
eo10hnK9NpPTecaGXUaaSJPSie26dONZVURCm7FtkhZ3IfFClLpZ2HoXwb63VZWtadFQuyOk8uey
qHGcyMjf1Ky74S6rThrWikTFzbzFfhCppIGmNQnmxTCWY4pEk+uet+vF6uqJbpY2sH2BMqLrOZqn
Da8wiRNKTb5ZGhvNOs7w8qqsXKcXkvkLpeo+5bWoU1Uw9uDs8KG3hGziSdqTwDOyLZBXqUO0THg9
t1dMLVznbsQnoSH12643ZhuzKoKX98xcURfnm2aO5R5OAmRCF8VjyhYrX3uF83d9PfsSyOln5ekb
1YkzgJZfVycWx6BwsFjEmApF6NfVqesGW1RFXBwkHme3yZBv+QZ0teVyNC156TtHIcd1Zb3xxK6t
NsNsbo2NlnQoGvRuyq2qzpbOI5TWjq37CPMs1sPR+0knEZQpH3vRJ4XIpE3xVLaxNhIVBza10l8G
2gyD7urVvxo5qa8XERvS6FrxmZ325SrP13WqrwpZQIqyfTbquCLEJQ678W1EcMQ1K/jrely6ZDb1
QrQQEWM6trC6zgT35yqrx4P3YtlNkN9P1zwK26ZosF7JHPYsCHWiltlriadVk6bLIewz90pVUb/h
Pqr0MKkS9jg3Q+IAh2gUsWorAtQtJzupO7r2CfdqXfaSD1HX6hn5udkJhHmpg4zn/RAvrD0TtJSp
Gniu42mO3kshlpNxxPTQ5J1dk4HG0XVd8z4NnWOX7TKSq5EU+Y31S7qSod6WZc80MutU6blC3WWr
WpbIKZKXzHH22kQ92cxE2sQ1tt8Wzow6jxeX9nHhtiSXNwWTJhnZ76ZaTmfl7juHdlPRVxqPMb3o
q7fzPFyrCMmzDhUoYdE6bGRVjddFXKuk6MBwgDcSM8UW8oqn0d7EU3mPLMNp29CgJzGfuMhcYz+V
F0XWFlrFhF/NZbEXNGMHKCt1EjvevBpE32V6ZMQeVjHxRi/9OKd9nkVatYO5q5YwbmLcvw2+YMkw
UKXZqswewdm8tMKimzJnD6Kj4borIPKIn6aL0bEx30ayGKNErixbD3JCND8xc67Mu2ah/V1DeTdp
WQtFd4rO7KJf+xlDUmYsvFZrQNNGtXF/v2Bev3FZS9cblkXYwP6EXRKucvsGkby4kL0jF2Vh+Ftf
ZULX/TyRNGckejsX9VgmLZ99YpBjOxXF5UYUYk5wW/EbQiL3QBqsdI1Ve4NNmIpU5PW6Y42ck8ZO
7FyEYjifuknNSQZA8nfWyvw6po6eNxXkG2s91PnJ5xtOQ5lyHslbW1OkaUn4PaDaWkA5CTna+9g2
J6W3EQZvoiLWYxPV195Y7xMpe1Km8VCXcVI3rasSCoBjTCHZ9XZbh9BvcshYvQ7DOtlkzJb8onW5
AnPiCsq+WNcUmcheL13VvobSQt9PHZ/2AL0chhTZ0YT0tup0XeEWAmEy+35RK2Q/WcqQ+gmZV5xV
9Xm91OSio+18nVdK3U0jQbdlS6OtHbL8eo1qgDwkHswNbKO+ResK3rUllKaVNvEJl34+LSxlXcLk
KM6KuplNMijLUp51Y4oH/GbpTXlSCOQrHS919aZxpbhbMv9h7qcoThCa5z2KzRYvJZQuzyq2q+sl
/D6QZSh0FiZb6NFI6FTExXyD+obeZUHwHjw6Z73ORyxLXYp53c+yJb+vtY03UJSiN9yV1XWJMnXf
jzbcIhrMWcUJqXUweARcYhDb0yqem5TGDc416uppW5KVP0ycVvs+mpxNSVhxSNlUT1BXuzL3CQ1u
+T2WQ3Th474l2mQVURqbrD6NaGXP6ST8Jl7x/C5uh7WEmBvla2TiwelK4YicdjXOgWngOL/Dk18y
3fShbJM+GgauHRSLN3IY2hvmZX3wWUYSmts8keNEo81IM6MSpgCJaT+r8QSS3jht4mUOzabLbLto
Fjz+3Yl+qfeB+uLtUnU4S9qsmc/7anXa4qwddFOLcT2VgLFj1Nf56RIgvWyJd+JdXjh0lpV8Oikq
PNQ7QfD6yg0F7lPk0LhneYhempEVV44b+bYLyN3MCChUOB5JIE91aOAQ5BCEbVeVEPIWzkgy5Iaf
rXOPDiVBCvhPaH2uncvbRktK8yvH1Hrr4jK6XKoAyV7EBYUsvjbRBzdRU+mxxarR4xizi1WVHOhC
Q+Zzu5rpzVoQ8jaPxmXcwpG37xeX1wdkeVYnXWnzOxPKXG3rQuSHCfjGB1zO86Zo88amrSsN2thS
hDSL5nrWQ1XbV6itVp9EJrRpE8Wy01BEfapquRSADsZQb+pidafjUKnLSmbqGuxjLrxDgDr5OLxp
rUepzIgxmwHAS5+E0vZvWtc5q1vppiHJopKlKPfhMNDI70gLGWBTMYaqpBIdnMeqD90lpX15OZU4
39uIjFJ7mpP9YEo2Jo1o5qBJVTucFCUV3cYMTr1qTIlazTrxEkVoeQs8hnS6CiWl2pqFL3AUyuFi
WMKCktKpcLUM/g7k5ps5cva2na0t0ymY7nJq4ri7mutQ7OcVs3u+RgIuLY27KHMcDpb5Ou0DHu8m
S8YPIY9lu4l8J2+6OLQ3K63yV4tvoBLVsygO7dAWc7IKWZzmBpl6C0A4Os87hdl26iNzKPIqSlBJ
ipfDzPHJYogbTuqyiaudmqIZqPYg/YVRxXApZJh1U9j1mpdt0EzQ8SD4LN+Aeh5uBoBbYYNClB2A
KvF8iwJpDgbw5rB1dmk36wSnM8F46cSlRc0CAQTKSbLKednF1pP7eTHDYbJxdxGjOmivxNJqOlCv
gE/2gMCKcRhzrWwUrqLBt7psmH8QJHfv8r6JFj1Vsh025TQfESvkiXugs7OegMKLBDNuN7OJMAgQ
zAuARdXyKvdVgzSYWJVaqb4CLt0Xfty0cw3w10JgL0k+r2QTCWkP1Tq5W8qaCm1oFjqAZg0x+S6P
/KIRovZcRjTsGsuJnuQU7vqOZPVlG7UczvBwzJt9GS9kA/mcnFoXXHvV1wOggBmYcLkLli6AL0S3
6kYBKlr6AncpKXsPh7lRq+6tyx/WYSWno5R1nEob1gDoIa/zTTvI4XSsGhtr4rNlOfHNHOUHKdRQ
pBntlt97BbAtnqr2ZbDKvme1l4c4UuY1Y3XxSpl5WvSMY7/zcYQOHaJux3mYDospZLJGZvpQI78A
Iya0qpKyNU1I7CjnzYKycesCi3ZQkuxG1QvwuBjIWIsF0PwcxBTd5oI9UJGPk+aqZ7erQk1qMJDI
XPETUc50uzQNSc2o1ps5LPFFA+rMBkd1p1U2hiUpQ9Vdj1xlD93aY12ywd40cVigZo/jtJ06FwFf
dKS8XkGU2o6haF5TFc0XTU3DbdcLcwDqOFaAZrv4shRebpTps/OxidnJDAF/uziA/kPULPtchDJZ
ymA+dFKYS4YHdgvHHpBwRU9QOZJDQJm7y91MT1uO1lOxorAvGJkOU14Y3Tpidri2ehTsBjD58MKL
YE+rPKdnxUS6fc1L/iYGz73NSJUnwIHYdi7psMlWVJ/1kymvRrEkIFNRXYxtm2uPQWcYM5x/kLR4
mYWo2VPWp+3QkB1gO590wDPThbDhzPXujZpXs7P16HeqUENadLbeSK4Anq7ytYKEdW6K3h/YWD4g
IbKjWlGnZKh67QgDPICnE1xk5Z7nrjnNZIU3zhRlkqPQ/F4Rb85XahutCFAEqA7jvqup27uqEpvI
yWoL7zNuRUnJplM71UHx/DGNQ/GfWByVJI4pp4gihPiR5X2hMUaQfo2HRHLAc4kBdh5RmiRdftF7
Q33C4AgtieAC6X4i/bZeJnHwLcnCzzZCQBl/wicFR5QdtVX4j8jjTr/YyTBlNrRIhMMy8F01j+5t
oYhfX/QzVeOllAbxqzquBUmbtfXX89IB/+OycihdZojvgs6vfMAMdLIFD/m2rRToZ6Rgrb3nbBV0
Q8eIvbYON1dKZWB5Tpo7aaMVZImjINf6Gb0VJhiTYGCNr0H+iLbBOXKDZx89DEUGwHuS+UsRk0no
wublnSsJ1ZDi6LmKSxAF5By/lkMOB6Uswgvb8UpuQIlV6bLG9SmFtt6GLB0BIEHyS98NXeLk4K6F
aJfTKARyPjU5lEPDmi0JzR0mXfzC4fxEeCQTfBQtxVG+7B+VzDk4yJBRVOMiBcmVXfePsmf+KIEK
aPh96B+FUUyteCckl1eB1cP1mq/oNSextdrWgPJ1cwTswbEJb/JclvtyasJLVRA4p80jukePSF89
ov7wyADKuV4emBkgd8azvKweeQJyHdlnASqaG63CO/JIJ0BN4vflWjaa1Uoeogy/zNkyHfow5Jso
A8PX68J0VKlO6OjIWeZH+iKPTKY9chp+ZDfyyHOyIrgilSvU56pblK6QB0Z05EbyyJKKwpeboW/Z
DtsBNMqjIppANoneNo8kKxz5VnVkXurIwfCRjS0RyNs2LoCigZYDdK1XBV5vOBvrNww3/T0Tazxt
zOJIeN1wC0ZiXcMu3Ar8cucpBy0chPT+bsh6bt5FBZ/KtGBT/sGRqbMwI/Mj2QU/iv5fNQUETCsw
hBl0YymSGLohX4bJZHg1kwLKSQlY67yPQn7W+dJuxoHUB9PG8mDl0Pokm7osDUN3KZsuOytCV3Y6
4j6ccJdbUNPWKN+AAmB6bdraXwPr6cyGgk56N7RzP+u8JPaGejvrHlcUNMDSp1yEy7bJLn3jR6Jb
j+YzJFvnoKEQsgcTObLlZc8PvLD1C6xYAEmfVyeEo5ueFJcGZ1eqCegsz/IJFOBsi+L8BmKcXMTt
eg7ETCU8ovEMGS9mkQa9boKSbSXfF6Vls3YcACrUjng/96K54ryKr0iHZpp2lOW3SHCzy+dKpXmY
olx3pPOgvS31eAHJxV7JYQzbEZCM2zDQlr2GvKrmlIWmPllt3NpkQgMHyZD35p2YRnsEzBMASeau
sJrHV2vus01HqjmhbG02yoa51agR2ZsCugpvAltak/i2G7aZq4td2dqohqpLBfQsKretxJLvjWQQ
cpR7Du838KCXtprftZlSUL6mONsBEzblJoxqqTYFHlqjxTSrPY+H7EU2q+Jti2i2cyIv0ywz0XUA
ZQSUglLqULL5pKmkT3BcoguQFlc4lQA6m0qF01oV0e/KNH0Ky7kERdJc12UlMei8vX0ZLxlEQE6k
nr0DzQw6OcWWTxOUtJXN20VY92bGqLyNihG/slVr9lm8xkXSzRZSU/DVi3V0+WZoKTllkKUSKoRL
O+g1pD4vxJUoUPXSxGMNWbRQuNQSLHNSkpg2QGJ4drbUa7zjooghrlVFzvq2u1HK99u5AYGCP1ai
tRjpCx4N+blfQ9OCvBNPma6IcfLK1NlEdH9sIqHHfhJyYVqT7LHPFB9bTgOoumuS98dOVDY20JVS
5VLVKTf4LXrsWinoX+HHTtZIGNlO2ItXzWOny+AoYrorPbDPErK32UB269/koO6Ve0I5yi/Wvkdx
eqxj7+jkwwDsG0sLQAC6bVU3+0n3Q4B/gRkQfl76aTgMzVql3jN0sNg6wNWWArme1ApSk1NVXe0r
yccFOiWTZZuhRN0pmQjgCfuo6YajvFszdGdlz6R2+W2tyrtyOAYIrqAzJMoTm63rIcxKbHvUTcdd
j1sGjdbTUECLaIw6tu/rZYRxkx8lKmiQfl3NBQJgAUmKxpwgGGD4Ok3FoMzXIImKg8rZRa4ubT2c
9fOLx4d8aj1/UqE/9kwfun4ZSuDuT779x/kf852Ps4GfP/bYaP7nd7ddC3+ffuT4oM+fgYU/PfjY
VP7qmz81ub/Txv44LPqdi1/1uL/q5P8xLvLYokaAwD4b+k/t7a/mBz5//otuNhKEMThuMEfF1R/d
bC6fQ78aKRnDgI/E8bHP/amdTcTzGEgkoK6YK0KYAhn/UzubPxc8hgwooccNc3JK/Vvt7GM74J91
K8IIZiIEoLvjQfkC1o1ZyLq6VJDC0Uaxy3GG6ZLP7//pCHzZJv/euk/aD5BAZj42QaSOFU2h13VZ
XheYh4+jph8nTf+N5Z/g4kpE9eKDEWkx2GG49nyN89s8rN2HH2//a9T7T7M8iQ/VrlBa6oynoB+M
AHJRq2JdkIohHdO4xZoS67Ltjx/2PVs9GSQYwfeVB/0qDSORRMPgQQ5tiYXL33+8Pow+fNPHT6C7
UDbuKxB80wn19BwhT9sbH1cxP1ukM2EXiZUPul1sf/3jB37nhSSc9C8PVS/jfhbHB86NEuGkK6Zs
Sug4FWX64wccF/rGqZVPUJYsVx+7ibDU16PwJxzadjjp6xEXZ0DyK3yOQFKtgbaDJiVAvqDIbmNT
zANMtP3odD/hZ5/Phzya+ouw6UU71mxcWDrl+WwTwIEgZKIPfU0stHht7gF5TIuIAPzl0IOdcNdJ
o6Nc4haGgX+0he/Z+Hhyv9hBky/tDLIQmEBilpCh+yCYL3/yft9b/ElW6CBSvVwcS5dlFHdxt3Q6
m6fq8q9t/fjUL7cuq5KPZABmQcryfQy/HnBmorKefsJZv7f5J7mhizwAJkBX0PkW8yvkLdUhW8Vf
yzzySWYYGl/1PYYehOugOZ7GIZqHDe+7TvzF7T/JBhi6O3JpKsgGHYWZlAXEKdBWLYTS5q+Z/0k6
wNUSmW7so53pFsGvoGNeuFdAE6Kf5M7v2F88if5RxlPsA5O7tUNtuuQ0GgD71uPwEwN9jWE+x554
EvwKNJhmwku26yK5tls/IECFjV9QCTp7QX+mwXzvMU9CnNAOsHkfiZ1zE3Z7wzsTp9DWaULalzDk
9NdCTTyJYwv4PCOhlbse1+ttPSxAxARXtz/29fde4kkg+zpI5AF27HAE/cRmHAQ5y+nS2dc1k/XP
VKLvefz48y8CupB5X0vRy93Q0OUQtWt8qXI0NPrHL/G95Z8GdFYuMRiH7yZhcYBBgUDf8LXr07+2
/JOInmbRwbAf57u5AQ844BMpnSLR/8XdP4nnqSRmaZZK7ug41+CDRYZIj/FSrn/xAU/iuVYRsyqA
9RVqrTn0iBmfDpVY/U/Uje/Y/whcv3SvwAsZURT4To1F+UrIcbyChpddfrL/40n/RjE/DpB+uXyr
ZujLTrnYtc1os2vRgqr0CmZSVAwjB4USL2B0k/DDX3I2fxLVYhngd4JiJnY9oa7cu5UEpYu69fFf
i2f+JJ5DuVju8CB29Zj39ABdxVnqaqLDz2rz0SzfMteTkF7yKo9bD+fJZks/bKqcCHHVRuvMT3KY
a6jTkOPF3DWtJL9PJvfmJ5b7HubhT6K8CXkGPRsPebeRTX9SRGMGk4IrCBdlKkFBoTBR6ap1TsqC
9y3MGay5gDkGT7qbGUZDpr9o4CfZYMk4NKnqKNu1AibZSOnFToqG/OQwPhHyPlcXjr8+jWx20EvF
Vu1IvA5duqJsdilMnKzNvldELJf52Hag3FLf7ukqDbsIhGBzjoWU1Z2sMWM/2cr3wu5J4pCmYj1o
h3TXi2wkCV/V+z4Eb39SRr+3/JO08X85+7IuO1Hv7U/kWgqIeusZrCFVmSqdpG9cSbpbFFQEcfr0
/+f0ei+6+KU77+K2Bw6F7M1m8wzKoO+3b11WmUivVTMnQFqiv9T8ERRoqZc0bq06IIwaVjV6y7+m
OEqfbRz1YTk79XLGhAZPF0VZAWgNbjJoDOb9UbrW7PYXu+xfoiz18oRtpz0lm8mreV9rcp8ztLK+
bzpBxAki4rEcWqf7khxcNz90f1gS9llSL3/gzUlhE+GNhed1j5bURGxf7kBnBB4XqZc/DgYQi+NA
TaJllVz4vjTng4/ROeyz33bbP0oBXhfx0OG9trKumatjyLqSG939Igf9y579G/T4z9GTWEQbjoaq
I8C0kDnpzvU+ksBN5YU+bj0ANrbjURHcG8tYJJ+Hhv2qav23qXvRnKBpzTbVHFWT7fOT24cYtcCE
pmvgvvHCWXRu1tTsR4U3mwLPhcCQ1DRnVdBnZV40U72kepYYfa4JO600s8DLJG3Y3JkXzflAAI7I
8FmjmYiTpG4pgXRjYXmUeaHcxZGJ19oe1ZS06moL4OWXlB3X/16ZW9j85DhmXrwOdSqOIwHEZo3S
P3HtlMuVzVIP1bxmPPAv8EKWLtkydLIGjAeB+6GYx+6SsFGGXceZF7KgFVC2Hnyt8ErD7wHVd+du
HwLTDaOvE0Iy40UqPzpXNVaxx1b12ZPeVODUvYjFQV1LmdC5msauTk4mJfaUiU2K839/3H8JWuYF
bVo3VkZ4/rwAZrg9yLmZ37i6VoFB5YUs+qPRgteP+Wpcs1q8tMW5epuanIuwfUO9qJVJu0zNAoTh
1uClRer0617swy82/r+sDfWCFvB2yfCstlwmJfCQbx0pp6JwgVP3gpbqjpG6y4EcHqKvhqC+G4qt
Dvusf2Md/nGMSH2YKLL8/02dkYmAB8JDp+5Ha5rXLhfJcilWNI3JbXQbvjC3z/HPuceLrpXF6FtX
iJPLJZBGnHSBy+5Fq2BpPsYkxuiM/Dm1TF2btgnsbFEvWgHJVHnbYPDicH2lANnCzYtvYbXB7RHl
nwuzzTSr1S7xYDzXK9CiC2BMup7DjijqxWovNBlGGrvLAMRRuYr2T9cdSdiqEy9O7WFmPYrVXXop
WMlZ+jVaLAkc3IvTGPQbuotovmRTPIBP136zoCoGDu6F6WSLrUMl7C7dDXTFO8BInCFZ4Oje2ZoB
aN20UYGpFy55sngeeVdnjQp7oiJenG6OkQHMGVcdiQHI8RhyngLWFeU2bM8QL1TJtBW9081S7awH
MTOiOq30SuYfQYcT8WI1aWtwELceJyseyx+KziZnK7v9EjY6eR1ODngZ2oCRVs0F/T3pyHvL6Puw
of1ItcBz7Xs0V62InpEev+4kC+wVEi9Oi7bts2TI5qpbRX52In0ZZT2GfdDEi9NB2sgUuXNV1M4A
X3XZm4wAiBq0KokXp3gWXrXd8ugCwOkf7Z58Jmn/GDa0F6V5uzagNkV7hWHtXB7ECsBbLG3CUm/i
xenSpE5IZuYKpPv4C5uRB0rbHklYpZF4geomRWJVj64CdOc4j1v2XbSgGIetjRekdd5O2dIaV6W7
AXq915i6/NXL622Qn1wObuCBf55JxcBZq6N+rkBeL55y2yRPKqr157CpeyFKwJUzgNBhO4palLRf
v2R5G/hJvRg92Fh0tZCuMin43km+fVVT/i5s3l6MspVta0sxdtTZF+b2p5TZp6ChYy9CRzBamhlA
+UtcR9Ep6uo37REH9gdiL0KTROvsiEh04XEBGl8GJs2uwlJL7IVoJFCnG1CEKiWG92MzXsGxC8vk
sRedTK873dDAv4wHGIsreWRp2Akae4Gpd9ATR7AJKt43b/JxqwZThz2zxl5YtmrehHOYtO4/HYsD
aeW3sB3ihaQqOqMPiY/IhPxutuJ9fvCwPBV78egmsFl28GOr3XbJC7japOocteewiXsRSYf6RpUv
5soCGghGmLwr6uJL2NheRErVWghcxNElbVHdRjH/xgoadrBBtON1EsTGniYV40gWLfCUqQXRDLIU
S1DgsMILytwu2czSJbpM/KMZzzm62CFrwgovIkUDWtkk9hnsYoA5Vmp1CcrXS9jgXkyueO/a96EG
V13ou1XhbX+i3Ry0U5iP6TLOxTJSGDxX6Tvq9I+W7SZwVby4LFi6x1Ne2Ivp6bsUY29uCR3bC81k
bTNKwferDvDz3wDK3z1MbOOBq+JFJ5CpCyQGHDZKevDyiLtPiougAgsCDq+3+FY4toLaPlcb3UG3
jVnNxzNBBdQGpRZWeAGq1x5MrA4x1DD9LVqXz3h8+BS0FX2w1kLBwOUU6+Jck54nJ29SLSQLqiPQ
EHq9MkYsGfrRGya+be/cGD9sC/DVYTP3IrTrs5hlgtoql/RJAXB4AfWehK147kWoawwwl2DYVbFW
71mkTp0RQUUKy71j06TRsDe0txUBjQCA9MScEtb9FbYoXoDueFGwAP1boBn418ZuDy24WWFDe/G5
mbmWOYlMtSdqLYEenq5D34XBMJgPrBrTdSgWYIUqPCEd5+EYnzMKaHXY1L0AdRqcbIh2mGoE1gYs
X2eix2iJ9w9hw3vhuUYUWZE5fNFl/8Oigtts/j1oaB9NNePgEZqPtpK8+bBpfR/3fdg+9IFUS51L
3ilmqmOZxGVZG3KO1PAjbN5ecLYHq63ZpAUxT58k25/7/Fdl5y1O/vdWxXzI1BqhHwyGialEv6Su
NBnvniauwaTtiNtPYfP3gjSVYJrJEdI1qqW/K8E+R1q+hA3thegGxKPiWW0Q/4u9W6xJSpBkwp7q
WOZFaUNE2hpKMHGWfO6XaChZpH8Lmzl5nc3FNoHIGwtbpaRlK8RL3M6g+qKEDDukMy9OmWia3OUK
W3KL3rc9eWmnsLs4FBlfz121KbiFM4au9+I9hADe1pQHPUMxHyCl8r3up2U3Fa17UkU5md+Det8G
IX2Zj48iGVimC3jAFQg9oJoYyCKxQHQa8/FQ/VZH82aFqYZFx2W8ZNdpbcK6w2A9vF7y2TDnWIEl
R3p8BO3zUaVbWAxxLzyLtVGumxpTZXUDCtaxPxamDXs3A/n29bwL7JJ4IxJEpXF5R5PpjYnnwHl7
0WlavE5AfGiqLM8/t4l5r+QUdIljPnKp3lgvGw16FcfKQD2gWUvIEeRh+ZB7kTnTboq6sZjwbiOm
kyHyvYuKT0FphXuhGce4Zw1pPFVgNULYbEWj4uLiiIctjA9F6kBXOxbI31W02HvoKnH+QbXxEfZF
fSjS0qW8BtZuqo7CkFNi2TNO0rDXc+bDkEAAzcd0G7FdxoLFErkWdEkBbt4ig3o4eOF/vdeBBY6L
Bqzhqmmgm3ca0Dyr6ppBKzDo2/pwo106B8Jrras8snI6Lavu/3JFtgZeGlMvVpMeSn9rEenKiB2C
Fg3vSqxQeg2bvReuWbbddL5iXTnFySmG9sqJ4vYbVpWm3nE6KyDwLB10ZSEZMZfJQeQ3qBMNTeD4
XsxureFm3bA2o4BaUztDEkMlYWde6sWsIuPaR5nDug+5vtttbK+rGsVd0Lr7eKOFLnTXatVVV6fH
53ismzuI9WsZtjA+4IgiT6Zkx2cthnqCgoPLoROQ1iOfAn/Aq37xGCfHQS9YeWrXe2PyT2JSYb15
6Je+DtlM9gQYY6OrjM1QS7PvVzl/DFt371ht6n2lSjVTlQ3F7wPU/0rB2K+wtbeQ/End7gONoDKT
QXyy1xUEOPLfoeu73TnZL4FbxgvVOY62/aDpWCFSi5ID+lJGe5SFpTGfMGv2CG/0CqOnyw7V0EQ/
yOFXKKa/S9CfLYwXp1O7AV6Xk7FauGygqNsPHZJN1m7y1PRFI++gNLx+dL1V99TSiFezEFP6Aopb
Nr1D/8+aj0XW8zuJd8nxrpMDJG8z1aIZ32xTHq/QU+sm82mdSORO8T4N8tsoRDSdOApLck5S9Nov
mXabO6sEXbITxyv1BomiKO8qAs06dl+P3bqfkhjdhC8RkL37NaHQFD3TbMOYq2rn4wrJSHETCyKH
u/aEbMfZLj0dfoeiIqvfzYxH3XebpNNU5QcI+5XZ8Pee9XykFwilpflpyAj0TvmeNe6uScameMPz
AbywGJo0H0lerBDu4eZet9YcVTwW+X5de7Ww82JYk16WDMqFl1SJBYIICvx01LNFsZ9y09Ks7MfW
JI8rBNWKe0WTmVUHVhsaKlQu95Aq6qH7usSQIYmX5Si72tTHR5V0YxZWhTAvYfYbc1xCFKfiqRjR
9YlK0kDaLShufaQXZfWOQlLpSvD+z5pJqPG0YfP2cV4LXmI2BaWTKnV1ZQv1UIMOHzZrL0umC5Ap
kELTFQSAtrKOCsgxqGQMXBMvTZq4oVzi0a5qSAcRXzn9xTsTVvRRL092oLcuQxaPldudfgYbrL0b
6dyHpTJfu1XwNnYQrLZVYyR7w1C/Avnv5q9hq+4lStM3ywIJkbGSeeN+M/l0oJk/QKsvbHjy+nSa
Bqj8jkcxVgWaymVKujfiaMKYZswHecUI4ZTleqz2Udf9eYzXrtqmuA285fgwrwTqdhAtw47kTZ9u
F2IHaMdCeFZO56DV8aFeM5T76kjMI2Sp1V+rZg9pZMMYHczXntFuNcu0Z2MFjQ7gyGabQSqRFh35
K2zuXrguKQTLF0c0pN8gr1Vm40Txxp4TEobFYMSL2FUPCgp7DQoEaI5Cc3btLm3bBhYIPt5LZ2vd
HQ2OcLzRmBMQZRyqmGtchS2Odw9ZY1Cl03YYwapV6oHTJZ1LPhkehu9nPtrLdkMDINOINDy47EEM
NP4dd9o9rBVMvKDNth4a0Bb1KlpZ233Naldl8ZwFbnqvviGQVi/a2+nUtX1zsuvUlG7u+7CE40O+
EgMx6g335CqCqOOfAmjzP4/e9WHIT+ihv85nKVTpO9FJXaU8W6J7WQzJKa4hCvOLt8N/4dVBNOr1
D4DbWtfQ0BqqQyXUvGjZLuOpzgaiz6sdoxcQzp6jqFDdGVUc5JqbApfRq4Aa9hj29RMvsEEK5hBM
RP25wr4gh4B7BwGKXgxaXYOCwweI8ZgeuLPcMlM9J/VjD7+MrIIfwRyfwn7AO48hAWZAryUDFOOT
Fhq8a7eyspNsCSywEi+8uT0gXk3wA7sjgC0f7jPQ+z/CJu8dyGru97lwEDLUZrCnraF/HVCrDYuO
v11M/oEXb6YjsVZmfYXa9qqIfCDEhrUA/qZQ/mPoPoriZoWCSDXDaOEkI4anhvX4ELYoXrk8C2Ua
yK0PVe1MfnECkrV92gYelT5ObM3ghzjgi1at2aLvfbfSHybCcRM0dx8oZjs2jGxI+gq11jPEox/V
1PxCy+W2335yVfRxYs2Gd0ZuxqGyGxEPiTI5pODGNewQ86FiK/Q680XSvqIyH6ERnMPwQGRuEGFh
6gPGWLGNlA+w/sjSoTtNRX4nWbKH7XQfMmb00DR10Q6QfxfrGwuls1M2d8v7//6mt0zys4X3grRY
JbwEEpzvCpKgKPlj2xQXFSfjeOG41Q1hNZaPIct3XuecNmMVOzrrUqRzdwutuBjDzuLYO4v7qLXT
UrTYmyn56Ob4Q5PUgdveC1koWcx5bDB3dNfSc2vQyj+gBR/0eeG99PqYHLAZIwlUIOw9TP1h2SP9
cRBpGJsJqlqvR1dQ6XYxgV0McnD+Xvc0reY2zYMWnfpYMo3uQlxDSRiP4ehKjFP+PmJNG7gwXtXs
9nnY3d4qIAQg4QSZTD19PVQxLoHje2crBGnqWs9GVYfJvqN39AS3oc//HVQ/z2awLXq96myJ8VoN
hiBIq2PdlZN1y5+wIwmT3qCFF7Mtrm/wl7otu85rNBxtft/z1AVtdwr9tVfg7pF0bjsMJl83Am2n
hGjYT2xhJxT1IWUFP7I9tei/QUM12c9DCzzCqRuGbglqvkD14vX082WtNSpbVSWC7+e8ieN3I/h8
H4K+rI8q2zmUGCPIzp6bpNnGhw4K6M+E6NT9YvZ/d1r+Nx9TH1gG6xuyce6wdbhLewitJ4O7a+Uy
mSsuYo5coaXH7XlK1Ta+iXbcCt7orJv6rwRyiFfHyXGfsQjKtsUBXUo0HSMJDfMh3cipn6a9PR2N
qI/vY7237gp1d2gBu7TbIGfL2OOiu/lhb8VyhdXbiiGggSHKuG/Z8SIS8Fvey5tOxcvQ5tqecWFj
B/4tNG9FDOTnc6dFdJzxX9v2iZJ6XH6ELbpXxwPXOMEpIhWXpk6656WQxRsCcf+wA5b6kLgxgv8S
uqOygh/cn5xM8Ihr3oXN3MsxuGvCeoqvsqIHcLYK3jlktL8S0rglwp9tFS/LOBf1zQFThWrS0Oq4
N/ZQ67nYgXo4r7ghNPe84Ep8DftLvJyTTAUsA5dUVpGO+IXJVV0PrZpPYaN7OUfstcMdkcpqGZmA
PPPxee7Ir9bpttg/WyevNIDab+ukcbLiyrUfgapmb3PRbN+2Lol+0dn8t5/wkk5cF3BD0xOETTcq
+VnAW2tqy8Wg2X7frmC0/eJS/S+f3EfNAZ7QuIWr5gIrdimvLt0SoMMidWn7IycnILrDukrUB9FB
Onfra6OwaJCgBdCNw43FBR5gmRfQEQRH0AgYZJXgOW6m63WmyS8S9L98CR9El8GyIT/AwT3LZsrm
e4jbp9cxL/Duz5sF7jtB+zW7/fo/rogpxuZtm0WQ6YCQILjuzZdiysKorTTzAtvuxdS2u+mqLEvn
KzDXOZz0krDLCvWBdEuLViR1cMJrWc6ueoG1R160Qfc4Ci/SVwsTc50oWKzU52RpH2JY07GRB665
F8Y7jZUdZwx9HOxSF9O1b0nQ/ZD6GLodqmutLWR9li15zNLoceJhXTzqY+gAK7wJ4bb1WUOt/qGz
dq6ilH4M2oY+hK5O4Y+50wibPWnsRWvDyr1Q7Bo2uhelcSFNncZRW2Wt1TDt2T5PzR4mDkt9DF3D
syZaYK9XqZ2oqyvm4Q6mAGFQVOrD6CKYk6asN23VdjAM1SJ/E2XGXsLWxQvPrYMJqqVjcZ571m5X
QtZP2kgZ1lSEr/PrEBJjMU+KDcV5WKZnqcaqM2PYIe5D6XaxbU3foJBSs2vLwQ2w71HpLzLv7c//
yTHrI+lgJDYfYPghiOwylkCNneAdFJgSfSgdDC932D3qFqylfj8NjR7hFmMGuOoEfVMfS1f0OzgX
Mi1AtBphFJOr2jyOG3yUTmHje/dwx4d6yCZanPv1wJvte6AAfjHzv1u1P1l3H0vH+JFAnKqBs+ke
0eUxbvsUBKMGwqEvUEoaqxYOYbCZnBZ4XnB019bTNMt0gRyn5vt1cgU8Wg+dNORbn6VkqeqctllQ
B576KLwtmhLobsy365KZG3iYxbmDDZS0wzlsXb2DeGjbmcOdMztvRnAkqL1zA7w3eEJ/hP2AF+wG
7hwHrJ/cxY0Cfj05W8+6YEGdZkj7vw51lGzpzVrWXZKb7teawg2kZ1kQvhqi+K8H19nCbD1j8MVB
u1lZNpWjImEYP5p6pzETDmx4N7gL6eCWTGUCg+dBfQ9bdK+cHmWexzGt58tCRF/msEA4TxuLw841
H4TXAGsas4jCJQLIGni5muZZZXT+LWjuPgaPrVrThE/zBd5cN7vlo7m0exq2ML7mV2vWZMRD7HyB
RiV5N/Sb/M7jIwsrg3wA3pGKdZrdYi/DAD8SKFdDEYbBuyZsYbxQVcVMD5qn9tJmm7mm9Qx98UiG
vbFTH4RHV0IPJWd7oWsvgLiaX0Cv3gKn7sWpWydIZmU7rEaz5ChhB2VOmQysVXwIXiodj+iEVT96
yLWs8/5XDKviwJl7YRodup9qRR2cXltzLlYhTsjHYY/31Md+HaBB1O2CwirT5Lvt6cdekDB6NfWh
X6JHS3nUzF3a2MTlpkkN4xnA6P57M9423U8OTR/9pRI5ETnS/GZgni7vhOvb/rpzosyVGY1T8L9/
5l9qIuqV0PVCa3jU4o9ISR6dF5I2J9jnhiHBqK/3pUWdzTPH6E0D754cMLATDOD/CJu6F66yQzoA
ntFc9KZh39dP3dn2ddjB5yPBCs3iuU9Tc1mkW669gB0QBIyPsJOPeuG697huHGY1l1kc6ppY+elI
4JAbti7k9bF6CFgsj+j1XDTMv0692roTIKlhsH+86r8efcj2bIaLkb5EfWRO3aEHWFruYcpNYEC/
Hr1mcC9POnhTtvMkTkcKo/ocMvlhtZiPAXPJjpazaXIY3Q/HyxHr7bcu/qV34L+Eko8Cq+m6Jg5g
5UtqEvBRbgWHJsmveoT/NroXqDApRLt6L4org91SsUQ/RjW8BG0YH/0lE5LU8M/IrtD5qlW5HEAn
zmKzX8KG9+I0UfAbO2JTXFPdDwDgdhsXb3iihjwsVn25L21zhypeF9fCJjcz5gc43IZVYj74C0Jc
07wTDN0zHH83PMQQBkikPvILZhBtLbKpuB436SO5JuzERL6GHavEC9MuVmI+9pGdocJ1Nxj9LuZh
aoLUh33FKUBFtO/ZmQP+0A3RGza074O2yv9AviAjJAwd4MvKXZ9UTCvwrsXau09h43uX3EEnU6fc
mF3ZmGyQUGeWPdyoer/SE7wF408ObR/P1UZSs3yt+bXXkb2b62Xpn20WN80FPNWsvm/6YxVP81H/
f1yu/76q/uxH+eucme2kHpZuUri2buuwnRLVKph6S4moU1dRb1KV09jDrgYOaxPO9q3bzZDdj0pz
0cP9rOlkX6pDLvu9qPeo/kbpCtjdEAPSKuFEvR8rPAFjo6c3kie5flpsvSb8fotYNsnSHKqJ2jKm
RUub0sCjHIXQyPHpyhTuic03bUTvkpLJrO3v6SEh93zecaHPmvM+Las5yZ1220dIyK1LCzdMWPxA
5hv2uHYok8JFnJXFDml4eQdPcxjhlT16lnMP0zkDNzUooGbj8EmTHheZLuvyv3rd4x8bN7HlzAH3
hVsyVkielmUlbXXsboPrkoypHb6NaNpmsDg3MH5byzTnjfg6tEwWP/rGwegHRM5jNH0Jta9u/3ID
6d3po9+3coBolD2ta2sTec5AnKwvB55syCUi9WZPdY6dVpwWvu5pfybLkcaPSb7w4tqm7ujBC5vG
/Q4uAQNMZPXCn7rYtfkZpsYrPYmMT6jC8j4/5z0EcMttavg0AL/ZjaI5zwXu+9kJHZKtGTGzaTBZ
mROegTeytBVsFVE2Ipfw3j3ga42iLU2Oyq4skkj1Z9cP5Pdp7vl53Y8t++HaY6dXbcZUPh+G5Pw3
MZEse6ZzTWHIWovcNWd1gKPCrsXqEigiHDxz6gkMjRzfS7etxuSa+Cgad42haoxqrI/HQ97tnG7r
9ynv27GBHyKawfcZGEjFS7Jlm91PamBwEmvy6CYDqZwa1ggslgOgLSjowN3RXXZ8y3G8JykaaeSe
yyGH7TiXxZVLMZxGvsF2EN2UPbLLrbJc7GPsrLysBjnqmY+N6162jTRDju0wEnftaGq309gIRqAS
K3Z1xr1G5F9zGCqPj8V24OIn0thtplw1XN1hQQyzZ4IKCn63lJ6KlNLufSJzw68QWJHb40DWBF3t
eIa22oFn5nlpwN2Kd8tnIDk5RNZi5b4TFYEzY5aM6Y9Z2if5WdQ27b7j7pPDHheQqXE52y4d7bN0
ccNfAM+a+mu3Z6AJFWM8pg9HGhH5JhGrPP5oBzU6MGZMNLLnCUErLoMWO7nXsJufPouoz2OC9CYb
npZZzwr9HM+zTL6zrq7zvawbWENX67os6UNsWjZ+6Va+pydo3sdgozcrTQpIO6dc/ajnFfbfpZxk
/j2lfNKfwS4/xAmvSzi7wPMY9yeg+myO/3mM2I+xM8tx3xO97y8wrkySkxaIpB8dwza/ayQ5nuci
bq4xmfLubW5cxi9x3mrxYZJiO96tIHiQCC/R0A3IzzclYn5v13kY/pJ4uRGPHZ/oXo1jp+pqIkVi
Ht1UZOTUMZgtfs057GH/SFZZP4NCHj3gGen4AWpLX3Zr2pwbCARF56098vUBHhLLcQfxIPpFFS0r
zlqB6fg+24UanpOmbpP7dWzdfokm0W13xW5iXmV8k/HnmNey/iCmotEnvc8RNBG7uLAg0fQcRn7L
YVPzZONjju+p5lp9gnFHPb51aZGJayzkmJ3nrVuQO9c0N+IK/HRinqZi4T8UNAGGU42W4fpWbLFB
KhHjBovZdJzhCxzjtWp5lB0Ejq8wi9Wg10TZ0ryI3Bbsvtda83KuI8O/C1F0+tQMVs5dCZPoOobR
EaPbvVW9nc/zSuLoPNuBJOWgjlV/pXOBGZzTuEkgZ7hhFm3UWFN2W2SHy3CT5CkhaHfI52kFMe2S
arP+TuIdhq0RrnfQ5YQVBH9CudT8WSOEs1OnBOlPvF/T8fM+wZ8RAkd9D8mzksrjaO/XGSzZlx3+
dKaGbfScbcj3h17HsexmHNNriY73Yn+sbqHpb7DgMDgQJNRqig8Ko9w+pJ6ducDEES+dl2ElfVqC
+zmklSqSQl6WpaFqL5tkzo/HdbMNuhYbbKyKu7jeUSOCySbEvYXLWlQepm0j2BtLQ86CcRedbbwk
xTnbj6P7zcQH7e6W+ViLyvVjVJ+nldT7GwqznHdxYrv2IzpHZJdlq9RcXKEa38wPhcQN5nlHSyy/
MtnivJvrOp2A82Zie9M3cSdP42GS+cS0ySLwFoyt2xXsucMmH+ZY9iBjDGye37VbnBGYoDdT9zxC
6a6dymVnMNCBrng5raZI7hNa2Pltaqdo+EbaLVdvuKIWe2wQvRJ/UJUf2Ak9JNvsZYSdNbxrj2Pr
Lmkvmf3E5SLqB9u0Hb0HiZarJ2cIDL4uSEeKn+HLROs/D0glQ9Pcii69s2PbNMA2g4GFPZJDR+lB
dPOu73TXU2CGCTDE8cVquB6Wy7wP5CN+M/9tScS8/a4gGg9OekHEyE4T5BebU4T8VJ+2Wm8fO8Jn
epcXGlyXdBgAVu0Xk0enXbsZlnJmXDcQSJYsOeFBIRfvMN00fbute9PeRQNheDlqaxm5l74/xuEB
0F1xoCoaju0HTg07SGikxnHy/vZSQ+MTFVN2PB1xwXqLTHzs9X3e4dNDaJbD3ezNioQ8vYX7hTX3
8SyK+Q7+4kV6O7k3AU2ABstobTkXiPIYenXN4ZrT1K77/p4WmypKuKbl/JqxHvmtlHTtzNt4TvLp
22GsZl2p5mVL73dG4+2ZYfeLL53dYEGDP5KO9VuJdtj6IZdYxIeDdGY7D9Sl8x3O/0g3WFzSL5f1
yLK1QfE0jwc+pmmW67LKqP+UJfvcv1uwZsvD1AEW+rZbWjiYs06M9sumM5J+7Um2530JhbB40Fgp
qpo/Bmimxu+gWs+KbyOUV+Tvk5okwf0Kgoj01Heky+76bLY76jcR53wsp8jtOArVhuMD1R4kY3mU
LtnZQqRh3IHRy6LvUJXf2SnGod7dw7tXvmQO+/si41XxU7sd6Ln22cA+w2Lcwl1xz+vuhLsoy+CI
OGauIipL+VLSDbbUz1pMApTjBPKdV110anyivV4jVXIwsL514zRvsPRt2fI2GWID/V28sxYvLB9W
AfNkOOW8m4igX3ILl5ezZTVaAXkbzfx5H3SdXWPTreQt3p/o8EHJzB6PSTdMIxImQ2wAFg+gWl5J
iKiap7pXhd5OOWPNux3Il+i08bZfPtgDVuFTCd4rWU+QMazlKSuSVr+VFj2mUvSNmi50B69WXUFR
Sy55TYfhbOKa4Eu0QiVP/0fdly1HbmRZ/kqZnhtqx+IO97ZWPQCICAYZ3JNkMl9gzCQTO+DwFcDX
zwmVerqUVqrqls3LmGQmo0gGY4Ff3HvuWRIrz0muTJ+bHw5qZV3lgjsaFYOdSWizblvWl5b3cE3K
tgGqxU8S4rb4udJsOqnRouPK66oN8rCFK9yao7q7LPUsNi+Rhe3BRcW8xP0+XQja9BgCXmmyNU4C
c2zwFMi9nUaT5hFlc9GttR0P3YKj/kqJ8m4fpV0fIpkEIeKXYdLEvIh70IORfR5ue4GbkTeZomWL
sHFQp8SIGPEh7U+dLtdbvp4DUDe1xVea847sOBJsFtxG0XIUaktQ9n3vgurYsZGaT7YvQ/cwKhvm
2JHM0Ze1L73LS18nF2jXkJrZQUUzAWnP1NLWF7WRMNZIoKvGzTbOt80ImU0IQ2KFUSS6qNAPvPgh
ja8qWCkNGRPtrPM6jFgFz1aJBPApadkl99X6nkD9015HODrDYWv1Jq7nIFJ3xMPiFSNQbE4V49GG
3ilM1J0LJGi7ZklzBhn5NfY5EGsjvDSGGzlkyNer4tHT5INq10Ut67JhWMyV63pxW3k46BcdLuOc
LhaR5TVSrZMkESfLqvWyCpf+y4ow90cR9ypvCLvvqRqeaCtGkVVEatBObN91c7aQRnidVeh21/2K
qLr1grmoembhIi9Nu3JR4HJm+bDZbdmPqqWXK+iLyZMPePpY9R6shSIyYxpclEPqfJ+VuHI5ZPJr
Td4bU67miVLG1sw1w8JB5QydX4vm7Adw7Ndlg20KV+Eqkaw7zxrJ5ksTT21RMRcGly5MoMaGrNST
S1WHpbjRwaLN3kHnT5431kcsF2vizJVNJK2+oHMd5h01URBdyEY2yaldXI+w12p0feZDqfhzbHtJ
bmckgcsdbBrWEZYEmtXHKXCifw1qZAm3OV0b2hREtzUCxWmDVlQYmza56tGj+KyMgzjukUG/2ubb
wmk8n9wyue0rQqk82qHacIqru8fZojJrIRhqd3DRKaOD4n3T3i8hZv/dNCbxsDcp6k6BiaZKj/OZ
freb0yGKbyGqaekV+LNxWIRioeIYQja1fG9Axh5urTZcknwVlasv9axjwjIYinCsR7c26td7jMZp
hCkYlM3tSuteoy7UY+rDazngSD52GFb9a0c7cUwmrMhiPfj0NdRxF3wZsGDFmLxMFImLAKHrHFcH
mqWstA7VXSu7FG6oFH9h0PSbZ+5R2z9rPYuoLWg6B7hflSMN3CPzW7tUWRBFaZwZU6ohF2XcRzd6
48v6PYHcv39XDdRsO94itvBh7etFwHCATuoOGc+0W3ajg7vrQTRBNN0xnDJURBKrmaM81UsKsLAe
IWu+aGNS+4u4qzsyFMmm0AJkPWOsgg38hPkDHV8756uT514EMS7G37dGqcofRFd16rlHmrvbT21g
xFFrYSk+sU14VcxRv7gvnaDQIrG6E/qL8d3s9rIiQ5CLzoZXzVyVLJ+xCDentW2TCh9J2kAMqIGy
50q6GU3pzGAn82w3uORCID2Xp6mK5oMvF/4wx9Fq0B3QbZO3a9/3mUI2aAZRWGVj5IvxdtqvntM1
rxCnao9brDGg1cKmmTZ+CmRmrPH6Pg19Wn93iDbhu60jpC6YP99Xs0ojY+KiRJt9amDNhasuDof4
smyRz3olq3V6ERxvQhEbk4R9RhpQHp51v7UButSVBIdlw3V9QB8QppcGt4D2zfu4OWAECMXrBIvz
tM6pqEjzIB2ta1hChwNrbIaLjMY5R1VdMc0FEM5taR02N7z1ZMsVDvxTF9Jh15cNG3HUSns5ESAY
18ArYnrHx4V1l94p8RVIzGe0HiZiiFRhoIBPyIiJHsaoKr/Az6JtimpAUWxa1V0bQ9CZbTAY8cc+
5XUutxWBI5B1kIsmVXF/PZtY99eqtPrKSjm1bwiINh/B3GldLDbAx5gs6XNnk/Nyp+O4ty+Jf2bo
JUxRbTN6dfCazJL1Ph32ECsLlrXSV+gNsKp0CLvjC/BaVEINfMe0Nx4qEyQw8jPSA+G3eu7QjGUR
BQP9CChd6FM88zm4i1OQ+EAKSsfKHR2rKtPjQ7Er0VB0l22zW0jM23TXctbcVzOy4Xch1Cvz98VF
ncuDGsjVF3g1IA1XUa6T3VhHa4RLs4keVYN55LCOrc6iFgVUZs4qpNhVka2/cTro6Dn2tnb5OugQ
006a9G7JWsf74LVpwvIrP7cmF3yByvxpZfLDdL1J0O6KOUQzOySdvRDIBOG5YGr4mCiObMYR2ZEj
FoQku14k/Ffwr4s3vAkr38HfskwwyiBUfb9EqU8/yyoQ0B83ogQyGIgBzkhawqKgQFMy+EvKpulb
3y9xiDqX1O34DKc20eaRqn180ZpkfcfoXG1Xqo/Kj6HuN0GR/7266DTUPpmfgpIw+hEiMoO+Y7Ss
gYy0FT2JSXWoHaRe86gKZ3+nRJlK6DqwW0oqVpG7JmAMaDZaD3JFPQxF98IpFhWL2Ui8c8xpl/WD
XR7hiRwmL1IJdx8EiX7hZRo+gfthtsNUQgR0EUwYjJd+WNyOJRyGvlvr5Ave8+5qDDvQ2liLAG54
nCTTcaqFmHMqx8FnMii7z1DqLtlMId6SMvHsSi0yuEuZX66Z2Gq+n0pYL+x6ui6HGbESh1D25Jgg
kxk1b4z1cy0qut7KaoJ62Dn4/WR0tqV59BYWr19gIILhTK8+qT8DGo7TjLkV70Pk2xZlQcRhPKHj
SKE/5sQ81QtDkxgDSqgqdBktDWAPm25BoUCDpzvKK+AmHvHqyClJ1dYcIknkM+zX2+4h4hNE4AsS
GB4aPJEsblwobY6yvRqfKWBj8a3s6jTJY4mn8zRNpZ/27Vy2dR4lqfRfz1zX4zT2w3C1pOnW4290
gX7owsT3t3GVejRsaxPvOZfBdAEKZervAUWPO5SJcdwrSltdRLXrQ9DlEAy7mzxBEYE/xiU+C8AR
paSTxLjtQVp262oedFC3Lh+pDfvLIHDDdoD92PYeUMQmZT2iIa+qbVpwfEqOt6PzZNeJxObzbPxl
PIVoOOtmvFplTR/AXp6hEIC/I3AOGDXESVp+DjbQyfccCpn1CTjT4nAj0iR8N1xVUYoMnG4DPKB7
K8fjiA1F86XeZj3k+KQgeOddjc4cFbN3Q17PpYR/OcyLxDUs0niaC8+kPS5TMvNDigxwRKOWjvEm
CyhsD/dexOdDGLSuqpCuOGNiQvHpinbTwh8NRBkii6bF9DjG2Hd9WNw7y6NUhlSFg6M2ARNziJLw
eUrQoRXOC1XnaeIYtD6Grd1zw2BTUxD4zTefewAaSTaMtq6fyLKhelRBwMJLloYDzQcR9VExAQ1z
+TQ6QFsZRFBLVbQQF5LbRM6K3yMQpHHZChdoubNrSadsjbYEHYyQofkWKKQqZBRSD3GPLBuXHupV
+vQbw4vyLxoNKjtRHfZpnvRpF931lScwTZYYCupGD8PDCgF/t49aTYY1oxDbOwCY9bhVGNQNIAdc
1AuaQmS0lzOCtYUur+uJNNsxTMgyXgsJnDZjMvbwS5e1+iA0buqbaCtH8JJK0o0XlrsguoNuMmU4
UyrePPY/4yr3yG/0ag+mmxxybFWo/Tr6QQcISNwMPwY94JTPpB/OnxDD4FOESsgWYlQMYMONBX7Y
5dBXGG0zeLGE0RVhEcVwSU0wXjTgWbivPlqFLkrGSnPwqNe+UFTKbtfHMZ+LCIk0pstmNaz1HtNg
L67KBPZrIF/253gwpKVNRVs3YrksDUl5Dp1IJWgBJwaCA9WUA/bZWIVO1SVzS7yhZzEyuQBIMGFb
P6O3y4DDhl0GwejWFjMug36fLDacP9KGdn2A2SFMTIy8W5iYfJfd0EPP1WFDZnAzHdAnJnnQK3Fg
kYzW5diFPObP8IwezMljtF8kXniTtAl6kCWebmna9MtLgFcjgqwOTTzZ/dnNGgOp45tLbux5gr4q
g6lb0HyBLwuDqbWsqtt1CDWGFWVjhgOedMCs0hy7FopplehBjN+aFdM1uH1rOpAPZVwwoxlIKQam
yUDb6JBWM6lLLSbLbymKR4VWkbfbe1djG/Glbf3U7ZMqGQOPd1fGI7KYmWruE7T7OMuRSBO6l2iN
5o9aJtTzzIQCbs0+TSz/FAKfaxD/AvzffBUqsd2zDOwU3E0VFj737jyowrFg5X2Up26GrzFkc1L1
x3rA3gsXSSLjvUox+LAdchTtfAUFYEV9vmGHNGHSbVTapAWhzPArL7FJOqG75uyEtijRj2Pfduoy
rWI/HQOLYPYvMSElydm5Z9vbaQhs1qeRD04TgTvVfWC1bVDjYEOfC3TG4261A1c3jTYQugyUpO7T
1oPSmHOiseRp4n6ExYyqAvONMy3LT7HXKP4j8g1at10GG+K70bLC17A/elnFK/opRFznYboYe7FO
o4gvFFB2f+g7tpFnoIqUXjYdNoG5JAMIADvoiYniBa7NDdjWGVEL9rOKIpvHbGiDDGfumkm9Jtg1
Uthj7EkIavW8b4IQ+x42YsWzZj0i1ni2zoukhapTmlyYxYrtQiZLQEZYukXeCmB6FbLSJivC9kRD
pfUz1XBV/0irxA4nNLZNuu9pbcWj91jNFH3F2wrqRBDS7ppx7NlVWfVj9+g53pirNeKdviQWkTrX
Ds81QqL5utG71qZDdbm0SnRPGPSa0uXEoluei3biA2DrBB5tDcktDrMMcnh/sFUW2AOmXOw70AHP
FsbpKxwMiQ5zIWCAOewGrIK0PaIBU3hjTdpKdYf79AjgGWQcrNLQu4n1McbbDnGVoHW3PWF7Ui57
h5O8F9uWnjBEs+AqCkqBxo4RuNdF5zUejw6kZUweujad6WnrJyivw2idzKtvrIBpRWdhHbI3lVzW
Ogs9oyl2nBFIV2TW3OUMwIb+MjhY1t9NsF3Q0f5s9RoC01gowt252oRrczF43xXroM6JckazG6rK
ZDwmUPL6i3mUNi4qt8rxFGn41AAiJdi3TqtK7b4BiB9mgQ7DYI8dpWmKnlcCY6ectUSHFA9N/Lak
SJG/KreqXR5gyZAYYO91qbb3eKRx9VV2E+mPJIbU8UiA+s7XcA1Q5lMPS2r0NiNNllOYBHr9vs60
lad1rQINgG+JeL4JtCMZ8GWL3UqjNch+s0muLRm0z82K4NCjwlNoC7tFUZeDG8+wM0+SM73W8b0A
s/mmd0gGfiK+q/S1Mls4XqaIvdvOn3ZaQusgzIpkeJ0m7VfAfEFctJQHUsOsFfNMrkdc7cMOnXWH
GyQK6XnM90r6WxEoF+drEIQKh4XPCnIJSc/voJCAq9BJKCpuder6AHYDTdq82/P98T21sE+AlpxW
x3kSa5gR1Lv+MVYqMjh7FR1mk0muoaoGxISgqLQmDSniiAag18TVXN5EdWr8HmUUXoiuHxv3YdpF
LqdpSwf6ohbLEgwvc2sv1zXdlheeDtLdnj0c4ws92DIbYHYzZ+hGqzNYLheHey4WmHd8XUV6qWso
DW6wKBkgeEdvvAHamjugVhTBlQk1bxCuzjyDsCjyu4XJDqidmusH0CRCdEQOocwPLZiNuC8iYwPe
jcLxUjynkggwzUeCfZY7jKWaJ5M10Psl2cTBI4hz7L6V/QCQVAG8BWBDzBvQiq0JMmbQvrYZRZU1
wBD7CWqPDCb1mDv3C+ShCAcal4TVr1BYr1Zl1iPEZj4MztCmzf0M/3D0oYQtNCxUXIPKUfybVgb2
vAHlB2yqYpMTMIJ0FnAzlzmMkuOnGL8dXDlfV/Io6jP2W2H8XuS5Zibl7RRptQNasFmQrIMyOP5b
aReyrDrpL2DUvSwFYe1ks22t6S0WVqMtWAnx959jMP0YPsfWZBymUfc7Ij63ySfm/hyl60dDIdrH
DusaPG7cPHCAFg39kxKaH0PnJrg1irJJ0z1ukwQgknDkWqNa63+h4f0DwyqsDH7P9AEUFhkw0rCZ
CHD+5npqzNXggwkeiFpJAE6RaxELkIo5uls0oFsMWG1A8ilY8Dn9cwrVmVX0j9hGPxDLKqxoliZQ
6X5CmmlfNBC1XIM8OOfo17B+xC6O/wungT8iU/3ABVWzxqUGTvEehgBz+mjWqbSFrNDnFh53JriT
wv6hR1e6rOO/eIf/gGT5oztRC34Y7iYR3TOOTA4D25ndDKz5X7ygP3r0H9hnEol+Oq0FBXNk+Nqp
8NlzWf4LuvgfPfYP9FC06fMgq5LuV8R+ZLVaj43t4z/54D8wzEwYmnGyjO6BQe+wSG2yMgTy+M8v
qD965j/QQ8vFNYaKhu0rEmjc012ZhTXu/n/u0c9/9e900FEnY7CD8L5E2wBvXiOQMrlNj//8wf/g
CiXx7x+cqXDwcmlxudSpiN41MCWfE7ZGyBXi0SAzacHGvoDIico/Fc8X/2hTVPPKp/BsoXvEodKX
ZFb6pg0Br/7zF/Rrcf0Hp/tHk6K0XWPAQlWyH7iogUCLcfVYruCfjzU07DlB543/MybhyA6NbD+1
W/MpxJVGL0rd2BqzSlXvkM74vrgY0c2ZSdGS/e3Z/fu35T+qj+nub89D//U/8fW3SWLYr2rzw5d/
/TQN+Pc/z7/zf3/m97/x18PHdPM2fOgff+h3v4PH/e3vFm/m7Xdf7NCXm/Xefqj14UPb3vz6+HiG
55/8n37zLx+/PsqnVX788tPb+9CMBYYe1XwzP/32reP7Lz+BXYg1yVmd8u9//0d++4nzq/jlp+Kj
r5t//Esfb9r88lOa/gwRCg0p4+jtz//96S/+49fvsJ9BwIBzUxqKCBliHEV7RPJp/ctPEf8ZMEQM
ikwogF8AL/jpL3qyv30rIRF+i7A4DPGI0U//9eR+9xn992f2l9EOd1MzGv3LT7+G3/33JYUXx6M0
EkkSshgGFoL/UM6bkYKcJrAWaRSQbJBWZix0XeU/1864WxAFP9lABQ9jbNASY+Etr0BwAaMB/NQO
LWnbvw6dcm/oqppj2QkEgveMYqcrbAZIwewbEMbuF0aWBzx8jebPy7sKIO8HZpCv3mrwHTeBELoW
yBebkulOCl9+miPsRzEL6pd4Soa3icMYOwConOmy6+7WiT50U++uYBAJqlXM/HPcMrIj7VZmFZY0
hQDh4nGaxGfAa0keejAyx25ediwI/IGM4BEuUdQUWks0bev8SIa4PhN1J6gmjHiQS9AV1pr5MRlg
oa0r9OKVRwQ5V4ZegMUyH7Dv8C+4uYJyE5X9d6Dn48nFVf2Vs2EGPKHNVzty/am10QDX/hLsiIRB
x5u4OG2KdliCEPupMvzStYDAkXFuMV5xcfIhGDM5LMMnTAHYd3xBAkgDCxhBkyYDdZa8TmEqMlJK
DwIZ5LFTphy9pgbBG9madvyZB72+qudwQJ/BN+kgqZ5gyvPrRf7/+rBfN99AEp2+mx9P++8KxP9H
JQGHJcH95I/rwcNbi2Nfv41/XxN++63fCgL/OUpZijMX44DHZw+Qv9UDJn7GOiaNGIWdLxYRZy3i
b/UgJj+HIVy/uQBTEqf//K3/qgfxzyRJqDhzXAkPCRJF/hf1AMzL33WQaQJZiUgJ4ynqEuxbflTM
TwQX/xgYvSdghJydyBYgrVFPQd8CqsaOI3YMWBEtTrODaFvQAWeYR43FEHRg1Suso7IhqvhVBONE
IKtLfGKz6Jp8WAGE5QBa5Qa4i45z3tohsicxLHubtrEDmTUFeLuqGMAwHLk3yNNo4HPbJCVob16p
ohlGdqwFTu3OWmRTH9jadq9bsyy+CGOYFOw4gDSwyKcBDpxkLKvTAqbqVzTCELulwh8WJ/jd1gFk
gpl/sBuQfQvr427aSSQ9PjiQAb45UDDfVoD6wxNittnXoTPj58hWlcrXCJvcbKBlXe+rRFfvjqTt
S88HgA8ziRx4jh5H8JC6YXnUhFgkjFMVnUg629d1lXDz2NblNeZgJWd+JPKmAceIFMMYti5jo9lA
II+imhS9CbCyY22FdEg3ILoApkAh4IEKc/PtoEIQCNfQileJJUf1RmD322bNBNOuHTblFqUzUeqG
JSEFhxr0qMz4OgSSLsbgUuu4N3hQZ7ciAK03vuJu1XDQHKcpPE7hqPLEjPYF9a/ts8gYjRfQ9YnM
yKKG/dyO7VcsSLvT1ibyDhq25L0Ow+UJC3wsOLEZwFTsl3m8lN2GZSKWScuuRHbJ86BhPec2PoHc
Qm1aQUwwT1h9b5Y+17YyzzPi1Kpi3kQjshmR2w8hq9p5h2ewPDtv+rtRzvV9B16n2oPmIi7qBsGO
4OdVn9tqSSnwW9qkvGhGu8QFT+32AtTDqUuGVgkbnwZFd28DMLIvgsS1b1Q7rOPAPK3iqzCVo8qo
IvBAXUOsxwZCyCd4Q7ZqBwvKFWm3sBt2uZy0KTOzphaiyZXrZ8tYuuW298trC9j2hExi+PY3Apvu
nTPlAKWMgBYk1x3DQidUzRgfPJLb50Pp2zMjZgatqiDAhA/giNmTHpLo3mrPn7oWll+iq/FXgxEr
klxgAXZXtibuH7DMmjIsseOLZmbxXVhv5mpxBMFlvR7pkIUhH19H8MiuUjSmQRFOin2TWB4U4Tjw
YA+E3Vw25crA+ltiSBHo6HdinNirqNqQZ0PYhHM+2aCSBfgPwmNmhd8KDNXUkQN2bPeTqqErmIg1
ud8Q+AiCl6keEiRZWMzArfhMfDO/QPHEvzLHk6vUOzMCvcGDIzqjy5OJv1jX8D7HLg3+MyZM3lLa
MHJbJdXEdkPvQcEHU9PezuOGpQCSk5JL5RJQ/Daga+0+VtJ+plOtv9ZtBTC5B12yPyjUgXYfdZuN
L7o1AnpUMcgfspK42GYl69L6apaVp/nUpLgv1vAadKAFClnnC9B4sms6UHMyTJj+GlKMJCyw9VAG
5L4QsfJTCY4flARm5RCrwOomk7hgwcUMmrcOuE55EYm6f19nG+5bUcWnESccnvlE198UY0jxTCU9
LIRs2Axb1mRRGSfflB3Aul9TllwtG7YAN5Wd3JdgA6zXjonOQ3CiTzxsqydcUYDBB4GrclTbtMfN
ZH3t7NrfzBUnPlcwxE2Bm1XRgWI+FDuaum+tSpZDWsFZf63XAQyFpVsK24bgYgCTc+xU9Wx7RLGh
w6dO8PKNtwG/iSpcEHuWztinVLL73Kxw9wO9AKmyAJKH4GUmi73pnCDfra8BYvEWk1U2w4YmhVt9
dSIkmt5NPIsYtb2JyIGH5wYFIH0Lkhd6rmAP14A1PSSguamdTyjRuRm3OLpW6WouUkxUn3gZYl8c
ertmg8VJSWCFNO40GCtXMW2+VCYcLuK+wUwTSfvWL1Y+Wo/EE8DKJKNYLzwCmB3hkpHMCNmGTCPt
skr0EXaYm3ujAu3jRbPE453owByEzHJ1x3A09Jj28/bZQPAid+Hk+S6UsLW9UKVJmkeSDAvFz5bN
86yx6chszfu9wO3+2C0RuAJdAiVVFnnskm0p09sJw9iX8wb7LlrDaR/Pi33uq4U3d0NtBhSUqKIs
i7Ge+NKCqHCBLnqJc+tl884sq/O6URPHzmgWCwRT4MB8qgLrvi8QogwFHYb5C1UJWAJGa2yBy7ay
eRIMkwF5t6QObMMUjB9EDUP85VYOxt5W3gEP3cgubcrKFRwboQ7JmCF70aBd4MYNgSLZwMaPBgFG
hihBYBPpgn1CBIamdTXmQFtnEvKpnSyRZVp2xr4CG/JowUHFr7MEcHcPFqyNA/jipOPpnG9ya2b2
YPt0KSBaeZkqh4NZgfkCkjqHcoyWV02sQI5bdPK+1C05op3n4LjKOTdOrkWyNl86zHZZOacfdGm+
mioJDmHTTyDxV4PNrW6g8KXVkryYDqu/3SRRiWEcrBFTFk2Jj48J5ASA0JO5lUf4VNRQmAWglOZI
EqKuqPo1nvMq7e22XxRXS7bU/H2a5qkGe96Ez7XkwZZJAj/cC9/1fLnZcPm8Y7kL5pl3aHWSuh9M
gVzQ6ZSA0Yn1CGkvOlB9d5GDvZ+tMbrYxfAixYHQRR837RGiJrKrQZl46GjY76kr+6KEZeW3AUSi
77wpzWvPY1CltlV/DWawQrqNJU3hwd3C3pmW7AZrbZaNwo/hDmFMW4tVwNgx0OOmIHhK6qYHywlS
vinnnZ3HArQAt93MHPDlDg73kJMNErMIzDJBVds5VS1IFgrimzl0G0j3C1yYd1No489RWnftUYAS
98HnMsoG8PFx7XDZH4dBizhHRUBwJsjg/HbbemwJt1GJa79JcSImWtfchMAkBqnjS6pU0GWlq81X
GRkgJuDrr19IBKdqbFRMLHIb8A3VoiphVzKycGgyQyz60Ir122FYabkUHd7l6xDcXUgKuzhlGaxQ
L7tBlbmMJmh3JxbpZzRRGwhiIoy+6XlVny32xZf9QHldjBEHDRY3peWmUgJ72F4oEuRpSLGGAmG6
vbVpWNcZmLemkAyUryLsjGInh0n2CF05b1HOSLT3kHzg7relc4/bKsHfi/phu6Y9jmm+CM6xdO3Z
vRfb9AwDrzTNKW+mIw/SFFKv2bYXY1hjj9yCLgQL2kitO9vgIU/NlK7NrQrL6nppwQbN40ijf2Fi
vo/kwB6QLYwI1BIKDZVVboslamWE6wRsDLzmuLdk73RbKKwIC2dqiFlg9aruKXbPV7bE2wM9U7jV
Gco4BVEOXTFKBggch4Zgbt7xOuHDS0Xb6SNSQ9Q8QPWAclH5c3fU1nKTsKU3/RsahfJhdctanbiU
msDa2awbjo2ohl03NOmIpW0LPhUK9GogI6vNcwenC4f7MjG3dlrLq9E6B/fgXn0MloYPHgoYXYRS
9Pc1QnCfopmI5wjKjEOEMKsPGzvyBLmJvwL/N3hdSYkYrxKKins/tfYV9RftQoKk2yQfuG4Pw5is
a+YHwo/wvlpfpmbtNyxVw/6FJUSa4szcGlAEIAI6TNgQg1cNSrfOK9iP9+iUSQf+XdCji9ENlkkX
HN0/WDQO9LjJ1fGx0RHr9zPpwGZmNe5uWYJwsvVQxnXVXG6GdVfUJut8tEkI3nLT9jAFtqIX393o
hm9awWMeGzjkHe00ZqnnpF3hvcJqDzHsgWC3EOS4euvkEjtp5VCzWtnuKaTADryEcRLB26R0erGC
ksynQsCmrT3WY4v1QL45jDvI84Iv5Od58SF/oBP6kgOIqBEovh2871KQ4OwbHZdMr4iO3Huo6DKz
9JCDRskEUiqi1I4xzhMuzC3gw6lmBvoKGwPWuNlk9X/YO6/dyJUtTT8RCwyaIHlLMr2USnlzQ6hU
qqD3/unny+6Nc6o32kxjgMYMMMC52MCpKkmpTMaK33yLgdWkf0q+0H7SOW/WYxYt0T1uZ5NfqHas
7HLMaKQaN7kltYiN1dOQQ8dS8KB0jDIzMItx5KaSl3a7EHCKm6a5jdeK8aim9kcFXdSFde5T6i5H
W3RjfOdOziDvQCVG0z7tkj6cR7u8J5rWaDeuzUzytOS6se5gedrmtpvXODnYIk3St4RsRrHHl16W
bZ2h2XxQM9I/vSTNpF8vZGM/2DJeRr4zK+EwJPVmpPi9T0YLpLXrGDPbuUkC3HOgAaFaDP0Dobbr
g7ZvJ2JoUW2EUWIv3g3HdzPtM1cMR4uQS7sxCEPtYZxlu171zBJGJOfHuGQNzGFJZKpv47Y2XSTd
QaW3lUVSM1gLUfWbPjO6baPFIz1BNckd1BIvOpptNdO2SckeByxxdKJj2SBsGWy5NPTF52Qosg2J
r7x7nzPG7bqZl+I2N9E/A5qU9kr4ZOrd+ljq5eLtI3Tmxe9t0OYvHFKyO1hzXzLm6NN0M06miw+a
JKyzeyYnhoUt+AxX9/jlkLllDfuZNFzC1Y7A8CVtPO+dIL1t+SQNa4pH/DgQENpkWfdCuc54ijVr
zenY2I7lr5rTbx2jbaS/uqylT4rs3Uu1iIlc1OoSZzVnohXVH5o5e7Gf6ytNM/VAlUQfwjbJOt48
3pTTszXHlEqMrOMwiYjaGH3BMVXGWvR7TZj1DsJJuRkhMYyx3+fx8rWo1jQP3SQUA6s+dsemGYdH
YlIyoOVhcv7bS3EYzUaz8F7zh4GQNzhrKqYnNfOJZWqJyH1EZI4l+To1/uwcd8iZ3l3KAhURXcdf
uArn+6RrlQw6NP2XTpmK34e7ot/liRJ31LNz4xY036hC/jYxP4tFfFrYsG649CvqaiKgJzPvZlU6
vxoe/WSUqQg/d8LixpSRFfksNFkeNFayUJZz8PLrvBuCvliF9HNlt3m4FrZ5Z+fKfGiSyrp6BsUh
ZQXo+tMUvBxyku2J92X/xCvv7VF8df5+5YiKSlt3qJFQP1Wnq5dlSXpapKoHzJ4K4ziagsI7boQI
Blfk7yobHfbdt6RXA6cSFAWm0a71sGygD5+9YWh4Lplu4W01frCXRmXeCe99ofaWVWhLpRtNgDi5
7IddG9F0wlmP6SYlbEgMp8GNeGI3RLL/Z9XN/wu9DOPqFvxnwuVl+DV8xd9tu/wb5fJf/9q/Kpeu
8QOrwLZ0S7epj1hX+tVfVob9w6YI6dgQEm3kyev/85d0KeQPx7r6FUB1pOcaV07ZX9Kl0H9cXQ9u
RdfnjH2F+v83pEvvb8KlZGByLak77E3Q+c+/2X527S36UA/NRnPt92gegs6dSl+pweE85Z6BLjZv
lefc1OV/BXn8t667Y/39S//dziQmm2V612w8Evk4EFerJCWOlkU/p4ZR4Y/fy18ezp+ejXH9Sf70
bBxDdwSIf9PWpWUZf0capdGI0mSVy3ZkpdORaA7iREpofHaNDNp//aarNN3xm242OSXXjeeM6Iq1
boejHN7Gqmx8a1UvaYGV0ju3YPwDOlo2g3X02lwn+qzhhpVU6UmYpGf/8+9e/DvfvucJF0AD8qPB
G+r6i/zT/CU+5sixoauOS7N3QDd0ftVrrd8wFW409p8GU7244ZqZ84V6X/JoRfadwV5DSGguG1WH
5o3LjwpSV39ny9JNbFo7o8p+KucqzRTJoW/oVM8Tf9YosElK2jAMq+5OVjSXAjqKB9UY+pNW6lbr
R3m7r0gsLKPynfV+qfSArO2GUs2DZad7tUw/CafTcI83yIUhGe4+UEl2zy3ooc6XR6v5Rb928LXZ
/5jpyu6chQUSvVk4txW3idQHj3LAFx4O5MSQWWlxh7bLDzOX5otFcJ/2rKGeZKbfl1qeXK2e+AGw
X35jqHn5TIve2VVeyvM+7tuTkeYzA22pk4MTXhtaYkjuyJTRys+nZq87mdraDpcimwf30dKm6IYK
58oUm3aXaYysPYvtymPfVS7pUU5/EHDVHXhFukBerQa/lPJjziKEoyk2ftb2On7XQ6/TDDxNQGDP
tIgUux1cYnGpmVVbG/X/WA58CV2ugTWWYquBiP2VJOmvBCHvQDXKCwyjmbaWFPfa1XKrlhi9IH9P
3PjYWN6zIrTuO/xqbHrLe9HxF+qUguVURGkIGKG5xbjfzEP15EA4/i9ob/+CdPrz4+TaGCh8hK0r
M0Q6V6/1z/ejpyrR1P0iNkOelypMbOrpQd30cRZgdmAy8Oh6ShJjvlnjQfuIWfjacGBTOuK0r27w
cZ9nY2S8jsrTRDD1m+17ZDMzPd91dtQF0uv0h9issteuGYZbZ4703/+z59X/q26ckMYV5vQfu3Gn
z7YkFpB9/nmm/fW3/uHG2bYhXd2T/zDh/zrTrB/ABWx6AkLXbTJn/7TjhPvDsqEj62RcheNwFP7z
TBM/eBcJrDpDWPwHbPX/kzPNJgZAg9uUHv+S+fe1MbKztZp0TL8huUyef7mjDvYbaX87YpdrUX8/
VtnvxuLW/8er9O8cMa5zPbL+/FBIWCac2ILJ1Lb5Wa424R8PaRXb5irXfNjIyGtZoeww/NN3BsBj
cz87GDo7tIlR4mn7TqKtD3NXz/khH+P1nIiu/o1jucwgpKA6Yb277lvlLtUpZTyASJAQhQ1x9zw0
qm5xL1beUNce9DHemnZkBNDGqt0qR+eoqZ4IEqX8FbcowgdfFFBP2d5NSNahNM2vVFdlOGTQAylL
BT0XI4L95cNSsFCzR82XmqGfYBXovjW36YM5C6z4mRwMKBpN0EMR2dnpiM75w5xOZ7p+T8pz+XrR
Mnc71OHifrGrTVanNykn1W1W81LM3irWIJp1mFNJlvCXpyXJgqJqxi9TatZz73TwprpBqLvE8dob
u6RmI5Il8g1KmoVfGwvVfVrKFPtT9ZJMwntAfcQpW+Ma+aHaickYOIwaK4xQqt5o/ZiKQdrSAIRk
yH/mqLl3E2Hc39FssC6au39LqyftvV99TVZhAwJG89Gz9GeUqI7/BMsjw6g244eOMmzO3XLJSPsa
KqVdli0T3So3PhnYr6fJ1ghm02FDYLDleU4K646uTRJvjGyxL42WUaG3Ov0m6Ri0hnouL7OaEJ05
G/Ba1sbpEUUKuu91HZW7yhrmmzF1e9Z0RqxtalNvm7Ii/VTOY/3clFh1QVN3mgrJxFQvBmwbKu4Y
tL6DGKXtaO541UUZ9NT9mFYI5Zpl6JGyyqYIrK728DMhL+2lrid1UMWYKzSqwe1S61R9TwhS0Byt
c3e5489NDcJ8Kb5tzbH1DVp2yWHfe5dYTiTwdcAGdjBcN9XaAtYCYXhLUvKq0nGnRh30WodBv7NY
dFKHlartF3sZnXWzpuyqC+WIXBCh7bo+1Bj2bFdOvRwiJp5r5d+ub4ch7j+a0uCNlDX6m9Kr+Dvq
nfqLVyZ56LLSu4MnDwylWfKl3CTWEL8RueVKnQyJoh9VmhZpfjFepDHwVVYjFnuWl3h9sOSO9cEO
5e4o11TOQWSNeeQnYxqXYWyKZUMm09imHTOLUa3mQylc9jhPwuhXAinXVg3B/fmrKRzJrkM11fdj
JLyPzq3i1zbh1dtYblvdenmeUeDzlHwZWcXlO8MgZiLiyfyJ4dA908nl9m2UrfxskrQp/dohTSNE
Sy5I5mmrB41oxLeGUP8Y93XxMtppdI/d4bzRSzJGHLmce7kxmfqToq6Oui3GjM4ZvuZjJZkbu2WQ
k68aVRd+BKehCztzKMxtErvMfbLNNRHKmbUqKkaU38S64e5ETPU2iNUqQLO4+p6E+jju4ixuH8Bl
NNAtlJ6f1gwVjPEk4inCklA1+diQ2t0CSrWAHepmLwAikVR1vUqvvRun+tJR2fVQ2maxX5trgl9o
qQNpYTSuF+GEn0eCJuITn7rpRYP5czF6x6Z36dlOFqylmO6TyjVf+JXaflVL8pDSreUmsmT7SBk9
Di16pxvbtIv7XCTpZq1xaPxazs0bNX0M9JnHEEqnJT94mPMbdaG5kLRyRGkH6LaaFzQjMEHqGTUd
AFQ7eDd8yHszgISxHLS6Pw5KLiW8oNQDRzKWPBZGkEhVmGnreKa1O73kYFcIblg5wzq+hFHvdcMz
3jHgRztQg23XG11oMCJp6qa34D6HCxn3+tklIkWSKRoddxNNpfU2FWv9q1ErIkQR442BMPTQbHvQ
LWtQ5wjQvnLbRR1EpBmOz/UgOxdloceXivWq8QbojXmsKGrHuy43e++4UHNSVPYFn662KhKwSIgL
n1PUzlGwqAjMdMkasG1XdhA9JyoXW8sEOBkic5MLA+yiWQFvnHYMGwppyMWVVkCAmnQvbKIKAxkG
W8cfEbYd+1hCw03b0dHACF2PHk1iXAY3uuWd1H44oyZutax1Xoa0LY6ELLLTmtLDuUph+V7GCydo
Vg7LK3RLHnrAl6az1VN33xQZT2oKp5BX4KU0DWag5fyqGMcf5wxnI0G4Lfyp1rOaj5zT/l4w4e5b
aeJbJ2UK855E2tktJrHlB0UZVlXxWlaqPSqWlyZB6nDsYJqojKDJeioMlnhoDg6ww0dvY/Kdf0Ki
OuPkRpi3uo1rwyD1k/Byfmb/dTdtqD7RJ8zY8pAERm07+j5SC1mdDBnmU1eL0/iDZOHGTSWXnF6s
HONXHReIX/SVwRG48+yCWxH8bHMUL2/wSuUTj9/6MreG3ClKDO8V5/ON5OIDtwzY3Dv9btxj0a24
OooLhgrG1KFNZQxkwhGpYdkFkmLPxzTY/cVytPEczZFx0Z3O/jYXcC1ulKzPNh+kLw/F2Qp6XSbb
ucp3BhXkOnCrPiL+kPftrzUZIcfZTefY9LDoGF9/acZ9YjUDWUIxHAbk2vymGUfn3aZI+3vNIpjx
ODYoZiLPYLAMaQyxDMV8ZmUb2YGRDIWK3LdF1PKT0yW5l0LEM48tUpezbwwAhsKqr7Ve9xvWEt9B
QKsablGrNcNRAKARaGZroX0NdjjjQ/AhgGY2d1r62VBrOFdj9ToWLR5Wy50vTgXwlqKjRspg0BBL
6TXk1SW25KNczesKjwUDKigiK93WMaCqsOCVEEW0kKiihQSJzHC/GqM3T2UsXdufHUHuKaq8bt8g
H9/gWlBVi5rnbDatn25mePne0XmbbTyjA6MgDIYE3xqc/rcrtZRY1OAAjLSgBj7QfFMRjr+JA+Nm
KurCeB5SPp3mAJkMukXLm2aESQp5MM2AKg2zVp2G0YIGhH8gCKWUJYNQbnHo6xx7ba5zbXVXl+OS
A178brMoqnhO5+otactxDbTBmrEGMGVCHW7oJk4WVUAxQV65yeZiOSZNov2MkpY6YULCMvOzFqWy
Rpn44AqOe8PqN+1DaQjogckiw08oWjwFPKNAnBSrJh5Lt7asvRpBWnBQrdPzRA2dwxjUU3dYgHV6
Pm+BKQqyNF3U7WLq5oOOPetu84k2sZ8A1mxxUMrm0EvD+VVE5NRnKwpcL8vDtqm9wOyFxBG24teJ
ehpu9crE1uLY+VnRVUBLgH3BNyWdj/SP79sL7WsRqn7X7YAkQ0n2ge5f6tGiVr1bbK1EW0jS0mQd
1povVivjDhyV4vFgx2GBpUZFfWEh41zu6RnPqb+krnWf1pq2mYrS3VJByjeOF1kcuWN0oQxOG9wZ
3HXrtsUXTFDxyjvR/E15Lt20VGb5hFWOdyE01d6k8Txp/Iu587CKJak2eu/Fj9oiiltjmHj9+FC8
wP7gcUU9mjXg+HbLa2QRpqU7RTYuWe15CVHkO0EVtx5+w1AYvqx4LBHZ3S4uSBRFJEkKbje/Tbcb
22DV4vjJqgkO+1VnWLdThyudGNAFAmXwLvSzZCrjUAzL9DvRSCfUa1M8TisPFb8uWeMS0mZ2SB2w
L4ehsu9nYz+AbaTIms3L0eKNyNCbQ6adSCT6ehbHFWX4xYw5xsomP1NfQTsiEDfqGMZ5u1FCJo81
HtVDtUDIXR04HWvhrG6gN62zmQx3ClB9yE7YzTDpGGJSO2Z5BFVpXig08CaW3lMVYfbCg1iYBDko
8yZU7Zhjrgia4yDwZEyrl/2CXahZCy+tY1XPAo9pW0NLkJsBUZDA0RyPG5iTHi6n3eWv0G+87kiZ
OP7OHNXGPoxkpqKSpb0EyyStcMQ0o3rRBzN/mjrd/WUUqtpD1pvrw0Bz9q3kZgwCx2zTz9SqlL7l
GmvfYbDTOzS1EvieoXRxAqXEeOjhFpCiKtE7gRhEFg8HQqqIXGQu7nGsAUD0BW9Dv01WBmzi6Cro
rFa/GE7SiFNOJhtoYmvpT07Zmj6gue9yzWcHQ5N1jX4rnEj6Y6Glam9LBfKghcRQ9UCAoUYhTh0T
zIkjS6F4wwGgyA59areXziTyRAMdWIptAffwx7lOdwnp3MPkKrsOtCr9JZ1Ob30C3ZTZvda+l2l5
Ei5xoKmpDoUBVHWOs+d4lQV4YCE3JN12JUW9XVJpPVamMvzJkHcdH4C7RIvczYKdGqBx4Zw7jB9t
BQaXVHefXdNKXCzwPcJ4yEEjj5O+zUw2lZWNKO8nC5pgsbSkYARTo1lQM434MouV31SlSDYakCTf
WQi+L3Mq7ygsdFsWwuwHDjYgrdNGddl0KWWrv+hlQR7A0lMq4m33WkYj1k9iyIdRumjJNYEWDOI7
J9ZI3Rr2IPcAKLwDnqMVMZ8YauQJ5emhFzXJSYiM/EWbuOtGbyG4xm7lHdexnaygiryIooBbfrud
s2uooP+ulzi7qBGkaT+WHpSj0T06sUHkpJHql8sBGji8QEOb0+HsrUFHh8N5tTf8i5l2Wf8lUjGb
ONIcyV39VADL2BvAfKm+Ykk9mUWsnfKoHPyRDubewaB/rql4fkSDvgJ10xft9zg4ZfdhZlyDGAAS
mtBl5Orrrk2zyeVJasxhn4A1oslV57800bc3i4iZLMfY4wBLZ6EzDdRLNm2B+Vz9ONdjM6zlplvg
kgO7N6eRO45eX7MtiagirplMCmF2PTNrt06w0GuXB5U7wfsOmZG6I6vceez0fGvvvbTWEWBSEiEg
zxpvihFz297bBdcEYFomqHGj6qwMrt1A4NEshfzooZB913ZiRLTRvWwJXSTWgzd6s7cHb9ipwCxj
hujJzOW3C501TFByTt3UTeclnUklQ7ZiMB1YAvHVFlZf+RYopHtkgWrfD6b5YPX6SEfC1XkkEped
QvI6aqGa3MGQTgp2N++SJOJynublaAC5MfSboa3rPZTNq/3q0o3bUojsvwiMuP3u/+uj/zsFJkN6
1/bbf6yPXoYy/fz5pzj611/5SxyVPzzcNHwAEzmQAMw/u0smBSUcO9eVmPUSofQfhp9p/LAFqqjn
uNe205/VJQ+X0MDt5rLq0FmmJvff0UbdazfpT40Sv1HiNnLPtGz+9/eVWUqpTCbc7XYDMdJ9K7Lh
s0xkzf3RjC5mrnUnKthLmGtWdSpHcHx2UapDO7vpCXsdhxrl88UtF/sXea8yIDirbR2hEzJhG8ZJ
y8p4s1qaJBxtR0erSBiQ5vVTDtalAn7G1EqwYi5OmsaJy0HCZZUurN96yfmKDg2Izb2QOPwVWeS1
Rrs4Zh1tYKPI2QVl6tm8bWq8SbgSySZJHfGc24nmEt2N86O5WuVtnS3rXSmc4ouCAtccl8bUkhjx
nq833WF3alvD0hTPQGmpF0PnIt5qXEetZUhCcFrZh10MOfA0vmpUmAy+7CWs6SyY48FiA8ArZN3p
oJWVGToSkFtTFvd1klWf0ET7YyrIOkytO9+RwHNB49uz6XcdGxqoV8zDJc7nea9BAD1VahrQWzt7
RhGBgBizg/mZcQ7xcZ4fQRercxdzjhrRWO20wrkYBBqer7jx74b6wFsiJ+ueuD0Hhe56l8QFCgpL
kK15Mkoex7QwDp6xvKTO2FxiG9WIh7N9GHitT0Rnk5sxdssX2Bc6aTXd5HKkgEqpLGibBmheUyfn
OHZJeTaJEAzjkzM+4oYVZ6dGerMgRxEHwS0eZPMmUWgDRqX6S67R7wUaJ9w0b36N0Tuy2D4Og5Ft
EujJ9+OVi5pwT7lAufLeLDnXNwyj1sksWvMwUML+ZZEhAUeDJkHtLbbB15rauVzrq4VpefZXbQ/N
rnZVcehm0jYICNOxAIV+nvKy2TMFFAQlXRDSpWbcNovzzW5JYbyZKV9Zx4F47Ej4HnMbgB6UI4cM
UUpWmccubLBCq8uVikhRXKjrZGePfPbOgznzbKy5uCtzxDAFV+WVq/VyzhcvgsI+6jeL0RCBbcD3
owhM4cDWipaZz/BuSWrRNYurutvrcWSGQ8kxnWvy9zBZ7rnn9No0xpU93xPpiCtjPvR8mM/Sc56V
RSrGy2BeJYnjbvH4nCfS1nTx8yL/ZEZtfNlxSQhsbuh+lCmxSVvZEaQkmLWWGtTeZagCDQYc81+l
b6w1wWaHIHZbSBY2GFwyd3mqF4dide5o9+0Ks0Qlcdf6NnIjK7RTN7B7isZMqLuVAQVkoN+myEPj
wu3IqH7a8bIjPpOclA0Gsh707L4GFbxlYUgL6MXgapdZW4mICbYBpJhr6O57RsedbDVJnXsB6e9B
lvW7JYufQKsIWHc3Xel8pdxKLivLpfe11lpbuskRD5/rv1i0wFmp8OawEh+mznpw8QfQG9s+xIRf
HpWXgCqbMhLSbNEK0OB/IY6fmYLpMfZGGYhBcnuAMfYaA9f1dZExpWQUKJwq7YMKev1JT1V/rDrT
2lCEcb57N4u2XGXN23Yw+TARM9iARvAeaaXxqs6WwcODhHk3XoULu1q3vI8BhYqFJAVLpeZXBWnt
YDopq2ABN24JKlTH2dES9tqNHVvY0+UA75ixR3QdGwJWtZIMjdaLq1Z7qxwT8RBQHCmoZeaqwm97
gb8X2CtOgdDifpd5bEzRIqe65u9w9QcbeDcm0886RWfhT1fLTd/qglUW/XzUsyp6XUptDfDB6pve
m8aj3szlscwndw9YtvxJ06w/4WTr1/u0/sCHvEZKj8l1YpfLBHjLZD5L8rVG0C85YHX2rGHssvPn
3CkefEgGrrlNR6pQc8QQOnvFszk1rPFakh05UBQCSBK5xfIADgz7bSy1a3vnvCT85FCy4zEpg3Zc
UJNWNq29tapY6ba4aZAu1GMBbjMwtRDefACJ9sZs446e3cDnv2fzAxp5sutLW790Tg6Oe8j9GOSl
xlDOfd65GVKUZDRinCHTOqUrwxYd38dyHeeTTWvWgtRu9Y+xJhOw1NOvzDWz/VQpEUbReBuzISg1
ATdkqTZvV5eLctLp1ravpnVnos3uTJsnOGHJFQS82WyGgjSAp/r7eHSe2QfWe/7IP4DiUi9vdcpj
w1f0U+z9KFHauhUVQ+91+HlRS2G2W/0VfesjIeHwoEtC8PzrQe6O+2hU7z2Z/DlPnkzTOXOf3FQa
sJ0CyNWm6zWaHHgCAduv4ptW09PjXGXWwUnZyMKOLLjkhWe+d2Y6hUnjZgdOiX3ZRzW4ZK3d0cWJ
MN/GERI73Nv6jYFWnRq59HcOrcRTReLwu/AsDerMfD0GCZ7mWVFuOwJNobN23kMnE+SnGTdUH94G
A5ExLU7DlK5nUShiHrHBMZuzIQIk9+Szhr3SSTfzUOU2cNSa5jpaAxydWcEy4wgYcQ+KPTV3VU5O
h5a33zcpoW0qlDglaw9eaELWd2s8OGQZ/tS36BYQFbLMeBXzzmgfTTU1N7X77cwmmoWzROdmzlx/
imzjZPetW+7GKellSIqu/1w5hr7TVXfDGj32IrKYXvCChcDxBtnrCVGnf6LOZGqht2SFEUx50twv
o96HS223t9rCtje7L1ob1WQB7DVIOHJ1NO+6pmT5pIF7qBulCFfy0OEwtWnApUg+aiwPORTwxIsd
mGwysmbcPdWIEnPXuHeuZg8k1V3tBXQy4n/FiKL0+jtnqcRTDY480EgKbQcr5/Q2zcK7BwX2Mjvj
BUghNaYyPvdJu5UD97veHN64iz23xFu49GTmPbmzaluCSthy7Hm3JVptsln0nKg9KgdBSuOg7Owr
ja2dWan92iUn8t77qZ+GcJoskiCrVShYj2bFzQb+RY6YVaV2tRV6s6/s4bJo+gME0y8OtJepHX91
trUjWG2fa6WarRKWF8iUxS32sgrOXaawKN7YpXTClIjjbd1ZehDR9wtNyijnyI7BkUUqDqeZVogX
W8MZEjrdsbqZrjistAYSpZtPPH7dm2WF7caVULM2jPDlQYD4Na34jEGZnEB2a2FCTnffrJ1+zxS3
PLKaZd1a42RfBF05eKaw0xlgi9ka0FhRLJt8uJVpVx21mEJOZ9u5b3dGF15vqsfIIFgtTDHvTW0E
XdNqn/id9X5p8vxmcheO6KiRG1CexLg6OYfVGts3lIFw2DWrOZLyBRBeTeoIT/RUaHPzPqSz80KP
zw0NVh+QuF2uTL6+dx/axq3vvEiIHW3eTzcv+X69tt5MnD4o0vLQaMlybce/NbL9bMbKDkHw0CEs
mh0GRHqMsKJebXSdNzCu2iZpYu2Z7QBhIa8JJ1DjA5uDRu17Jla8YaKkkgH/K5jTElSih+pxlE0G
Tqlp9lwt5B6opORFLdRNpLT64rgcUqq6coLpydbQGIGtue17lVQizGz8bL+VjcaDx4SeN2XdFu5V
y3sniQL6d1fOk6dRrMs8dila9q4eh+i5XOLmXleGGzaEpx8oN5pnSUL9wAw2PVRGXr62isUzZkF8
G1bm8mAgyAF57/NfVSFQUOA5/4b1Fu1mTODAbZigaye1bgiqUMRatbL4TCDl08O6Zo0Fm8dOuAnJ
o1JMeQDwm+SlQ1znUVtjvw+ROguIfTvUJP0s6FaGcCFMX8Zdd4jIopM1K9UHHD9B8cQxwkmbil94
Jd5Zc2v7ZYHe5sPIxs40h+7d6xr1kGG7PVaI2MeJmgNHnkhGXnqY8jU3ATRRKw267nq4lvF9l1rb
tbVjBjbQfUNMdE3r5unsmGMUyKkpz1bXU2DUbWezRtH3VE7oL7A/5bbMF0a32Yy25ATddzG37BIo
C/NhWmW3mXvRnFSXSuZPSawGRuEHV1a2mSMzftd9xG4nLoCHeHGrO6mS5Mx6lGRvo7EFxC6bY2V6
OqeG5W3nsnFFYCSXTJvKDfVEdiUknjhCK0R2N7wUAGl7h3lJPXG2O390+uLorhnxytrwDpDozRu4
btlvftBmA6nPOdFPxSPM+woxLV9+29H61ZPO8F0d3bNGewQ/ihrLVyEYjmHFxFhGpyhWZ7DZTI7C
uzVQn1ixZo+Uju3kNdHSBcpG/l6xWilIVOrc1gNOj72m2xLaagBSbDpdL/kIMeV3M9U7m0T2qeq9
ZRO1MTuYaO28xLGhEfaZga3heFVhPkpW4zSEC4ahFTcWI1jQGEb5zJYIEXGXG1+UTqlRa/RHnI9o
a0Vb+kc7Vsxkx6gY79NJho6aeLgsjORUDTUlljP98Qb4IAKwucx3qdX95O0JV24uMCch/odwaLuQ
kqnDnVtau3YlpOpn1xUptskbFcCf37donEMev6+xflY8Pzc0QDAOgHJvqwYXY6w1dsJZS7R30yKn
QJa092Ods4Ag7pr92HnrRrPTYs9JkR4Fu4v8Bg7q3bAu1g4vkj1wtrodHVNXfC1dHZN5YKEOyxGc
kG6cYdC3jrqIPIXxigqMncPmtyZP/TGvcnau1VoWMPju4+qGaNREu22cbsg6uqxm0ObxkR1k5TtG
EB8ekyUMX21UrprPXsqZTkXczDoplfQeDID2MFt20ReH1rqSF3FHWKfCL/5cFVl5TvtUfHACtuda
y7nmxi3feJo1pEYSMatAaN7bYK7RiyEGa9OMV9hun1BqBxTMsoiyzcSOqnG/c2olH9pyzo5LL4eD
fQWwmLNl7YbRaL8kcR4SEPGQvINc6b9mFvzAEKf/uo48PHlp4NmyCvTQ803uPWNiNYVEoEyo0pPo
ba037tLTyzgk/4u781iO3Wi37BNBkUgk3LSqUJZFFsminSBoDuG9x9P3An91t/4bbeIO7qBbI4Uk
HlJFIPMze6+dPbbVoG4Ttge7EDfTjNKlvjP4nd7LTPLDMBp8DuTwp0xj6dEJRcdQ9FgmdP6uG313
DXOjZ25ggk1ock2/47bVvUz14BL8kKn4pN1oMQkY8AyCrU1hQfxeRa5ZqqNFk0RQUKbHvLaidO1H
Ox01z82IiGFIkp1FJjxZLxuaAH9Hiflvb019cnRrAxZAW1yhsH7U5XCeJ9iB8RB9J4mKD/inzyQl
GWBJR8iGxvjS0Pw4vMM2opxz507vRQWXIYrD8P6/ZO75/xB/BSSTgFfEHPJ/P9Q8R3OBxeWfU83/
+WX/Gmy6xl+Knpb53r8RWFwMDrZ0DIWm0yFCdYlR/tvGIBVfgUyUvwxB5oKJw+FvG4PU/3LRD5uu
cBydr7Ws/8xYc3Fl/HOq6ZhKoUY1LA4LXQcF8x+ITCMTmTzRs36f90BwzSQvd4NZZSwg9FvifNwD
iNm3eJnDoWr4g2/MPwdmZvxfFKCIsP8XP4ekgTdtm5A+pJT/rgA13EArOMb6PQIraiFbRzaTbIt5
bXU3YXhS1b6yLn4WQXNGY49EhnSxwD+z3m1BWRvXrrJvG0ld/TxTmor8RJpouY6c1mSB6mwGyz6V
OLpWQ0/Tarb3U8cIxm8q2FIW8Szd09DEN5MJ69PPvThrLkAL7ogQPEqjRG1vbSmdGWEGd1ggIQmb
ybXDO+6xuPtQdgL4HFvgxrTY261EQPU48o027KgnwJ/RK+inKxfMFn/iPg6MywBLA8s6sgM+2MYw
2lfkgIsLdhZbmz1dMWL3zTN9a9JsT/JcaKARGFT2zouWzA8YLh4rNjVNMO6lYR9zgvoIm1sJu3oc
x4XCAhNhGhnEKawCKmBWO0LA2IMweMFxfFujJQIT+odY0L0j3rVGPNkodQLsGbVZPwCK2sm28PRR
2wxo6Vd4sAOE5XI9dYnH4OITHNZ3VMEy6Gbia5AR/Uh39g+NKUOmYojTKkzfm9GeT60+nDWna7h7
Cd4bCMU2JuuRTvtQiwdGVr+IYnqf4bEagwvj8C35OzGfFo7fNJ88BFYIwo40rE8ZVRxIDwSJzWOV
jz/ckYexEW9zQzFeCoLwhvI1GKLtZEYnSdbgFkLtJvMLGgX3icdrlZhbXJ+K8ZqNtaLtadD620Dz
X/1yPvWW8VDbmN5Gu3siCAERIaUulCGBf74nQB1z5KYgKAX1h2l4NTOxBNu8O7bvMWRVqYC2ijF9
tXk0q9B6ihgywwHJv4sKoM4UZpuiibOVFICA4vZLtIyGfOFzV0xHvOierQ9rExFTnOlXlb3YdT3f
sQVMXvo5OzWJuoeS2O+cCa5LbQXDAdLzxkbxZefuhmTYPQ6CV6vz/yRaAUnkrjSfGpgIKy4cjOGl
uEcIWKy0YT6UQfwCu2/Yd9RV6DUZGNrkG7HNh+7Y49RTE5vw8sxOeA3fARGDmmALIMpBexkghQgv
7ejTk8Tt3lC6WiFQoCfKTbJDwgvRpzfcXygOD01u5ExZQUYvg/aIKjDwx5dybvdzYn2yXvbiIQfa
oOlL8KVe8+Yk6TqyDA+M6KZxok8zdbZVclG6wKSj36OyptZRW2yYz8LJ9r0kSaelXZ9n64Uo7bXS
0h2PBlDzUGZYhzu16nXMhH5v3RadfgwlE1s5P7FoNTfMcd8ieDrrJDI9Cx/QRAZul7Fsls1OynGd
z4596kHVBFX4ZfXqovvx8jrJOxcyN+gR8y5yg8OYuO/41g9RZ34XiX6IK3w9QiHtk0W2TdJ8b+Zi
uMF6DcfGZmWpowxfcIfr2Yc/w0Lfy/VLjZ9F0D7XTsXnJLQDy9kzKMEBoK4xrMu634Kj+I0Ou2Ai
voeaz4QyL6/RMnyhX1lHZghAoCk/CxPy22Q9Z2xFLP7BRsYJ8GMTQPZYnIqwfrLpE/y8fSOUtdyH
8BHY3zrPcG8e7WEINoRKjHbLqoV9b1ZfhebezUb11qbmu2wl7Hf/RkzdWzUlLwlo/F1L4laA7HDS
CgQ4E/qSSD5MSnvA7H0YMx1Pv40LqFPRmqw5oC2qkKvQruO97QyHQTh7ich5rssfI8l2hNV9MMFd
GAn+gUhb1hE+b35esWnXK+cP7r7ncdEJMZXzqmHaVoZbrkOVNl5mIKqCQrx3oOTIjrK+Qs2/cltB
CliIkC/G018YNyPoEI837BYjzkvF4Hay7cpTWQfOPWs+4sTmxcjI8G2Ht971L7nmXLXBuRF9ezuz
+2LFYk+7higiWQQE/Kg/SxoLCIwg3ehRczPzsZL+cU76YcuQnN6JIScqCWg6hMYQqQD9eY1i1GMz
d+LVO7R6R0entAthUiRChUHi6bF2xhpJBGsQfbOgohVIH0SbNnzMwX2TdjsyqJaoKz7JxKstm+LO
OBSzOrJI91I4VGG7TmwHMDApJGLyj5b51hnJE/pwL2pZNEzdyh7YRJJbsxKFvyXSYFfW1qYs3sMm
v81c+6Wv9QPxlZs2VaehafdDX27RsG508hXWrGuhnY8+qoMWAfNj5Q+0SkRBRLdgr4m8AfGA/djl
SXdS/RW65p0c+v1iyV/Z7o70OKCOjb9HLzXjo6+vBFZ81Ans7lBR/Vv1i4PnzESAYg0GrBG5H9Lu
Bm/8OBubjBXpSsvre202zsh+tz0rlJUb88prpn0xx/BPOZ2C3vYQt9yF408Gf4QOcRvH86oWxk/r
F6QudnDVSYegflszwfyJZP4dBurOsNpbw6r3URJcibf1RIe4x6zdVyceN3H305o66kaOTriHjVnf
mtXIS1i88oo8o3o82uk7O7s39jHI+eJNk8Q3nejumCGvjcLkePHDs8mhNev9fc0UzB7G246go6nM
7uAivWfB4hHU1KdrV7d9R+zrOJ1tACAbYATr2NX3mUH0uN59dHP3CgCLTKB5n+jx11znn5kx4XI/
QxaGGA5H0kTgYYXlubHQqaV6g5cR1PyjzI4Gh0I4bBTHMoA24EDQ2DqvHbPdYJzn2DkMMr0TbvSn
h7xDJGi0IdGJp7ndMXVLeyAv5LGdi2DZcLjVTaCS+zq3YHTB3cl6FPA9eoz2jbwvDIbNU6ySDYb2
LfEpt2Xc7PUBRaHRR892xEZRmyW0KP634os9b/JlzTYO+yJrvpU7nsIo2Y8VHyCIO0V/xjY8PTD8
RkyUntQYbyzbeq7H+tNlAu+1AIFWyEqezUpr1igs6Yvj7Ak/jrqHAaqvmSw5K7xYFDZFEe2KnvWY
Vh+TOF0nLXqyXJkXpjtvQTx9Sb97aXrwhAjzV7aqn+uk3BdDzJaY5GESNSyJXWMJepyvfStRrrD9
ZtWLiv6hItyJuetu0k3P7jXyp86MRd31QPqv6/KooyF1hx+iJxHo3LeVexwy9+K30V3cHJk8bixS
bMYHQBLQtrd4Ou+QiaOwAwaxQfjH/YHeSnQPZGoRCwCdJx52MyZHW74Eg3iIOsF54Oyi4JpE4B8M
c99FCiihQ9x7d0OE6n2vX6A6eGBH0BC8awiKxor4lqID8Rl/DkO7twZ5E5WwTbRqPI4uwii2WT9u
/hzybk4EwQAxWMV1sfddGomS/Iz2JtIn2AjO1YJe76j2IyIwURADsDF9IAMO9UOn2S8JcS1QWp6r
RZVYaYdOnlxSfqOYI0tRkrIFO1aZ9ahn195kCjopEI1Nghrbty2Xwzp7CoStrfM+jo6und10Njdy
zfbnaPt5ci4BpH5pZuh6OdlNB983amrI2m1fzSEpnqt2hlgasdbq03b6yZkHX9xYOOc6MfrvnvgW
T6GU35ElRe8wW8Rt+B2EKMccvcI0xZeVp+G9Y2TWSVQBWzcO+4yhQ5k8o0B1PELH3Ye5N/gktTZ8
B3827NOIXNlVrJm610LeOcaY+zpC4xO2nMyWQEFGwCKmYG+jMvzDt3S+7HSeP0ksFfvMnNqdL2Id
b0ptbHUMR3dOONVHkbMjEppdP9LvUR9TmKEirPPmvsoS44q8ZlxrbsXdEofDQWCaOxW9Cg6dNsmt
XQfccbM2bvxJd7ArkzK/yvrU3XVFWZ1xIwWQu+oSZJ07HzS3bM4yh/qR1l1zJKUQCS/ejeZ5rF0+
d5bE51aRzJzL6Vw48OhXKPfjxwLs17OoxfRVYgo/xa3lbwNE9ndqnIs3koTcWwRl1RONDu+P0wTZ
pxNjIdcgS6OL7MP4TvWtecXIFz64hpjum4FQe32ozYdexeNdXbghwODnHlUb2SH1zp3b8cEvdPWk
KcXyPI8m+UbyxbBlNsJRNo/pfd3b3e0QEWEycWG+s8wj0rjoHHJ+x/Ezruf8Am6xvZh629wBlYkP
GUp+ekisQm6A/DwsnG6rT3mwC6jrmT+X1irpZ4ZpvtTXhMdmO5d0hR0ZJgsXeGLtHgaL7T0dCK82
QvPF6AJogBxP77FJdmY5AhNUaHRO2jxD610wNiSmX4rxfQxJXoxCc9236XQnyXkKUBdMzPB4Micd
xvCU7RBZMiWt5i8zjeGjDg1q/tLvr75mPTn5fMe24c2K0j2zvAPSibWaoYaoNtpr1njCRIXkZLAg
+ZlrTTAAVhru7In7V9ivg1Yd+gkzUqerbwttvyHjD1Un3lTE6z5ItrDvPNDwAxeDMolyL2HM3jqB
EjvwRS+jLK4yV4dIOLep6rCTz+twWUySINcnt1LUz7reuh46iNd5hoFFmjcVZWZde9U/+UzYyslK
V2hyWaonN9OoHciAu3OioD+UOuZFU5PpPsv7BPGzvJscAIL4CtdFnHtuFZ4J5G5QLVKUNxFkNKm2
fd1iYNHkpvSa7qULWe0VzckNEei7zpZAnp8yb57+MR+6/Esy9k+iAnbafxt2OMrCY4vLl14TGZku
3P8wdLEQ8sStaQ17K32hzY9O89iNhJfDStf0dDoKK69uxyKY7zmfwochssyrHjfxXc3aa1g1Vt4z
xeyzT/v3VUmWt2Za3h9zeZPC5Z1KlrerWt4z/feNW969Yg6Sx8HIGaAUvJrd8o7CRy3P0/Lepssb
7P++zGNgNEcChLVjQMzceVreemd5/yEMBB4DV6QwbuPuhg5yH0g9VBqxj9Az12v/IoGIb8vlbNGX
U2ZezpvA5+QRrY9UVg3G1TYnziW9oT4PwrB9hCrXPIqiyVC6WPWxnOv2LpjpxtzlpJO+yZm3nH5A
2OZPczkRNWz0f+RySkL5iQ5hWZBIU4UE8i2Habecq1oUgJr7PWw7GD37KXHC97ykzijF5D6oOHG9
0JDJM5B6GoZhWCw44WCdqmkI75Vb6F++q41eVuGJKGMu+d9LoOiYUw/LzdAsd4S/3BbFcm+AYp1+
xHKXkMCDD2+5X/TlptF+Lx1+m8UhsLiJquVOcpbbqVnuKd9Ow8M4FjfFcoehksEUx7WGfhWfikO8
7zdDwtNCUGbZKfWG5W8mXh0sqeVqilL5Mpk2Qy0QbPjy3BFcwoStmPhaBlAJz6bXWX2B2p8CTkau
ZCScY0Fe1NEhK2pZyvC27HnyjLTaljRte5BziPMVyUEfCnRusS9QJNPcFK2OSEHYkJHb3+8IBipb
25DObO5pzc55mHLwYU1RpOzMY+vDYUNzymIOiR1BtfSrRGdSKWRE1bF8ZSr/aYjyvjdStAulkGa1
RetFXUK3sO6w/TLwyiwIrjhWV8IsR6+vqgdcnGI/aOqtXsyp2LjpJGbqypnHd0oX29k0eq7mX+O4
uqZtmHnaENebZSMJTiJvPYeG/Q9NzIvmCPNsdK7rNaV6Yi1MBaRJwxMY6ThhiREn+Dd9cAYLtlc0
Jh4XPbl6IomutmjhFrXsazB9XoFAXp0qCk/Qp5J9blNmd5k4BobeegQcjuGWIE2KnjZNNr1hvUe6
YFaiRz9sCJI15E+kCkzMPKlPNzX1B8g4/vOBBwMjXf9qdnpxRJZjbHOLcDw0fnKHYbfe6L2L2m9W
OycsWDLnOF1CUZELQffAkqr+SDtxT12IXMsaK5w6w1NZjM+FzPLHASfmnSTyfKfYOuPVQfZ5E6JS
3KRJUOxaANLeoLEVN5DebB0bqImj+mbbS9417PVq5TcFHRhOPISqzfuQ9/Zh0pPolaCid5B6VBBm
CSHYRmCNYKbe+Rj8eawipHZkR61rvUFSULLWW5Zwa3YgiKJiuF1ojjJKi1LQzl/MilVwYFAxTSEt
f0hq5HPht/yGJ7pW2HuArdz+yteZh8DAbrYypKGeGsdCKtqa/kGWroCNM0Xnwre/9bIBOiu1maeA
A0XL8m+6mB9kRdcws/T1qEfE9mqBui2LMl4XFp9d6obfjUtNgRuVq71qMmLpc33lTtHnNMnXIcX6
FJ/x+fJEyGg95fZl1guJWyf/sZr5AQYrJCwH0KiWtqmBKdaWHk0HStVa9hsj5nDUBY1Hny+A4kLV
j70uxROQo4buVf8aCzJozSp+sut0r9ccXJpBqiOr83qFySS8Qet2muwBH67B+zXWXBLgBqINA+nb
Ho3OYrIsqn3U9sWBxWq4xz4/v8bA+zdTYCB7HBN4NGNj4+KL235+96Mk2yDWJuOzg+ulTIZeUDLL
D5idxgGHmjiFgxsfCAhu7vzCbi994+cX09fGT4KmqJ5kZe/HpaLql9qqWqosY6m3FonsRi01mNRa
+6ARb70hZY7qjBNXPYHfHB/qpXjr+MT/SxZU/9/FCCh4Nf/nHdZH+FF/NBB9/g1d8vfX/Y3jEn+5
QrpCWC4qSAGH73/guORflolsTOimAznkV7f/3/dY8i+BSQmrDm8daZYWX/T3Hks3/4LeRZKABY4L
7pej/lN7LJhg/1ZU8WcvGQZIGAyDGAGdxRj//h8MEdlNzthKLuypLSV7JNarDJUazpc5VD9B0roL
lM52Dcab/VwTZ7H4wfRfa5iGqJQZJWORJG/M4jUjdsRl7iKW/yJv5JdRWfriBTQO9qgwpnE5slJN
fw1rvhan5b1ZR9GLptjpPgq61OK+knnakFcetdi7VT70KyYjqD0gJxEuAMfUdVbtbBHJCMQRVzCr
X3R4//J6wr6GeVGYeXDJ20D/0eNCefGIMnrNPeEeqsXKJ5NQk7ewkHqm4qRfm7jbQfXfDWyFb8Sv
P9BcrIIw9odj20Kd2dRm0fu3/q+7MHdw5T1gqn1FkzdR02gCa2JlyyVMzif3coxC5ovzWKsYvYXB
2IiIEcYUEtt6vcEshn6mCmKsjg696bb+tUuSe4S4DlRrFN81FMFeAAaClq4xbjRhTMF2pjNL95oT
DMmRdGuozlgryXiwbAXQfyKiulmNiwFUtnqCp0cssCu88Ay+ECeSA8pBlMI61msnvEceUr41GFBN
aq541YDx6zaJmzHPdxlXMsOgfHBRWr/wp4F26YP64puaUxw4O7HDzr/WWEyG6iGZKJvP+a951ko7
5a7GX1NtPtEXb4fCwnELN9acz6q1aypjG5f1Wgx4NvY1LekLS7Wh21F6onWFBjC5a/PXCuwM0rzk
48h6h1ziJr9xRAvXo3dT2CVFX+p7cCCo7xuYLu5BsBQsT7iFGWQ7aJmg0+ZDvpej0y6SuEIWXjBL
/r79dTY3Rhj52ylJeuInp6KZPHTIUve4yC1k5EE5Xpsw1NJ9POKgLhcvdUaQ8doK6vq7aHx9PPLU
AdcRv65s2qEWmJdesEyrRXcI0qZlmzWzL1gLzekz7i4mMnEs0Ei7ejcuywMn88IxaNCyupLf2FRT
fKNhQ/PJzChBQB1BDojsi82e8KlpOkIfW59ZT9Dp4ZG6G8JNo2fli5PH+gM+0OZ9difr5LJP6gtJ
2EXCt5aPfg0kDXUqjNErqbFY9KmisK93opweyTmYv7MQ/HFvinpYp10R6nd1F4AJQL1LhqPEC9Hv
ZxFkZzd263bPRhR8hYj77K0FdX4H1A7FP2HLBKb6wk2wAJiGujLlBVcrZGYRtKM5RuslKK9Bbech
bXWAlpQ0YbREp44gSJa5QabOdYnEZTOExZSujDiL3uFMy9Ejk5OnXQ9QkOslTpxNgVQQlLXwn7U5
9Xcz6zwkuwU1SbmE6xInvg18ZrNuz2tXNbFj73Rym9+mNOC9Kd2GNqkwSdBQGZ4jELjXBo4umFK0
5SuEz+MxUsq4AP/AiglZOF5WfkuDrqfssMnqZlELwf9Jz5LmRCx88G4mkg5lbltEMMkYAXqzDUzX
OzLBhy3G+fBzLLVFSxcy10FgrXc8Hml1JUnBOKB0JjZIpfmCWF9G9oohXfpdmmF9NOoZVje28fmZ
JWL+haard7d9aozBjjg8BzYA9t+1DTzRQ2g23IZVoR18JaEE9Kgfh8dyiHyYKrhj1SbE19fQjWYV
Dlvpl8feKlmIjJOhSwpiUca0PsqCeOLzrK5NUTUvfTyx/Osl41YYUu964Nv5kxM3mkACy4uycpn0
bYiJNs2NzTXofGUaY4+UQ39n1gOPZ/hCTKf4bFkYeI4sYkADSb11u7DaMExm/+VmmYEbOuJbqiCq
9pZqIFsAKXc59hPMERXZo/kVQ5NBTpQidKZXqC8zpL3XYEr4RC2JYcjLTT1ihaPi+F50PpjaTkh8
i45tKu1E6EX8YfV+0e+DSHTJWRn+vHawP00kYhuZV0qyeFdzV3cXyrjgikc4Tzd9MOot9WHkstk2
K55E18xJbUUdOjy500zlhzY18lcNn3wE90VZ9+nIJHANGQhHSNTlZblBgsQPIs2wfIgqqXEBzDaY
jrAkw3odYsSVh2gZufBRRJYH8RDVqW5H4wkRotjzMM/MeHOQXjS8ZbSGGM5aWWpEzmzbynRJIojJ
IBjd6iXHAHSv9W0EnLWK5q+E3S4sP9uUcCLibsFNZxH7ir6LSWXPVZLsGzNlKBfh1EH5bs1SrRyy
Vi8+ySQrsnGz+NIkJOJ4U20Y9KbYm9dOzgZ1wsd/JopoUBsrGRMEIgnQCLdzoCn0dpDdjlYRPRhO
2D8PE47iZApcYys0QGQxbG/gQAgc+nPiztO1R/Zeb4YY8/0qSOqqpAgG0mcPamJlE+i3/hCCLyio
e1GFz8nAYpNaHAA7zJqVHo2hz/49Hqe96uLSvUyOhYFXI5z+DJvDfbPMybyPpXaqjDgaUTBnLFrc
iGnl3IYbH/f1zuCQ2xCzoO3jCF8+YIvPuEzJ/y05M6VgbPFu1kBSgBHMzksbdcYPCJffpRtuPG3W
wzVkseQgRiQpnDGLMTmIHyEv02MOHanVv4vMfgTNrlW5fdQrW8hdb0BEyJhwbFK4Sysi24IIKPUU
wn0A0rRSVUhOeWUy1Ld94r2r2V82/li9VQoC5z3U2+DG6hMGLUU478dMkKpdusuEtRyAraX80Ls4
IBxjBUyu3bVhMJy0cAgIlbEGGm07mmy2ppF921da/QWZIPhWA3m5YTNdNX1R28gYd9ja7utiG42l
gglkCWR/NpJDqCzGYlg3ZolhMW+tT7DXpdjpeSq1Yx/HB13hK5a179wrOSMSTyL9mjLupdklfOGW
Nq7/IekqH6gNEpndWW0IdiiMB9RDpiT6SU5OScyyPhTAuFUyfgYycL8R/0c9Pe2QRyBD9eK7Qlla
3w/InG1PAnsFrJmBQbhBhMvHGARuN6HF9ctvIwB6Tnkjw/7go6VG/Uo5h0dILzL3mOdG/1gJBwN3
lGjwJdymYD88WtmM3rt66BtSq49mXfXTynCH6X6yDSg9xhyedeJd95DEG4EJpm53dciV1aZtBi5A
hWOxxuXOa0Ih3l6iuUbz4wTOMY+1iA3QYNwJpRBlZO2A9GYckV8UZeq5IsU9mlCDfNfKGJ/M3A69
zh7kxi7osjl4nWcNr9HE3l847cEhlST/mPLWLXcctO51imL13fUV1pVA1fkdgUTVczcyhY5h7+hH
I5nSm0YWODnSKtBfpFD6s0Wtdtu0ZrBz0z6AVZHVVrYzM0sRKiwxmY5TWVZrIynVFxckMRi25SRr
aHDGS+s3H7KufIbzfQq4P5BJ+QNFAx9jZJbaSiceU1ubfkfBwaYuByjdBVdGgzhEHAsHsKBefByq
dDRx+bmVfJ3JhVm71ZwOX63K8pXCLLzRfZDa1OQfOmk8624KH+NE6gcmUZz8SGswRFQGc/S9YFs8
3ySMVqYtOuwuvo1YWy76cc2OV5qCiraXZWNhpDNwwXPm2X24Fjpc0W1UdeWW/t4YTx261mtTNQC7
GDFKPLMJowKJvGkVEjf+UE8Qznn25/3cA1dZJQ7X/Cafuw63bKTWaNfKk0gbgw6eqiBK1R8Ei1Ac
yLQyqBud2Dw0MVigF7K1QzAxsiTKKCuRNqxmQ+jn0qi6ixpGMCdxuRq7LvIqKxyPInMLFBFMz/qm
f0+6Iaq2XQP3aB2mdu2iTjZNfEdu+zBo/rwLCFV8LflsDzkuzGRt4Fcq9pHmatYmyVQUecIKDbKf
ek17C5ESa8cYo6q76ozMfhqMHuFfHivdWGd1D1otdewRc0Ef3gZqac4Ku0nInnNdbMUTgqdtEbkx
v0JzfjOicHiX/BTWJh5CDIIOn3e5UUbZ7JRRj+9ESgJZirBx3uE2EVcKXE7YGGrrdupqeLRGMf7J
/GraWpOdHsjamKN97xbqTNPg+OjdSvkZF6WxQSucmRuKDLgI4ezipJ2TkU2QXACVLFNwUUJawORH
hNTa5TfWgjE0ktjjZYYcO8xJ/8nra900ScrEOCTcCdwwhqM9uXJpuenDdDuIymYz6JvZnRQUQ55f
iUg/Nm7oW1s6YmFsAnT9dFW0NxbTIOyGwKflu9lyga3ntqN/hVKB5mnqUou5nOVa01PtNzo2itZw
423U5OF3X9XmoQ87/S2DWrtpQrPeJyXH/CyBi6xMgCR4SlEe1jnE0cx0AmTSGW36eoLdVKwyaTXv
Sqv8uwD48g6DbPgM7QMTWDCVYbL1Y/JOWB4UwPQLCbOicRGssqDILc/JRkTX3YB2ctXLgLrGDAGL
OGyownXQRu535BrOo9EETyGjduxIsYV/Gykbj+5MwIwdESmVCOc4NajvSUHOD+UY4c/poSsjm7GQ
AsC7Sj0MP81D7eOiMurOnlDGRc1X3BJesXWl29Z7u81J/dDD9rtkU3AHKBRtYoY4NlmZRRAsiTIE
Q6h2IJmP38MPXJj5AdYpI+c0sm6ANFrgkQKFv9AfzrgUToHtmvijTZJ01xVi3kRZX01HwZNY+F8R
tQDZDOmSZCV2TZxS8faW8cKK7ZvHDTJYxqyNeDBmoUTMNL6RbdLI4fOOqZCRTNwqHN7HzGz4gfqi
vDhcw+z46+CdmiJDVRih6VTJByN808PUblLo58aGOMLc01VhHhLSBx/9EhnWMtpbc3DiFGwMopQI
FWDAqO99UauDUSb7OXfYe1hdEuMeLPNtjMP9EdfidAJXJMgWVvkJoMfwAdADwIifwBdy20mM+zRh
XOtxSA5fc2ch0EPYXAEDNJ1ji4cfEiwxNgxZWWJ+mInloFOzKvNm6gyQ3CM1fQLRZRfH5bAvAaPx
mJTJZXCM6dZiukxcHw6ZmwGWqwstpZ3/TDGyHgZGixdEZc6VHAYLSztjY6vJFT0xLoihTMRGUsn/
STWc4nVb/V4mr5XbdDgW8PUhyuEQba2YDWppwH7YZYUb7Ft92lWpk+xyaLIr3cC5v0rwwD5R7laQ
LQGvr8ffngOg1qZC3PfjGKEL7qnA3z3F85ueYqPIi6kbWWvFDW4ZNTVscTsdpSDHJZObnVmkKHxY
ToepjoclUaRZATJCpWIWOcWOlqHHRe5HQlVr3vQp/Wlnq+p1qMXJZueNbow98UPqqnaPH3e8TwVE
pVGEmbNO8uS1Sg3x6ous3IAAqG9hzOgeKHn2g+YyPmuGTUmMNJmYYF7Dyly2zlF0ZBW0qoyp2xuj
fQtVacDOYqvTZEoE0QiN4QDhn8oB2tIj9xGAxACTDZfxFkIJ5Z0VoANB5erxyjgvucbEGTpEhR3F
IHkJENIVeKnb7yLRj1fLGpstMiQoM5XbmXdOYDvQ/2JrOg+pRkxhV0+rwsjT7dQG1XGeg1KeRj0u
W49pGsy1sHnTYkdcTatqsZrigXyaidJC6JMYL9UYi52dJYLf6sweAgfTus6D1mMDF2NPHAfKkAEF
Vm+aJnXOnNifYw6mQON/ZCz0Zck0Z3/6yfZ3nA/FQ0X4DuWQr92mBnljyh9eGMv3i+Qoh+TLInRH
DF0P+WZ8CIvUvi1NHyFjSzvQrtyQ9oZYLvTR4Grzgy1q549ojYvmU3Y3AH4oyPzpYqEe9UatndY6
qR643HrmRxoumTFuD9YIwQLVz2w9WzIz38xEW4sGjnAfdNHJrtpyN9FvAIGisIWPaE6fc5QaT8BO
xc9Qd/j0Zte8dHO0iy1zbrELTclwDnv00PxZ4Z4gt6/K1GXDlqMZ95Te00/oxNklQV++r6AFeLXI
SO0WCXlJ3QSf2mnxgE3YhqmkZnYVlMM2mM8k/m/snVlv5EiWpf9KY94thzuNwMwA7fsqubsUCkW8
EFJI4r4a918/H1VZWZmRhayu10Yn4iUR4XLRnTSze+8534kALUmKlqtmIorDn06yVvo/Y4X3/wrv
B5uLYbjmXyLRzzBwyrb+yR3z68t+dcdYRHbQCSaHlgd4buL/fbCAQYbxAFsX6ysuHNob/zDIMD3w
Zm8OA2MEBUgKfhssGOYv0uRgzU80scyb5r9lkDH+5EzRHNYUHfuOh6CLEcfMLv/dXAFCZ14KLfF2
cR1luxGhFoEM1GTNZC5KrIPBkvy/x0TG+RYEMnjacBq+ZGAEHijGcdF61VlUEtOGnw1H1+i7G4zn
K8GoFEPU2lhjLY7tjPg2dqaokMLaf7IMmZ2bROyJocFm1sr2CPjhJtjROEUO4auNDQRJVIzts0sv
sYxB8qVEbNADhzRArd1aG+FGrJUlM8BHbxwlnmmyZNF4l+c6tgYc9tWoLekGIw7QfGhzZeLuRA6k
foe2Y3hglB4+R2X5njA6d1dBY0KOHKL4e2SgCvQMbUdz8S7O6d0DEUqOPcHEoJEtMooshBCM21dW
O+tY7N5ZKLzPtzhIq7OHE3EkgowZtw41J0KXNtUooboqQkUWRs9YLRxG/nh0kfdCWFaq5xhrm4jW
6llx6SEO09pgUxuZvlTcIsmipzK9aX381oPOhVTv+0szHBE06lqP9lhp3+GfkpPJiLLbjki2wXNY
wUPXD8vG7MUDqLP02qWO2Ka97eer0vK1q9271HEWFOB0BifjQ9fr+WcSs0njIkEhiIQr1HKmqqxF
vjEIWlhW1rDIAPdtReoYu7QMA7EHu5oeAdaTY+tPxhzZOKjERxnjwxIMpfCOXYH6CCixX+8Vxp6Q
fmvUHarGJlMr9KbKYX8YaUDbroYdOVYlxmkrs9AfUtA9Uf7k3UJ6ikO85VZ0v7osQ0Y1itG7NITF
0JepLMiqZHHbQCPRv9IWolPy3CinPtPttebU0Zh+DV5a6z7EvayvGqb/uCvoINHGp6jw8u7etkyl
X8ekkXRRaZ0i6bRc8tp6S6f37dV6399iZmPhDvhNW9Hv1ODIpzIIphXFp3EncC5/0PnLji7N+QAz
EWXhtmM+xHdOL52okARxZ6/Xs6q2966qC/acujkT2z1Znzb+I63JVp00tQWRhsHaMu+kZj2nyr0M
88k2jTQDkkm9Cxt6nHatnVPIy+zgxa0zu1e/tB5ayoGRbs4dJ35QdslMG6pOceCviBjZO+HZybpy
kZNRSoOfxkcN0NgyenvVZFCqAi0xL6TTindu51UhYUp22sVoIrHKB3nVtKrcFP2wwCqubRjqlSsu
9cOcrlnTYWrhNbpePmfCiK9K0/alE5KrWdcJsBV3DpKNoWgk4s2K0uTBI+J34Qh1kYS8KDa4RdXX
ATeDDHYIvlNK2fARhGq4TRJaAH1qBrtqtnI5TkYHc6S/q2eFWo4T2asUVuLFAlfNkI9svQLemAlX
tivdYJdLDdfxzOYid5qwdA//k48n9qxFsfPdG4MHsiWjFb3ddtv7ackjE28IL8TMYrrNsqVL/WOy
JrWuIb/rclAnw4gxVaMMC/PU33e2+8DSdw5iVFZmNRqHJJKbhkEdaNZ0Y+HK31YeKKVStlvM4W+M
VpkDOuN7kPj3sIQLxMmWs7EURoyp09976EKvNBY//lqbZ5CY8XtDpLRopOi0K9BXmC7Zwu78979b
7vNy6EQX6d6OMGqNfJ/YWJBrCGwEoLl9H1JiREsxtRDIbUinZ60YoucgLnxiGrrO6RaZ04esk43D
U+dAnbzEBhXuOhiSGooExb0JJDQpGI51yfhU1Ln+oyOmzVrodQ+3l/A0l8CBbMKHgZq7JuatrLtD
oodtuA0x2dQ0C2wWi7z0j0gxu25jf64miOdZWarPVQanSHocsiGk2U54uIHOvu9WIMPzOQmZUAeJ
b/zWxALtTlpp7p7DMctU7wRI3ZH3GE2wQfvenlKfszHUv007l4lm3J00OntHG38lnqLwaDJeWccG
ah7YzMB8QRosjdyDgNqatylj4BCznJ2c3Le3FQPxlYeAd6kXkVplg78189w4mMC83nWkY19qBj1r
KBZk0yaqykgvShgxbuOuYHTvTBGOGwIropWjxZzJPUuyClmlHif0Z6jJj3ADsmUa98Qy2QMJPp7D
1LIS2crzArTqlTddHB9KkdIyOmd1fBxhQFxaK58GBOlB/o1FQdE7dKeNXfQFfckZr83gL77vyla+
BY3drqGfXyGCGgdHi3IiGbJYP9NoBBvvRTA8GyCgMbyPbIpOmTScI9xrxk6A8bc04yx0fx0JwuiA
LgDn4Ra4QfADdClP60CL7vtos3rhtTDufXvWbnXENxW6/mqlPgiMQcEnKmwAP0ZWX9KQaVtkG9s0
KzCzMgpjt6sXbiu6owwquXKGulr3IXBAiNRRTTRY1YynsrGfSSYY1nxyX9OA7d9KIp8rgb8gmHEs
jFJ/xIdP5i/z3dqiEE7ScusN5htaiX4Da+QHw4c8xCKhb+GRHEDErEI9PqWGflSZ/9UPzJWswn3R
9a/gTrC1endaB0t4bFt7M0wtk9pBv0sq872wAu+ctLTidYqRjRyE3BV682JLpQ6hJCtdOUn4Nnpe
z4xPqmuGcnWvlD1hEo1Ijs8Sue069YPDIvhp23zrrNTbCLq8KCUCInD1KDpasQDOkAXbbNT0u7zy
zui6R5q+LYaTXIwrk6zBDZmr/rJqgXx3do3xuGzpemJzYnZ7gMwbrxumlJwSNlDpmvNU6vVqhBm3
da0SW81gPKCiH84pbJw9/ID8JPTR4fBB+wRriH4lZ0NdUHSsTa+L9qKZBzCwu1Mwz250QHVjAC0E
tviu/BSpZquXH4iyUKQkTrGxWkZEQA+RaWbGLOS0g1VMl29b9UPMDjuLP4dPHagzjMZX91Md2s1C
UWQwDT4HS0N8HsXxR/ipK80g/yzjNmichW0MqtyKGofTGqtqdvTnPbqed+vkc+MuPzdx53NDN108
QDv5udF3n5v+9HkAQPXAYWD4PBgwcuaQ4MznhXA+OfyPiOu/Um1RGv1lpfWfSv2RQvC3F/xaYzm/
aLppeFJj6k1FNSvS/5Y7Jb1fXJsqCrUtSYtUWfzN38Vb7i9UXzaHQvRUCLQopP4u3oJPoBsEzEtH
J4WRp+PfylJkc/1p00VWxtFT1+l/uhbv9VMoWhG6vRYit6EnPXEk0QYREpCm+2a81YoWV6YspvRC
LjnyYo82LYkhAWGCWPtjsjHCTzly/SlNnmaVMqcZBMvmp3h5EDSntxiHxA43IY+OrlvvJPRgM6es
iQ4W/kKmai2PozU/mA5PaDw/qhaw16v3+fgaPMiZQUgR2UfRXs2POeaBBzk/+HyC41abF4MCsco5
Vu5GsU7E84KBDeDgZmik56WEKodFZSQb0pgXmqmWxcYlUgJlAMuQabegcViZYD7pd51QAc0g9Orz
8jUanLNi0TnLSVPepmCVQyxLbiHrXj4vgMm8FDbzogiWZNzHZdFcp3nJTCItfPMqp2OIr6tDzsrq
zkusNi+28DtnkizvKSPnncwU/Q6a5htzHmzyA9IVls07p3IXRTxhqgv3gnUdBurXoTKPRCScLNb9
ZmwPGftARCUULlz2BkAD/cZnt0jZNdTn9uGMuzYdGRv2JnFXbDFFFE8EMrLtwHKn8TbvROzZGPXd
Z+KIT/G8WUmYO6qHEtgOZF3OG5qctzY8g/XCYLfL5m1vjKztAHBwgbv0ktSzSW2at0kryLCLltYr
qRxEgtSOdp2gYNyPrY2iobba75ky2HULp5sPPUwJwnjgJ7Sm2JKSY/2o6VRt0xZwHKca92hyFv1A
zU+nzYrMCrD/MB2TMutPdZjca3oZfVg1p9RkLBHzEse7ICwBnH6U0uVP2s+J4k3H3Ze0iBZ0csBm
SFZt3hukNezGVF4SHGNwKqYbYu5r4mpbEfQIibOo39sdrNCoaii16XkZF68rqhXz2R/kbQ8bVLzf
M5RiZ/B1TA3TCU6XoZKb67ZYDssqPg6a7BaVIzcmze11jtVqViSOx4YMEB3N4q0JlNJPrgtFcKmF
uV6t8lFEDMaIv2o5ppNLsRRpT5vV9VLq0LjjYldpiSB8gUXLo1ZroywFlepn2jahZuCCRWyg5JWU
+jG6+W5FMkOerFJn0vAPMTSJMWIMdbBWrhzB33Gyc5bsw7678lO/b+EL6LCpWpHTAM8DDocnYWEm
3bW6VzbL0EgwY8bAlEqYGPRmZjewJFwqySQwOVcr8Ol1Mu/u7DBuxh2xHfUIGShMe44ZNgEfQV7X
8iEzGA3sEzsVBbPdaOKoHsfAD2lpph4SCUE3YvT9HBGOj519PZLgmC2DTrPph5rOCKzDrvBLNYYW
hRs/E1K9FQwRyYXQpdfBKxgLjkqVZ3/XDDLg854nxmti/wJgTY6r2IfmumB3DbFPGj3lttEhS4fl
N+BloEEfIEdKoDmVbiIWdQdclV/jS4LvBEOB5FGIphAHdp49KPir771fFdaK+SSDOfqfenJBuZjF
m4lzrlxTg6rgLmRoMR4BD4eEjA1Gszb8pE6RUUiM1SPQOaLr29DV905FA+BHVYs22nhknNPVztAw
Ij/Qp5ccHRUFR4sZL6e8RHvPG7ZlsmoYdnKhZei29McHMI5VNyzSAuiIMAxSziP8wIwMXvp8JjSk
4VCdWzogOfL+CX/d4Ewv0mayHiqUd456xADyGDbDMwrBYaXyavwm7b7aTPSdrmYM4LqNAtSded48
ANspNhwI5bfAqEiTMBtr+q5r01sPG2OFpjF/8kW9Kr18JVRMuVZ3zdHh56Kkb2j/kVIy9F2GarFL
TBjGPp9oh94FxWQvClT8oiIAlWGRCAe/3QZ92Rirwk3qWWEICBZ5VkhSmTUwjAir5iEGLGne/LRi
8ptSbQLTV85RMbiFYkOtMNzslDYdTNeKul5Lk/AhdfXwjfB03caknYHClLUVPdbAPrvvEGKa+jDp
oFU2YRfRNakw/OhRMu6SfngdwtiXC4d7mXCbwKEYC8oJHqCKoQ2o7kKnKrq3RE6wkTkMZ2m2NHNa
a++HTnxFVt1uVDrlX8SkuSfhpcM3NdjllfYnKWQdh/BHKkuEIn6dpRem1cVrzsRqhwS53/td5opF
jxr0BZC2fhUKv5JrNN790DDCXTR6LBG8yPZrGiUxQsvcjoCdA35Nln5jyg+ZTiBGx7b/IA+NPHuE
am76qETl0uUTc+iM6YTh2i1wSnxE0gFQFwuIawll9w3Po/MV+iJtzC4y3I3HBCM96Xk1sCqM4Zq+
Zv1YBFVJmkfS51jHZPHRuaJ/7iujLVfo4aCo2BnQaT1uEuqqAUmoKCLzjAZWEF6PQORRxGaVnWgR
yGSXACJxUDeLLkbaEspnVCympDfnUbGW/lwgMv1/K0TdXZ3EkI9agQc+jxriO+rGd7+k1PHfp5Yd
BN0Si6SbjcGz0wlILcia81nEOZyL0exW0nCdnd975loPbP0YBkaz7ywjgQZtEUdpk9giWCOKOiER
p0arNzF7wUroMYoaQl3c+XkNCQaNbgVKIUgnEGEiwio+BVlOEEVXpSNIBC9HSzuN6TqEB3hQzdAa
m8k0lX2t4y59pjnNTcd8emaedR1QbsP33PgA8c2c9tInInEvSLmpd5qlsf9VAR6ca2cbYry3HT80
rkIbFXUuvOhugykOcKUyXdS2ZcilQ0Gd08IykSAcjSRJHtsA4WpwinLh0NFEQH/VoWEHB3STtnbq
4TggpiJZQy5LVdy8YihdcGpibG8U1Hb55BOCOWQANOIUmYmBY3idJzzyXhhiv9cdFHuuLrekPXmP
/pAxU+fkAszcZ93HLhXthDWZO7SpBPQYkbFjP8vuzSnNdtLFUU9CEhrKsYPMKWI1nRShQc0iV6Y4
RqbiWyjTquy5Ibr6B5NanATDSNunBRuI1JZeWu3fNB74Za0ieAWOBkQuLTF26m11zOIo+BKrCoKH
Qpi/0EoneMSFQ43G6SbnGy6G/TTKqjzVRcGY2LSs2NuhnMTzOlHio7WFNdtcDCPV7nHomedUhOYX
q2+GaptGJDVjbkpYlrPGcehzxnG2R9ttgtLHsLMpxpHeqkfB/jAAOi73+igT8DlT8MY2x2Lp172N
wbwP6TjScvXXOvXHS4nfHQc20N/JKi6Vq4PsjVomvV4JqSef7FNRlxK0g32sJiBKzHAfAydKIEyC
leyFPb2wYcQP0AvQDbdlt8XpoFeb3hTJXm8gEy4oZaq3ICBVvCiwdwWp1u9ScrxmBGfoIqmKQJet
NQYRm8p0NfSgJhvBth84tp/tsPG2Cn45LeZhmO4Ti+YITZHiR6nGH82n5bDRo8xbFp92xPbTmoha
GtHIXzca/5h4K62fK56f3Crm0OZaUTTD3irSCvK6rWo44iJ+/PffRlomaEoAb8ywfnIag47KC5+C
HttKPVPVgwDJ7lhZ7r+4nJ+7pp42f786wEONipCr+2PXVPeE0UjPbvdTm7cv8bzDM7imIghGLIbL
QSTRe9rRg1nANSVV7K+vcnYz/Y5iN3+aZICY6OHIvaC6/fkyoz5IRFmbzR57YbkJ54MAEzTaxfPh
oOtVepWVWW2Swhq/JWMBDZ7TRKd5jxBaH63PYwZkq3Q+eOToxLbTcBncglmAWQ3lAUgIyikEtthQ
RR+l96quWaoKlzycMg6BENvev4gJ//MFUQlrLiW7Npu3Zv7f77vQE3BlNy3acj9FStGwT2Dzkjob
9dq6dTrEaSzj0tz/9cf45zc1USRaOjEPdMHdOX/l929a+34Au9JTvGkwnUzX5CzdfNPq4ADxu8I6
9hsl8Z+44OeS/h9xKvNXxpvhfecC+UnI1P74Ziio8UcxMtz3iOrXdm28DYnYZNrQ/Iur+vOTZnJb
2sAXXZocpv3T/NbIlF4WVZTD58qM5t7SYSFw9qeJvvvrK9L/yedHbjdVJMdEA+HLT19akERWbE92
CnpUp/HbcqTw2yEMTnQ/THxJhglYzJsi6rwy7NV90uMDuJD0CaaJI1/7efor9S5YNTUxBjukt5wP
Ac1xVvzrX/VPn4nO6N4jhZy7C4GO+fNvKqyAqZaM9hBkaP8zdGkuQ8EU8e7ffh+UqUhX5jk+QtWf
PnvULoCY8arsc3Cy7ap2jZy0FD9ND5/v87+Jig/ei1/vJvUZ3/MDDVsdzXi0P/7v/3ssMv78n/k1
v/2bn/7JfztnJ928OYfot+duRfz8f/xNvHH3kr3/3//1pYGY9R+X+uXtXYW/V2H8+spfvZ3WL2h4
DU2T5CR5+MN+aw+6LrH0LOzc14YpDYT1v7UHTe0XSydxie0FB+f87f6jPYgEg3Yir/Q8AICa829F
L9Hm/N1KQT+QXha7ujZHOLkG28wfV4oGBbhTt3a3LePGeyAYZryHSOOUS9OL6ldOuWgPNK8ql7/7
oP7JAgX56Y9r1PzOFpbV+RHhwh1p//TOVGqckGyoi47V+puoNu3yBUDvyEi80+FLtSXZBsuo7tvn
tIyx8+ApK5OlpORD9J70mrPV0hLmparN9Jtf+WSsjHpO2iBwpGYpaxPfu0IdvUwyX7W73sCryQhC
R6ul9w1BliVO+1cTAYTZjHW+NdgDv0E+G17GwvCeMi3OwjXeoO7KyRoBMtQPGkWoMYANlD5KRHzk
7TMBidGG9CwqiSw7WhG4K6BMI5AuUjPy17gi66KhzphwH6yUX2CdALGt6j6+em3ifvXQSW5NbK6n
Oiv1HA+W5eCOCxz/i6AzRUg08Nb9KGdkoj++u4WdbDUSsv0uNvaNAZqr78OLDFt30w0UIgRZ0x7S
86coghHWlxwn9d546KRAq+pBDsxQ/NoxCRdMtpAveqZ1n5c9FOOCATkY7FXQt7ywBnWQlw7BDQ3T
a6ckB6IeOISKNF8EnnXUbLK6w5TuLvSBHAE3zlj6YEitF5XpbVHsqiVN05R/VFAG+arHO4sSQGvL
Zo87hVNuqmh/FYRpFrQMoQ8S3NUGSl82feSuE2maK4WsZou/oN1jrYFaG5n23tJcvBidUa31um0J
CFC4coiFWU7E2xEElhu7BJTkxi+D7BBmibP1SByBKkDKy9TXiBkNgixxRQYp2nZhvc2bwq6lrFq5
whF3BHuSwcCmdhunVCUIbsgEC4hoiBeSsGOmrhg0SZSXzLxWluTYtEok8YPrHnnOy+g6mBtLiI6A
tpCVfwtaS57dMdJfscdlb407xu5SJiXNECMkbSsokhMteQoddJ/RXWx4AAtHqPaMkg+ZWZaHcMqK
r5nEVIFyssYaoSFWntaIOKJpiYxcOAtCzB0HlqFTXDKQCyApfBtWASbMfMW4zIavP8crD7qZnlKV
6dtBJ7BpiyCQHp0t6gq3gKWtKuKkjbUtdOT1E1aNs1ajDlioauyuAAXGjRWEY3AI6HukC8yN7jfV
yBHRo5FMd6jcMatVrvBvYy+1vdYQOrt0KvSiEw/UPtF7RPUh1KOd5aXWY1FTqc9WDgIgbNlCbyU7
g/JUx214b2ZF90RbGlOq9Nz+IXEGA/C/oDO6pj2FVnTsG/29qMpq65iZ/pSYYdVum0y3PnKn972N
ZRojgZ6qIhJvMY22uGGoYcCKQeSYKCBBiF4MUN55pdEtNlOs1q0RkScZVeIIH0PflPxnoj+L3Fs7
YRTm98vUJp3EvW+Nb06QvKosPOldvC0B527a0TDhesFIIj7SvHcsguUqqz1hUcdtPDrJyWvQdk76
jIzVyGXIJtHs4rK6y51JXapYewsTBrp1QUPMb9Jgp8Vuec5dN9kYAVfkwhPdBJkbXUJfNDTmlcRu
wiy+6YfidXKAmI6ZcO60EbHRKhv9/uSrBDYj80hrEfVGNLOXSHWLY2kwI8kprxf1aOuvLoTzQ2q0
6dFz3fvBxUCwsBVjHNQ0uXLeq2KccyVcBj2Y+pj5o2Z9bkj2yRuFcd3R7S9JODKbybv26pm6htAu
8uWqsRFaTe30XpoV64cqLGsTzspyzxjdc4dP07YSlH7eIIJ1nwXRvmjC7CI0QjaIAGgBrRe9fyM/
DcpaJzAfLDT0UfskqLofjcjaO9UDrFuHRVUw4m/Ge1ljyhmbAmdNjMCZO8uvBatF8Cq7GLBfbgNq
lgMXhtprmUZQPeLBML7ItAiPNt8jKSo9P2HgBsZED98D0UIf+IxYDJrOmX1o0pDQBcMJD61jf7A7
RXd5gYsqrbHrI62fbLVneDwsS58Z+bpGHEQ+sQrAhomxqt8IbMZsgXtRO7lOTrKA4ceNWoe1QNID
7z84D2F3i8Yg+dpEwL9S10RGjBOcaYw5YHDigdnaFTKGXVk6sbXuuk7eVU2SPbl8T8tu0GtGHn6O
m8uxLmqo/NcRKL71gOqDZXYuHJtV0ZjasIhqgP+rktMBNgPSwddJWU/nAFMu42vttcRMOesmpy3i
g+6I4nE11PmzGNp5LjhAmFolGB6ZJGF4YEqVtQoyWSmlzggpah77xEAl5uuxBRPJ7fGGOkhu0q6v
cF7mV9+caEq3Ub1SZSYu0E78u0H0FT/Ux81vMSWooxXuU31lVMG4DoI94SjxupdWDQyIncmuu4VJ
9cYlhGeEYm+VO/wYWd/3vXI5KmjIGRg6hEtCamgx4ShaRMzSV/RtyFtKhzU+Xnsru4C4p4BE1Skk
JKgIB/K37OApML1gXTWIHHu/Z3kOzAYxpKW6ZSam8JYN5TgHwWxo96wj+DYbxnXGKRxQrqSi0RcA
A6O3gX4iWMOuOacKdRJpIjOAfCA0QlXGIlDEaZVzm45vqF9zFjSXEHa1VTdMX1Aq8EFmn+mJfLBp
lfsQ/whe9FX5pbdD8egVeb1r6AzMRw2s8g52woL4T2ipniT/rgzWMqmdtUbW4Yr4MGfnxCYMoNi7
KDHy+GaGdQ9vApU8LIKlUXeDtSUIMlongxtgJyGsxDRrHCsqsuwjxwX1bXYg4xqlLsE+FqmLE5Xe
OtYbJddF7vffqLzTm9tM2lHz0uSDHjdzM7acPTyl/ivadWcFOrjoNr2tFbjr6dWsAlfzP7RwaneO
jZY2blKEfWyz/pbYYDtioqmHl0AAEVgmDIcOTmAN28GIzRdPr6tTh9fwHlFNwtQZC1rE5204B0BH
lHYdqOFDYLRk43i6fWRWpz8iZfLfU+ROpAciHtrKOogSFibd38eQPA5ID/FqTgPg18AU0YFHBZqS
FoxdsC00+oGZZuhPJmq3hWVDTVxk4+AxM0uDtxYzDvNgohILvoQcWb2U4pEWc7yDgDUe4yGetrk2
ds9w8skdq4i8I+bDCYmUzAnhU60Hy1lDEb22Q3N6TOJxfG9jJ+MxlUlyq7FW3DyiG5k/RbiBOdq2
y56j/QZGnHqSY6Hd+bRoDqGva6hx6T6z+bnEpXEfBM+RBccvy7T0aA9ieOz6zNp1OGSvwqO/0xgO
YauqkOhspH5scunCh+zJggmq4tm0YNAXzE2cJrjDh+icDAltYV0Ju8MBluCjBRyoAd6GXIDXHo2W
pZl0xt263hYCWwmJZtGAS5nKYtGqgZ4sxhhupgQXxR3tbpS5xGUyopv75tnY3BzYEXu35DfIZa5/
MZ2O9I+ibsxH30dPt57QeeoXtgj2N2gUwLGTUneQ8shomaaEaXpTToylmU8bmngVOBeoKm7qvcRR
yZDJQCMN4HvcQtF0NhV+yjcOLZgrsAKh1p1SvFLtMObbzO7rfVl16hsP7XQTnuK0CYFxm9S8iRSa
sY5dmaztDPWzgxP9Ugy1cddDtx9eCtMYquuIAi19EABb3VVTok6mEqHAW/p6EPdk9cCrRgbbQW91
24bsWEciZbPLIr5lVh88DiVAs0kkBuJlByEfXtdg29aausK60L+1hWc9MlsD2T7Whvc8m8KndRxF
+UOQifBt6J34IGjgvFQW+kOkBFHE11E6w03jgPpem8wPg74wEX1FQ3Uba521YkJUyIFN6axqdlMF
W2LpWLJrZbZfHb7ulwR8whfb0Zz6UWYWVGeoz5a5nuLewJumJM9PFtfrzhxjXJx2MLZwBQK3XtC2
HiOoktyEqzYQhCu29GjXSIAd+tkJTy82famvCvbDY6HHiB4TsyrvgtoNCVUTpnGuROkSpVa6eLKL
rgz2VdGa39KpD5EYeOUTIo72xaAkgopYVrfatq6MkxCawg0qlZTHBjjXKuA+pIHuaC+xi+s0yMFu
zXCjJ9yk4pneli2h3YwWTM9xOHQNQHQahMW9gd7hGiCSJB4zGHyIoum6Gstkz4k6RMli9btKtdOu
5SN8AXPQnZpCOBcLzdYmE5BGmsK9j9x4Ticw9FWL4veWY1g+e43Z4lQEqg4DuwRnOsgKdI+bjv6x
qCErWbZLSkgov8M1fRNdNlzbUqN1P1Q1iguaYDA6aGJ+kKSHp7XNog3da6afvYGdU3rt1z7myUlR
/3+N0wCWweCY5xw+3QGvcXali/sRWDPNnUjIW8Vx9pLOE8Yhisp3y7QmdtDe2OUqcR5xYjWHKYBD
RNBh/5To4EQUOYF32ALjC/pOExoEDo91ppfNafCtflUj/N1jIQuvHQ2AlVlGRUl8a19eWmrSV7TL
1jXM8mYz4saFM1vU9x0w4X3hVl9bbYiK1SAx5y4jNBnrofDksiZ0bIPuY3oJMe4t9KHVlkmK63Ak
u/gZbLhx7jq6GDhnvefIrXzwa6z5dsA5zVFVdxuDgiBLzmJ30KCm9aT85tyi63+AdIXbFtEA4WWi
FAf6rITQKm75TrHeu2XRfo+iOl/7UxO9jI4EnhF7lNQ6tL6zdCnWmOvydEXsKisGyoQ1QcdZy362
kI3UWICoNqScxWdoAv5TKm11sEs/fsKtT4EaOhmVYJev5BwCloWmfnFhgMC0JM5XdG36iL3eOIcI
Gj6sfgirRaTlxqPkPHmnZex5JBj45pukdTou2zqrj1qgsOmCbQl2ghtNX5tphw+haRLwrFXSEMEh
rPJrM5TYBKQ36A+JPZaPbm2A7Rc4enE/t1UO46vKnxVZoC99o0Gj9QLWl6MqagdJjRk8gUlPnFMM
/4lsMiezkEMl0n8Jmp76yibb5bVzcmdGJU50Z93iZeh1ghTwlX0tHJo0dtYUp4CTGpxG1g5+oThb
JfD7NlHnWjfGkvpad2p7xyep7msdPghO7OalzVokTJhdFsqQPmpeQLw4UEHwwZA4KcmCUQRR+Vy7
GvCfJBPoAxJ7CWfEX+juEltMVyzzAkYQbFdnuPNEENqQe4klsXNsPrPDWX/KqTYABEHw+eg0S268
WhtR2o+Ds/CnHsVAkY/jV+RSGt3YyN4pNxLMapoe8mNn+RTURkh6yIZTQH0atS78hvBNf3TjnBso
0id+B8HMdQangJVmGvdkZdWHSiIsiZU75i9T7Y8fBWdQ0lEFy5AvoMtnVbGyMePDjo9ek4DGlg4I
C4v0C4SEcdWwNS/7pgHEHsbafBh7YpEpDiSwPWh+b2zxF4ojqSOSbxNtFSYieyUcUs1aQPdhK29N
pKx73/SzE0QvQyxMCy8hbNJkbzd5foS04exJUeZ2EDT9DlNWtyTLhea8TQEFLhqCo11MFYWneNLE
dByAyp2jYAxXND3qre752mvI7fNa6hpAiAR3OK9PqyPhEva5o4LaOKnZ3EANXcYp1Lfszf0tQRub
I4Aw62Ur7H6bCs9aJDSl7m1Du597Qt80ImwJ1yt7naGLyON7TnYZ4BXWq3OIIZVulyILiNm1FSzJ
4TWJbhj+P3tnthu3smbpJ+IBp4ggLzuZzDklpWb7hpBlm/NMBoenry+rugvVB6eBqvvGBow9SPZW
ZjLiH9b61grXGr//1pmT4p2oUeCX/tTJG6VBASY0wTlhZ7iqhkn1B9wwgDIKhyh5bCfo3YkVSorI
3wxAyqHvrAPZz+lYd2e3Y5aI6cyOPtpY27u+a/of2eKY1wz4bb+RYOc2vavFzUnH9tryp6FcbKMn
2ALO1WwIZdhEiDfOkFXVwamJyLQR6J+xfzfn1E29Z2kVza6a4K5t7YrndOn18MhwrR9C4fR37C2W
2bDVxkK0i9tkYewu39ig1u1gx06wxrb52wBmfNTRGr1ITiYYLigyuY5We0NuW76LETfvkISuj37P
9C2x4V8i7Si9KyLl5gbTjVy2EczBPjGc6iDJ5/iC8qFOjWiyNwls0+fw7tu76gSYDcMrgJ9G0z/S
E9jvMlkAd5impuZS7sHpucwGlvsxtifaPcSLnW28ecNdHrdMaEqWMubdbJIZil8x31RkFwFkU+M4
FLI5GbVZB4tRtT/NlAIEuDEkbyQAHMaE7qxiT0JX+6gh8JIm4jFVXGcuUv5RsGryyksxq2nnFFyn
2yrJYAAsXjSELh64D5wmjBswu0f7MW87i4uHQGGr8Pt3KVfr3ZuIni1GqPAARLoVYZDM0lAVBNps
3CltXlHZleYuFf28bAGUZdXOKJjlnTUJjYxkm9rmc8vwYyQJIjY+AGr0Jw/DObNniug8SJJMP69L
0qXnWsn0JVGrSXihbzDsXXF+TtusTce/mSrX/TpO8mdur/LZm6GB7hQb8TbMMimLnSA2l0lImyAr
KvDWQXn2Pee59/BeBJOfAs/KPb/5GF0n+4WKZlkD35tMl4ioDmTdyqj/NXXX6rN1omlvZFX7CIaL
BL4Yh+dNL/HKuG2xvadmYhDnaJcgjnz4AYkLHJzX5xvUy/5Po3aSXYNYD1mBck69Z5fvgLlZD1fe
DK1EJnZIFDqSkGU48iqsYW82M9GqiBwR8/n1yzDoeUsw9frK+FKcvNZWT0RiMWLIJiKY43E1+s0A
8OU3UwOJnbS6OxzNjtWBMc8G9kY1dQdmyAC7IO3Nn0ihuCAYoS7XoXRVOCa3tFEIjqFe+K/5EFWX
mAAqN5ddDopAzdfI5iY49Fwz5Qbx4PDLgw9QBwkKfzxXNeKeDVNncfMax5k3zbQQAMMGGEP1gPtA
bDWmN3I8nJpETwC4T4XrDzdnsdcPBufTzZBjhT3HKvZp5fb7oW+cNycnTs1pBjdMQb+aoFRsDG3I
Vx97lMH05ZMnfw5NnvxIZ1mcB8PSTx0pBC0jSCtxz60HEoO3oOBXbCGCxHOqrGBQhv5cVuKzyAat
xx0aYhTjSTo/zoAi0J/BHyOmixfiVmP5MIK4sePfkcUyMkhZhL9AJEN6RVRX+ZKlUHnJ6KWB9kmD
4jrtRSD9hEZqLh3x0NVW/9zGtflsw1B/XAxRIeGL0vbHOnvpg1wznHUauPfVhCnHGKfqs7s5tLXe
oH7b6Hd9iboImyuYXiharGgQB56AB0bf0HbXLzSJzMqmhIJto812irYIJiqQaxC792uniw8+bVoH
VZFyEzD1nB8hs0TfkzHcDzgeImHxRQpVwdGxhvVqEtJwSpKIVN227M+c7VxAvW/+7l0YNFu/5uab
GsN4k0ba3GbZqdMcZ+0FkZA+rk4y/u0ROwOl8jk7J89HCt7Cc/ojswgEcjFu6SGKLBjkUB1I5lUn
wbm91aouXtxZi5NhV85mJWbod5VBbQpWSaBpU2CZzVw1U6PFZftlNShtwxg+8TMtEtPvO3A/1453
w1FdfK+NUi+r3fELbpZdH+v2MwaOQYsXLaw7UtUb4D3MKRx5DV8qqJ/f3EAl1HA1+XgFLScKqrKz
07Duk6exVD1iwVywPeBsQS40uu7ZN4eBDBSFS9fim6wIsHW8SvUkZ3QCG3Mpx58rY7X7haztK7S3
fhcpuhJ0BFPxnCdtngWJj9PvJYrq9QaGlHeE4obNfypvLLeqY2FayXNvi+bOTyXAQbe0Gm7dhV2H
CXxNpugR1aw88W0xQaKt8Wu2CniHVv2ZRJo4qLSev2iZvYcRFvfTMpe/W0tATRzjoE3uYufMXxDd
LOVLCmdj39WqDrLEf1nS3gZtUuAdkowuj0MPrXrjTDPxa7YpX52Jn4v1PQ/P0gzgaXmuN53RTzuc
ofcNzciEw0jL6DhQtv9UWCCfItPEhe0CTHt2KejpBAphYEHG0rvRM5KZVAuHAFQ/7n/E+dxd2K5+
o08kVqTBp4DD2FbXSdbubWac8bNSsAE2eNvjgXaX9U0y8mmazLsvdY6e6rTygthkppB3o/23qfDQ
bXqzxRdi1b1x92PyIpKFPS1lICgRzkTLVB9OzJUFDpWSJWHCmVv2BKWIbUsNLaN5Z586HEte3zBp
h/owA67amgrQtgd+rN6bjnC5TeOZpdUwlD+lE/UEka1jWMjF+6v7qkewlmPn5br/YarEBB43og8O
cpD0p5HQAidQGXsrZx3pYGwQvefe7hnllC3+OLY5jHsb8dUIt3IDNJfgLg3MZy4zElhIzDGuwL84
5HzVQqcc+uRFgHTaOb41vaZgiH/X0zL/SilbX1FhjwiY8/l+/kfVeJF+Br9nReT7s4WJS2qRoulh
REppspb0eBudcRjr0VPsYUjh4aLJh+SK1tD8Rd4KTNepiQDUdgsX14Kl8wjl2zzzQ4GC4w6eYT46
+riIARZwVsX1sesFfhL4vBVaqahYPlpgdOxtEn9n2w13ftUmQwhCF5xMHdlGtB1Uul7HNOL0HiY7
P6Hs6k+w5IkXFeTK4enL4BJJk40fVJqa28omzuHOXVvEQ1OmCelng5MPfMy5xTZlJVF3Sjk67cWH
LxkFJOKCuSKPwIcH6Vpvhe7Yo9hVfp61muvNEBnk7BVzqbai6+//YuKh20Rjar+xs3WAFLAQVUFZ
CfG71Wn1AInQvXF5UbsUXJebSHC1HwcTlsFW2ev8ybyZrOA8M17je3dV4kjYjTEhkYHLfjCcYC5v
Z7CMV7wB9u/cJX9lYNyHHjbvksC1RnTiAhVB4DMcPq+laZ1mVMwPi8nG27HuQ3KQDUQmdXboYc/i
ydJ2aGTTzTWYjCb9RHfdf+Ka6E5LVBVHz6iMcMitfjstrf5jNaDqR8qJB8KzOb/QkG6VMnErkgFB
TiJ/R177gKZ87M1P02jThz5O8isCd5j1A0JnJP+6T8m2Gj6TsVlvndbVBZTunedlGaFrR+WxwM35
jZhVhXHjdZcSGu8jkP+sC5oU6etYTOt3Hztw6HGfwUeopwP1OmPieozF7v9rg/47hkG0OShy/t/S
oP9Fkl339a+0Qf/xnf8pDaIMxZyH/9QCznKXiv2Hc1DJf2AMFI60MNzhHxTI4f63c9Dy/2FJeC13
Vab179iW/wN9BxVvMzPGOiiQpJr+/4z5/k/CoPsfYUGc9/EhIu+T/+QalLCJtDVmNEVjPPUvTAA8
imqjarZU2vLRVYnHPhWdBMHzMx5ac8jCYsBP819etn8hFLrTa/7p/4T/DeXRzUKicaVDpM//LVEy
WS+wNPV5Qqy+f889mrhI+mAPcKG9jnnqX2YJkpeDjjha9q71ePBogaCVzuLAv2JDBxNgX+dJ+RO2
rrmpEii2m0KmnM5xJJ7MgSzMlcnpFhfG+JAQAoX5CZhq6LaGfUt6VsgAeasjko8uMFpjHYI5LqLQ
6PJp6wi1EIBGKZyY4/Rp2a6yd4OEzpZ5i38Gtgam2Lehe2V8PQDOcbaOdE1sBozKZt7gPpSpg4FS
ElC1WfvB+QJuUVyFU4BCwQo4skMx2/MsB+JbuZQcZ1h/W3knXuHE+LgvHU2RNvVPQC2oLrIkT1kw
T/WvQXn9EUVr94hYHQN7bdlkuxOoJfEHPcVculuXGLHQzJxTUQPTBUNI1I2M3yD0M8fJYJoFqHzl
p4U9C0m7ab8RTGHs8CE5x6xyIN6AyLy0cFh2fIm5Bz4LYANGw6F3Tf8SG850ZINnbYG70M7EC4qI
djwvg3HPmnbjsJnaJlRMyWGftZWzY1Ulwmhw2fYKObwKZt9bP72jM4iJfSGERXxCqotCMJpd6HQm
1K/eWfnRWlL3GNCVVGHXGFTP6zjNxgc+Lb3LSHQ92EjqkFZQqbb37BGHkv93W2ZM98u8ukGYQw8W
SWO8Tk3ZndLYwTQvGc/M09VNWgxuxhnXPT4o/JA7bapH5ZDWgWMwtjCOptQdFaYQ0WEKzCt/nzuA
gvpegq1MluLAVGdbRVBq+wzIgOyf8PyRWpJELeuevtpOZZceaIuTbTN07UOT58NniuFsX/WgAtYY
PRuLQuOXWts59HS1PJQC+5s/8Xkizq/Dwo4MosEZcf87+TvukOJPwOs+VptGgYmcXq6xi0i9SGrr
Zs7MkomQnB8ZKK0MduiapxWQW+lXj2kBCjopx3XfxMNwKwoh90XhrjeXEjVsV0rC0kGipoFGPBH9
Uj1yc2K8xzYfgk2VxwQYHvYyLFdddQcuqOGe59g070WFpAuQA1RmrFhh5Zd/EW7FIW1B+Rq5dx76
0qktv0cdjEkrD3r218vMPv5Yi8HbVxWhU061+CCeS3jmpUG6UBeb0JfmqNl2pDUeOpZnIeNPc94r
URPQkHsdm2pHaKoKKXnW2FxsjWYG51NBnOFqLJzTkpCxOWJDfUx7w3nW8xSYVf8wNyssTl2Lq4e4
fY9oTm9dLa1r7CWPPodMiIDz0RwBYyTgjmKzGs/actLvpe6Sv2UMnfceRAAaaI0uizUxj1QOLRan
/sGB5XniekfhM7ko4iotgEop+UhEhslyUETPccXCzm48AAbZIA7DNI7fnVu0z5zM3rFQdffTbscM
BjjrRD+WZUIFgKF7I9xY5kfK/mDmw98S5ziSyC7Wtpy2SZwx3uqbFoVckk870fte81BpcyLXroup
X4iBAGdCnnIWk9tJ90PdjHo9CdBPqgEthukQTztq5BCWM0FPSiOW4QZo7TIlU94WMB02DVRZFgMp
HMEfpeWNN8OuSZdDxte990wS6RiiGIpzV5Kci1soYp6240wDQ7KM1YlmI/mBHJKOHPg6z3VyR+zN
jn9fmDBVC2wLZsYlaXJxUi6xqaHT+H+WXObxsakqyBzjUJ08cpk/3dQnEzurS+Kq78Z0ttpyj2pz
XjdEZzd/0xpbMTucbviL86jfREx9P0vLHwEK1o9VYnwAEuwPFaok5i5SbLwqRWfZ3Nmxm0X6A8//
6v4oVA7SVCZx/emWHeGpGVnMvjmpYzSlXrCUZUU60F1IAppk7oOhjYon2hZt7ctocuejzBbtX5oy
svI/0hD9+MxE1X2Jm9qZd0NjNF89j8JXFNnVe12QQNvGEg9IVHNBI4XkTyv9dXprMrczuKQi9z3W
+jMvfeO8eGKOztAju0DKuzJVAIwPzNSZHLzFfP7jpnOeASyVWOHRIUAiW+Rfa7HFM1dhT1CtwuZ1
Q+xVHwdlpS8ja70XNEkzKzyrRV+oS7/9G5c9NrCEXdoHVbXzjQxwOQ5NI5AuaXnGnu/98UtFqHlk
m9nBYNR0ie60tA2o4/bFToS8VjOvap4Xaq+tFg4XFkXJjF+2KHNl++xyWr8gYW0PWWXoXdzHttgx
2fKYzrvefHXWiHhHcmJCxeBwNxGSsBn0pN77BATxY29FmOp0zgpfe+fMznDbkh0QknURNUHmm635
Uftd+mMS2WhvuiZdCX8r4sEJsfSJn9JM2uoxo9gGvp1WrLf6wjPDwjK6Hs6ub4GeowM2LEKkk0lM
nyRtoVswJucFdEJ58q1e7Gxnrh+jwojfGJ0BcrH6vCGmht+CWmvKtk4F4qyY02kPZ3c4W4pMa6o0
4yagq4GiGZHcTWv9B/K/vUMmYCw4USP91s1WRTRD1sIrg9ZMW5PjyQiJuUSYuCYax15c1vMhs6YR
NVN8pHmbf0HZnhDgApSOcXNc6WTLwEgSAkZLl4g4XuAAsPLBLrM2MPwZ5FSJt2tktL7tAK0iFDdL
g1rM2xOyWWDGLvMSUWAe4b86NxECW6KCJ0KWFab+6dTXWXKinKm36BbQXFI2yFe3H5M58Bru9z0i
H+spb1kATYvko7DWkkjlzume+a6dgGO271A6EEIgGN8VpjpP8T2ZpV7iclv1Xf/ZRHLdRJlYjlZm
Dzt6PyiCiePvqlYYm9pSxZ45UvyoUYXuGPEvR5fxxEUaLYPnGChR6m4a909iHu9qN3y7X5FAXOXk
J1t9dnpyYBzoiKx6FJi/qC/r3WCRnwegbNEfRrK0T0WHbtvJIxLpAMd7DzV4iXVPlynvadX+3sNT
v41zv9hnkXAPGMfkXpgpvK9K6vaB8LIEucRo0SeWDfhy01oQ8pl2farrVVylX+qnBAEYo0yEq2f4
7fmrHuGA40ckT1f3xTHrWcGzRnD6EGLF8odWm6hjAP/ZhzeQCMgIGn0qmDmF1s90EPyzHSO+pIar
NIczWOosgoGIZbcGL5Yc2UWmpKM2qOGiqIwPYp7c44rhcIeNvbpUajQfskmhaZvG/H1m+mmfdKwN
Bu+Wig5+FLXk5DB1vGCEGJuNtYoDPzJsA20ZB+Bx1q+RphVy+R1NypLMfOG0SQQf3BELcTKDs0Av
jDk2AtgV+xd2NWCj8yKk6Gn2cVTFl0mIfoOK1fhap2joId8NxsnLsq/WMfxHDIsEwiyrXfwZK0WI
J6citz8y1k03u3QP4xIt25yR21UVLAR6Q5vvjZn6T1xw7bk2J2aZvjHsIL2MO3dmTJExB/mLNb8I
0T4gnBXQGzelgudQT8R/zmljvLM95gwBcU4+p99UABwaIuJVIdrndZJutCFXy3noCMXBlL3OX8gg
otvCKb6Ho23iIEX/VpKTEIxF/6dzUV7KmCgdJayGmzOOKDpXayus6SHqKAoYTwIOi8owW3IVQmGv
3xpbuaHkotkUTZuR2hmp65IUybs1dg+tDTkbFHu/B7uFFqanubl0Is7PMu/UPTOlGA81PcbWjxP7
aLpiubkQHgKSaM5FXbxJu/xjRN7joJmJQVJDLTbn7LSSamKw6XEzgUeulWK1ydj8sWjbEiZbNz7W
VF/sbaP4ksAaOEgvnk7K+pVPOYKEwd3BWQ9MpowHx3ATeql12i7JUu4sLiQGoeyNMxTvMVlkwF2A
O2zq5Din4pQs8gIF+JyvqbzGKrbOhHHBlMwcdGQrG0io79qgZCx/exNRBpteT68ND9MObnt93+Y1
gYkncJt4Or/FCxVt1MXu2RtG9+ZapXfSZqNDLPc+hgHEuBFP+3lcGLpvnLqzKEErOBMjtFKFTz4E
TQ1mTMyHqJASxVh68vKBPcq0tbwE7vDd8L0EUyUgqVh+eoIojNXCzuZzh+V0i3C8ps+q6/FoqdLa
ZfjksaYL1g1l3rmgPeaDSxxOa1JDrK72AgHIfRPLrDhGa8n5x47y3YI8hxGFMJz7pN7A5t76nyYz
Rahvi/XRIeokOiEuTg0Esa2FGBhLs3BDMRE6vmI1+ek5nvMh1do8UwFnjKvJ1cirqD46EFyfLT2K
53xtc85KnBEbt+qSSzdkyRVhwhqaFG3fFmLyo2c1qITcof6NYJ9UehdhEBAVyGZiu5jRL3Pm7nMW
PNjs3ZAkvLbZaJztRUt2ZSxsDejSx9kefSbck/9yF7tsq7glTdKigNWqckJiGr2tUM3lDlsJGO1v
JfqOBCPjVpmAUvWcUydU3ZclK9SQBjsMnMrgYB37wGDYOJkEPIRwaoaHwR96Jqf5s8DaIDwyWGy3
e6jtj9aEUpSb4ep4O3uQP/Jkeqwm0zrkyfzigeSPjRKrTXeI2C5zLckYHXStA0rDO7X2syz9ra3T
r47BBsQcVnExEUjPdyzJwR9YinPNVBc3n2w+x1199L387IkEKevsrmdJZkiohEccM4Aid8FxkmdJ
Aee9So8T1oG9o8cX0yEs2lsqHdgFDR6CNhAjgjL8aAqaK/zC+bdjZ3eJh8rWIJ0qAhdGzkjbNA5J
nTlbAaB0z6g02tW5is5zIch7Ze1w8GFkRMycM3UhCBgXx6y2K9lzx67I2UyqozUmZwtI0OqUbYh2
Ubw1jRoAHCrnjaSReyKMBqIqgD+teyjzJQK/iEjpwMsAJK192rwbk19sPYcWZQXSuWGu3pxJV9Mv
jUJWy44pWxA+e2hPEzs7DWX7p5oF8IV8MYipBbkZcsCfTBzxbObLHSOm5ph55F1AdWVXC7DmutqW
3kplm98OPx8ovZF5t6pmlxGvRxg34N8n9MliF5na2sIs3fRx0YS6nc2d1JA5HciUsCo+HWmYzzrK
ejqc2V9u4EmVvfEM2e0Gtgz7Ka3qzYRl7WjmCNMRcPnkv6Lt2TSduJQETWxlI6eLWiLvop0aDT7I
y9X6g+KOhSb7Gt9/QVQBesZ5Ipf4WA7pryke/yxxx6LMbGoKcRs+5UbIuD30Fhk8XJtGMIliRl5j
mGFtlBMCWE28AnmMB24uKBviYClm167eTuiaN/ThB7iPPFCqDLlt/8gJqmwlsPWr9YAv6Cw8vRLK
vuxarX+M9gT3dnac/NhyHRAkYC4PTpT8GB2b/XltvDupLx5L2E9fxL01B/47uQGULYoG4ui0dGOU
KMbL7DvX2mkBJcxmoOpGXlpwvZtM2J8c4AQWmK14d7D5bI0EVqu3WO+lkv42kx6JHV2yo4YOOsyB
Sz38GU0kkJqreeMrgFX56LE7KuXfXNngZ9NjiTcjmcrXVqaUl5Bw05Z41pYLfFdGGH5KZ19Uyyfo
CyKuiBAO0ylCllu4xfBCk40DyE2vWaTTvW8NT1NXUOoRWfKU9M5bVvtLoGbsflZhUi9aTIwULkF8
SOkO6gWo29SGHiot92GeJdrhAn1f3mUR8nwZ2r0ZSpATKOAsfXJzMDHmmWi2lMexerlbpEZdnSII
0oe0H9mK+zPmiXH0t2Ntla+otOdPvxpO2YqkoqDhQPQ0H2RbzPuhIagiLKBkHNMB3x0qf1JwrASz
XI8coF11/DPOLQT5yvmi5X91YBZNT+hPRqv9rZhzvU4p7Z9F6XtMmAxButIXQDo01GhdYJop7+Da
bKyraXyMS8Yt41g37w7ZWQdU7OTfpAT8hVbTZBtgO922JQvwYismZrQN0U6rVb6wqUW9b66wWVaX
ROLMlu1Rygx3szGn28qfL4Yi2sefspk3yoz3DdSSUNlq8Tdt46RvWszuA58zGI/LZZFRf8nIRYOy
ZjL1Oq6Z7YV8b4960TWONp1iWDvmQibhqr6bNeoPuBRe/Ch7Ke062as6a/akFubviMwA2YjuaXRQ
JiD8wiPRyggetgFMi3ueOpnFKVgQlyq8eZYwOe9s/3BZFckt7Hqq49rkTdBO0w9RwwbBDJMcZRq7
18Jk8xTrhLjqDBQO2qCY9+wwzY53UXFDuAZzIeRHIuPrQLtAm60SJlSt+K0YdW36HJ0I+7n5lsE4
Z1d7n4fD7JyYpM673Lbjj3wVOQLIujpVjpybsE8zUmUMEjNx7y3oOiYUbT8R4mK3zB2xw5HZUFDl
47ZEbUA2q9mxt1aNbXAuLIV19eFhxhctl3MlMuM9sps7NJTWI+zJtX7FHoKMwMay0MOmKrPL3FOS
qYhATj1Z5hl7ScWnsyrBa82LVA/KwVwbxX174FtICbfT4UIvb7+nCBGhk0gUkElD6Ygh6wKmmRGO
4Zg3uxLxIzJFZ98mHcBOHGheYMnWAh40cvPqphQXUw/bjuLPwQzdbTKmFBe/E/YLyIL4VCy2/crB
Xz2O0kn2Om5ZzJowe/d2VoK1mE1UOZhvmhl4G4lzvkUE6+K2mjEbEn7UeYudfHmS82KTIlV+sy3v
OhL/xzBzqp6ytpaBNbt/IpgNv0xEmcnW9pzod1Sk5StlyA94aDkMiu5mj/0rciRYbveB17hOh2Fd
mh0C2f48zyYfVwCnAdwffSBMomK3naqD12BpABBqhrom1idmPEheT74+sdKcA/YIMFDZMjM2y+9G
JNNlQCdHWopaoRPKmgcPdVnQtLMi82140wuR7qbdfaQWpGqY/HgcbCEf1iHGD2v07U839lCzmpGa
9mAVSdxCE4YaVtDYxNEr9B//CP+Ccmckdha0PlB7GHlyzk6Lrf6mlP/31M4BN3UKpI4ruwlYlKML
KUouEwKpcAQMVnWRa/SEGONJQtq6JcqbA/Q3wL8H+7sisGLTCfBRc0lt3GWrc+6R+nxpCfU8qv2f
/mB5B0k+1oYqyQ0WTSRQ5Tt4ZwEQZcdZ29aBW5fW2D6lVE1vGUCwB9vi41cpIz6Ns2ccaOymkOL9
NqSS7BEWUzvVDheLQr33Bk0UIFNJ3MRrf8z7ynjQdxcQ78dr0kj+OKw5W5dl9QaDLsh6O2OE3/HD
F02AWvWRVFTzwiaX5HfU8ifLg0Fi5bnPZEjmeG/mZ8vueDg7jF1qIoENINTLMg/uGXvPi8lDtDHF
tOu0Qks5FK91kT0s2K6CRBKpijkqJQInt5QKxLiaB2TVAzbSmmVSzWjUDQdfcyZPkK3Ofu0MAGsJ
CeLDPGGGsyQHsuV3zdtC3tfvWiimljVgJwoLaFQ+0nl02nq7oFBMaKnzZtdwLF6HpIe8t67raRlw
D3v+UAQ5ik8Ry5vsM383uv6XzKxzMccXDOlq7wr0Md3i3HzqIsz1Y9C10JvK7n0Zs0+hawatfYOt
uFYbI79FvU62KwuWlw4JTGBjm352sJGdWzJmyEiRybuwM3lgoU5JM/c1sA/yq1ZLbdukcUNCB4x9
OfggSW8zu6YrAQTZKeNZ+wKZnUZBoRrKbggh1mYUPAExabTWCKdwQ/qAGXrNcIq1C2jO6o6W5DzF
j0HWiodMjm6FagFl1MJ1UmLADEzhmowcZbWHbObzNnql/W62yV07Nzbi6M1F9QtjLYKAZrTrC79p
dqq85Q188Z4Bob2rOd+u/lJgfDP0bHyTYFOG3IfTLZ1WfYybitxFH5LJp0g7A1dU6VxWPsrvxNzo
YGbGjkWM0N9HzgUshFh9ip+ShO7vRA30dQwNfM1SKM/FeiayLsVKm7rjuxj69FEbM4/xkvMmsGOa
kgfE7dmywetAmVk0jv+Ke6s/JnO9clx1pv4xgYl+GxMrqfaFYk5VxQQdMcl03Zpq0C4eY4FgInAK
9IN3PNq08pKkboPxSaVv6BYQ/BpckkGFE3tHR+0eFAYWMiTrxuZrEegFfj7pz0xV3yjFjWBYhm/a
ctRRbVpnW7O1vwsKPhZuKwOrjZExEulH0ztrIgQ4KWr+2o6I4K4LOZiUlKb4rEjoQ8bNMdBfDUf2
v5zCTsHi2VG9a0YtfmcU5LtVuxIOWyyvbFnnB/JT4UdqdsKdnIZdkxbiNkqXEy0h09REp8+7R5SY
c3edduyfEvJjPdY+TLrwVPWO/sOrM+6qYSa3k7SIA7TOZzm7rCGhkYNVc2E0ZmSuXQdDzi9M1pJd
CxtzxXRjBoASycKIcgmbdQFYEG+VJHREWZH4VdftQMxvYban3ijKNyiBGGiZyh7UXDiPBbqqPlCR
N7GKxm7qtJKqkpwowiQUF9+c7tgo7lFIVljgvK8qMeOd10bZEx/8FsudPx4JyrYfMS58+RjpEbZT
027GSf9wmwErqhu3IaFqT2Oii63dlGQCmitqnsReAjmU67ZdPpsUly82cceuH9gIEtc6IuWMm3ar
l7zb+6m3vlc6MZExouIbs3HazrMFk7joTk5FKjOMRuLthJnsYMJFz3igOOtH+RNgRLKEWYWQ2/R1
d80ANIQzI7BnN48w+meVcF9ZNkF4BOd4m6op3Q3Y0H5E4ASKlaFD7pPSAb20fK8wIQcETprkc/jp
bQQSuNdCFmXQQexFRsbFsAbZGvnnlLEkXUeeZa/JaA7PuNLKMiT6LcYtDLz0LJBVAc5AUL3FR0yf
RgR9tDrzy7zk1iEVo967s0+DVt+3aukRCTyrUweRz/2mVjQe0GFh0zUIAjYNcv73eWy6DaJi8koH
jftsNaxtlpLwXIvmlc6MKmVwu71HzuE1mzK9K5ci3S4EC7J/i84UIkDlqSZRzdLQLDiYMcBz1BIJ
Rcweu78rKjrxobB4lrE57bLUWQ79MChSBZvu3KxWiu+qN5+TydZ7lgyMOYdmQiBP1dLuh2qKXhI9
ywfGlfwoGUtB1VYufEYfz2buudQHUFKvVjQClzdM3EX1CsMI7Zu3XogNUH8XwpGLPdsXekC2bvNp
6nD3eu7Kp4dZ6mu8uuOjMzZPBhEoFdO8a0s2xNEtVOZviB6qz3EVM4xrTbHyBZ0edxlUGZIc679g
Za1qM0lWKqp2xt8F0oHdv7F3HkuWI9uV/ZU2jokywOEOMeDkahVaxwQWGQJaOTS+vhfyFclXr5vN
5oCTtp6UWVlWZkVeAfezz95rt0YWHGh+5f9XNpXYY0i1ztKk/o446kfaY+PZ+j2FwRjbi/iZ9/d9
EnWyHxEROLrYq6/C3GJsG4ONkzSvpqQHLqJglSCTRSHjSiLTIe6wvzM3UtoUkc9252yH1GGlqAnZ
TzOeSK8uurd2sqfbZOJ8rGrqR9qIwYCc5tktVNOsKkdx2LAz5/5Pi3p839YEBSkVbOwbvJnZqi3N
W3YNuxgWxypX05OVqfRrNvL4EXio+8UGzr+ozjrFXWJDcNQBxkhPDBq/YGxlwF6M8tVgIXtTWjUQ
tqKw+FRYxoaGlup98MH+Ev7pUzo0YgcpmDvDJxook4eo7ZuQBpAtxiBQB16R37D4H49lVPjVqhml
eQ7zmK92gomzNxRtc63xFuhRv/sR9w0qinvzjPrMadMnKvkMECsZE+Tg7O3BSmi6Vj5vUFe/IAy9
QVn5NYx+xjHu6CdbRNkxrhWBA47T+NVi/nxpJzx5PIXM6TBo7unMGg3TFAFk2mQh94R+3NM8PxZ3
3kQkLSg856bNcxqCq2ygNDHt5zVKX7uzmrCUYHEGPBkDRsyBSbQ11lNmr38POCmyxG529R0bL/p9
4nJplArpWfMMqIhzZHh7ox7FXSnN/uIabF5bnkf3mDwMij4V5j0MvreZCuVBtG34GrWF/URSguZ6
uME8D/B3rwxD9vumW/RxI9UWyJgB3cnUucfCq4VWQBShjNXCaQ45CWJiBPmqxwUPCAj6GQQCIDzw
f9pCYPIpZoewfemBG3fgv2zBb/4kVtxu2jKAaNok2Bnoz5m3wiajhra/jk0Lvg9PU0gMU34xMnGr
eiLWjVMqoCqze03qE8JOPI6/6KCve3Kcg0evczCQ/FUzfRWxld+zpPUfhCHHWxbYzi/hRcXZmBz2
akToT4l2CZmEYdat7RJKjQRtcpzs9rVBh05XugNUYcdjusNJo/ccpfhdiPfcdCK/x4KXXkbuXIeE
Ot2NHLxn+hOjTUMYhqukNyZPNX6d2wH+FP2NnUyeaRZkR2B4M+amuK/WlT1faT4Q6yINerAuk3ts
onQf5UN0UnmMHBl43ilRWGUpydx0du4dinIqjmgZ/Xom/ME3YhxOVoVxZk40+qZ2Xbgu+J9fIcbi
+rBt+8Vw7HtPB0/+WA23kYY36wZMccTKw00+KEpfxuQuYk8Y44Y6ABvi++P703lKKpTXbCyuiSDp
daHTo8119g7mProBQ9TFn3LAPAxP9lXl+uUB3e/Ta6pHaU7nMGRh5BnqVNQ5SxuIPN0hCUbzNdI1
EJcs9/dKyvzJIgYbr1p20sciKU5W6XRnNAE8IVKNm9gS9XOW8kJ5RGZXjMk1ySwW1SbLB9Id+JXq
de0M2S6EjLL00GPrwIK6zpcSpyFtEQBGoDnmqgrZy0aATe94TNNkwkp+3HJylDt2kua5E/13pS20
niZUhyCGdrOiyb665rml1vi/phN+Asl2mqq4vg3Haw8QxYGK+fkei2W2neMAScq3ivuay8X90E5i
G0Z59TZlPdGsqBt7Cn0gF0S+5f04ox0894BzVtHMUIoiDciFbz7IYtZL/ksRZ9OG3DKqQVQaxFIF
wf9CRUe6ccpjHrnizoqd+NouGoTyOSJnQG13e4s2EH1m5PJADFHMubYRIrE7ADOcnEa+wuQdeZ7N
DarhqAD7TL5eT+mY4duK2SfABf2sA1+euKiEn4iES4nuIkXZdXIXM4TnDAIdmaf2dZGCXswAV9bK
L832bQ4c8Yy6Eb/hT5tv0DbsbegHxnbWfvIdGdK6J7zK5iAos8cgCaItawHGe8pbVrZfuQ9U95n7
qKtJQoGquKdJiCxbJbvs1EZJ+lNadv9QcLyymJmCm9qvlcI7Acs3bwndGEkQnLrctndE4tkqNF5h
3mbZNLwhszhXrKyyrVd6HRnnQTY3bAzkQ94xgBvllD6kpfErabS3I+8LNiILTsQGCB3YSt+E9Wh9
qKJHVkz5zqwKPNScibGBMQiIUlvP4thgF4cyZZCTm1kXr8TQ6U1WuNVu1ggZVQJfH1aA9SMSLzjj
0KmKVWUQ4SF+1EW3DpeDHcu44ERzbLYHi5bzsWXUZ3RGLWAbJe6HsgnuE59+7RAjwGMRxA+crtx5
FLM0x6990Dl182qI0jNF0eMTLVYz+XSKKiRlReysudZuuCOnLz4BQ8RoI4hee+miuflULiE7oG+D
tmQvZMRGunNpIiHusABVq9jZexHbu6bN7bXPyEl3HOk1tjvTA2pYe1DKXdx9i/ZemV3zg7lmovIj
VA9zbc1HEurZmvetWTF0+acqBbffs6Jf81UFLC7zAfmkAZbEXpWkBba8mI8lG+x8vO7j9o4IWYsz
Dup05wfeDjcZd84wpuiB1c1D05NXCftGHUxJGG/deBYNUhO795/ZcEiaaYjoacRr4Eg6z+PMKY80
GwXXOun0jYRfRWaHnz+E64CW70qPl9yixac1rvpgItMKj92jCiLLeAb9M16xJElENsFvH5RFOV75
reoy2I4qyN4ykA+sULAMPzkZ+w+F++q2L4LkHS5rf61sli7otJhh096gMU4mxd1/i11+/10uhMnm
H3mbf8Fvguj8E+G5gCn/8i9cmOJ2uuu+9XT/Tcav/Y3qBPa5/Jf/t7/4J+rycapAXX585WCL4qbV
8Wf7F9SlLwA3/sdGeJAvH/p//Q1/+t+9P2yiPnTHCPO3AR6E6d/87579B8O3Kxwc7cpWnNj/5n8X
7h8kt1nvLI02jqC76d/RmPIPfofjQRvnwe4CwP2vWOA95x+d58L0PJu1tFQ8Xfkj/wFRWfdO1uBS
tfdVYMnHJJTzppui4jQiyW5YMXX7vs7fojQfEdw87y2mj+bCUqHji8M/5L7AMHgVlTJ9SaIIUFg/
O1eWX7jBcZzbiHWi0BHHgXacFzHTJr8aisy5BCnb11XasjJIwb3sQ5ZuLz6e25+5dNsXqIIhupMN
b9dxjfGW8ztb+Y1p0ORcpjs2eeI06l7cd5R7nmVTkPK3Gq4OrIaOIW3H48YSxnL5mIUkON4k5yTz
7WbFuFs80hszm0dou8YZ/hwPMCUBIqIq0pATqTx4AjFf74EGqrPjl/17HVeMs4nhLQV5cA6fA9hp
T4GaBuQ+O+TPtku2eviUWOKCxxdf/sKoxSmZlydyQeEOf396PYtEy1UCZvFi5gldjRpOwKJSgwtH
RtF3RlWmPrJ4PN35oIB3fe4WV4UnAfWbSFzki3uVc8wD4fpBUzPuA/zzsF3iYPioLJXz6DIYVzC4
TPV1NC6m/Nr0IOrBsGHmCCPMHg2NY0eHYxzxiZUeC27uPxhSbIQgt7zYqlHHxLIYNnPQRrucMfMg
Ovq+cab+RO3ieHUi1iH4m6U+JEbKBbr0zQ6Dcmvy7kadT0hv9hgbGw5OhvzC3U4k93eNa3HMliYQ
T9vWX1ObUbmSNJRgdPg9PivgiW9W2zsnxoDwrMBZ3GFUEU9QF/RVqtJE8XymlnmnKjMxtiN7Qpab
ktmDmBxJaG7YEx3uo8/pX1Rbsg2sElQp8xOAEfcii2Q4qbalx0dV7tlO6Oa2HAyPKNzZIwmt9kEu
5YSHUrBIi2cDBxe4E8iKiUK1MPEx3lSYI6EXpV57pbRnX1TNwtW0DPg85Da7Y9fMIl8Vw4JP1Q5y
lAXQ6y4OO5iPqd+Pl4CYSW7OwbsPPuRkpFK+uVycz64xZYdQaMHLVFr+Nbec0qSttcCsW/UUzKyL
xqtwevswStAK2VXTyjGgs3nNbB8bPIzcYxyiY/HU63ujZF3pTQnQM1pFVVW/V5huiZSAm0A5M55r
SQBP++XJHDtj53YBYI1J3rQpsjpRnh2kMWy3Wr4ENGLnnWh2ZelqEihuBPHKG5AS6k8cofV17uiH
Wlc/fgzRLrCB+fldu6oq3L+zHG5yLPIuHpy1lTiA7ATld7HT5bQTYg+h+4ppejcIAcOThDHbJTlO
jPXg+EZzcukhxipx0k69HkwbEVdCiAF41eYXJC9ny9ewf6IIprgyTFq5Ne6+fSbbrrtrHdzcq9DO
NHFF04BHEhojPCHMEcz+XmugHLdh9InMbpobniYYAkuYo/7Jm8co2tsdLw6LlcwYKQMb+CH5Tfgx
SjsE6DnaQ2dgxWtJ3A2em37FdtHtOiuhGJOECx+LdtxbuZJ7s5cmVVI1aDjNTq0f8C7mISZygnNB
8OTy0q47bGWroVKUb+BD0Rt8NsgUZobEWCRtt5soqrhicDYfPCLo755VY4cQse7PuRB4k9wgvQ1g
wezMpIx/yMdxS8BZhF45t+a0G7hgbwnf0Cg7C5cvvN13bxXa6aFOQXWtAAfFhyWGvuvKFLxj3rji
SgO8gkPhxwccU/pVCq34OExstAPIv3lVtttMFv2DmVkaflpH9jKnFmAjEhYeTUchAa9/cwvfbkkd
co3+FSLXc+f2D3Oozlxlp0sLlPRVi7BhWBuhVKTGQ1f1KaEbL72f4hrrfAN+Qxgp+LqisG/r4lLF
RG77fiLPRLKJnFX/RJ1bv2swzIt1Mrr1kU2NcW02BawQm0/TzVDp7MLOOunpo/StE5Hzt8D32zfX
SNNn0BHlFS9zepens3xvsSikmGnMkS02NoCbMGLHHvUTmD0Rzg3mIXzSA/ZSwL8eAJR8LubNQOBz
K306tqeZJO7cKwAx/XzWoP1irre8dfOQZnBVSZhDUhJ6jb80fQE/BD6qGtubPJL2yaW1FaE6m6t1
4yTJV51GGOL6jjcpN1T8kMmQT9ny/3ZBm922RSxgpdLcI6zK+bSGaNo7tJBWW3YwlFMWGSQiJvQW
XDRzzsVF2Fn27tke49UefbPeWQSfwFClw33kNxTrtpBD9p7npUd/nsJ9IKNqHQdB9mIU3fyEj1hc
ZlizsCxwwZ4qiXqyLoA20Wlsf+FnTTcUfKa/VOTV6XbGWPA0stEkAs7Vg+7WWruXsfKSK+E1E+Ut
PFvxe33YDZYufK7JNb7+EMpDY7NbnWkBXeWDn74PPE8TcDSmbWynsCjvuCJb7XGo4/kRirVAnivz
7mQ22iF3kfZPY2J9QeYp530cNAYSETsB12/Cb7hz4a5wkJxWk0DInBqJl0EO/sgd2xbPKDLDI5PH
8BGMbsxDF2qeu6I+mvYuN1HVE2Tj7DuzKV3pbHDGeQQxucpb6y1KhHAOGkzBTUtrC5dxfzeG5HS8
ks3njAL36gfhr8VYxlfLg0fhY1MVOI16g5R6bT2YcJVWcFOH01QH1yxm65UJEYIUyjCjTcDAe0g1
X5JD58fqPBaJ89Cj3KyMphP7pPBbontUIa+QBZtfVZJfY2jljZqEPorKUPuaqJ5Y1YReqLhOsk2h
xABXic90N5kcrTnu8Yoz5Ym+sWxn4ciDg2vp28yV41NazcYGuhgh+6xwECQyFo2lMh5xxW1HOcXU
/wjvDsZQfq0xbUE3iZMXC7jHsdd5t9V9UX0VOkkxYQBLC7luHUa38F8dO59uAsspv3pYqzt0nYEa
aseZHvTi+CScycVENAcZmtElKjsCNH1Uv/tFM59H1Jofl50AHFp1UwkIMTlW/FMhauvX9Bv9G//G
AJM3Zn8/9UZ8zn6Dgn2kj58gMAewzQtIeFyYwphVeJCgvPzKiXnjXYM9DHeq3Q/5EN86C5nY+s0o
bi2sBgu3mMQgM2Bc0McXSJq0mvErXzjHMcDjzrNbzGAwkKeFhuwtXGS8sukF70VK0H+4cOmMN4lf
yJsMBN0hqHislwtlubLBn7vxZWqjX/RQAe/2b7CINbu8bCm3lAutuawWcHNdkeePgDnzTMw7TDmk
DfLfsOdyGot4bQ5dwjVi4UG7DmRoEnswok1QTG9DNXvuqQ8aQmRO5fPel5n84ZJVdnv2zhZArrje
jwMrI1ctMOo5r7n7wUv1vzAzWBbaAqdRI3u8RJlyNxII8kIuuUqtRN1zmZxOiY/0ZJsNthwd+9zm
FnuXB5doWpehBRd4YMX9mKVWeMgb5uMiw7U/tMnZVpVzzRMBnNPC1nZC0etVTvbtFS+hfRG5QWqT
e+Z8rX/DuSsTTnfGzfqh1EJf+L6qjrsXNG+9cL1TUugDFhH29fI3+Lv6DQEPuOFSCYkjjF13kT3M
pCFxcpINe2PnnF/s30BxLJ7qGggVHra0Rm7ispqLVRTCIcduokDg5w3Q3eY3qjytNXy9cDbBi6VB
Fb2YaURdV1W1bE0X2nnocsUgv3gs0yy/7k1WbZu2ya9E77h3XmhKmwuYzW42wTj05U2x9SukOpo8
ROq+sXfujhQislJhK4ojNidZH6Hl0xKCWd2zfZqR4KIYJdsz4l6D99hMGrKBxgm6HT2X/XxbejtZ
q71PNGPD0hkh3UATXE9JoPc8tT4QPFqyvIDNIk9Ge6BQOS7/FkBMeCtq9VMvKPmgKI3jmASEYNCs
4VItgaRrYvj+qncqmGYEOx/MhURfsJbYBwudPjUDew3mem8sIwZK8YEXYiayvytK7ob8JJj9ix8T
o9kmDo2DcEZyzCkXbkbkdBWTd16QMy++HrDtReEjhHhgiFn4BCLVXTEOYhVJ2hvbZ8EGD+jKFg34
H4y+doxHjGHkF6Vhl1QlmyJW3nr2Y84GM3xvSwGKntFMNVps2s51NvNQT6u0jNqjCxVmmw9Wj+00
mDdBnNuklzDGpmiDm7gnSeb49HYOGdTLTGzMbPwAJollMTq0rFA3FGXezKjMtwPA9y2ct5n87QzH
xg58dHvfwjQ7aWoDfWGfkqIJ7wMwuHsZIPyGdd9ta7MDlynjRRmryA/PxDu5lBpTvx8tRZACDn6w
9rJ0stGHO4+8bdbqi4O7JCZRwevrabJm6bgAs2zZH6ThBs+dJbpXAEOsXKLffQ/JUv0wQm6rNrPo
+7vsdzeEE1b+M9DM8YMNZXBu4ASqgwZyz4VGvYZDRTCvNZRPQnNmwMFXbsX3ThWOeDhsez5UIwxu
Dg7zJSya7KE1wwqCsZYO9aRp1pxc14XV2nuNXmIC1YuU7YNNP+DebL1HoI3qzAOGVre48g5jVn+Q
4LVXKO70ZY7JGpeOj/Xa7L/F1EWC26npXYed7R2Yseiqj8wqe5s8z1nUP+hKpQ76d75Z8TpWFa2Z
eR7tc2d09uPEUa3Ivx1F5IeYS8V4aD1UgpUXWf42Fro6Q7FFYFj2xM+hSrO3MvPjfey0HfBPt3Gf
PC4ukr1Ano1EszAM/7foav/PVdRYwGJQxv5j+e3woaePgvao79+S4PHrX/7pz9/zNwWOChr4E6bp
urTAOCAo/k2Bc+Uf0BYc07T4X9BhvRRW/UmgoJzGQ3pz4BZBtpG2+3cKnPuHY/sUT1kC9W35lX+V
Hv9kPfytWOjfe4f+R9HlC2Oobf7ln5QLU4OjFOJqsfykrrQsmgMtvKQ2gzMEiH8Q4KAK0USb4idK
esO7cbG0YtKei3xH9DIhR912b4rY4LHAh5yu/Drg0oyHhjxn3R+QwPxjQkn6gy/5MwiHJP5zyd3j
VQyFew2mWj7FCvDQwLL6OOV28quMDRtvTzgeC/55cPKlJcCjoHNa11Yrv9Jxxszd1F17TfRQPFLS
zDclXgis08Ji1Z6TPQpQ7htvIbUu1//bprZTrpH4vNuF6AqzBUP7QnmlSrc5aXoBnzkjkitKAncx
YhCxAR8OWV7z1VqYsUkCPdZxkb9VCrDIThgpyswLaKZQNWg8pwyx0NjFPm6IusgxzTZ23aVbag6g
VbXaBRoFEbazPH+DQr/xIlWtptgxL9zvqysbA/5pXCC3sG/6ayl6uesX/G3fmu1VuSBxExc4bi1k
QyFgY5GshZqb0SJwJMLBviVjo5V26jrodHbtALDZ12Pnv1ma/OhsFD3numALJOr0JlvAvGqpIml1
Na2yBdvr5xSbcCPG20kp20ZEuF/b2c22gW7RNyTQiSCtfqidq9SmAI8Qg4xLWR61Y/jc9uHwOkVB
8+gHXfBtzZDSVtLDeA2xw8IvM5l4y44s3ajuiO3IfMt9JSFVcdFCwprd8T2Z6oG0WSDj28Lrgwt0
4PHs00C71RULbu5usxdvSnibG7ppacDgM2J4awOnbYlvbybR2Hc5aemR5WRvsc80S4IVuimLi51L
AyVG1Q/ZxPsi69xcNzHGlpHVAlil8oTJzr5KFxBzviCZxwXODDi7e4EGGT9z5Q03TW3cCyepzkk/
iB988GpFN5EYV0lXY7JNwmm8EyL5iiLvnWVPcEWJAx4TEjpnAW1q0w2YpFdtUloWvSILXtp1K4Cq
C3M6KqFsE3KeTmzA3Zu8gidipE8jyamIDRfc6n4hWOuFZT1BpDuEMXxrvZCuCSpuxcK+LmmjDVf2
QsQeFjb2sFCyJ8cZT9TnqrfI1g5IhhmetruQtcMqS49FOgzvuQ93ewjwwkdMWJtyoXIPdt1sYn/Y
pI66i0erhhYJw9vvsv6DVWf9rEZc2rrs7LdqoX7PXW9Pq8kOFrYvk/+VzFFuN/yn0MIbBTicCE14
tiPCVxgzqhs1UloQe1X1EoDRYZGYm91B1Fg812ZepXD0YVT1dKggQ7AYJcdlheuUp8MNmwoOPqqk
+XlNCs5XmIOGZyeP3RPz9LRh2iqvArdFBG4TcRNjQbyqis7aYqzWp6Z3Nb3BTMrx2qkq5yqNQlwn
ATGNbyLK1rfnTIRXgKNeCTZeGiZIPVvktfB29YQPaA1vGoRJFsjDU6yjot5jQDWzNdf51N34k+XT
+ZIwGQd2os61vdyvOqgSV4AKu22Z2eauo6G72LBDMNWmkoXnrYskqrat7fYxthXDu25R0DAi8Sh+
cyUI/xV48InbvdL4kyaqqOAmZoh7eFsc0lWatdwFQ+jSDrB0ZzAwYqw1+uKrQa4ZuX2H4l1qNapV
UTXR21h69E/wQGSz7BaJix5P7Yz7NhWyHRDobe/JMhkp6CUdXmtTzMUpRgdyVgO74KMxmKqg48ez
LfiksfELQqeAK4Zk/dqxm/C2fubpW3OZCexyWh7aQwC+nx6iDI4dnuodXoKp23vCXK7PwjfenGik
LiktsQDSHtaM45XjuLl5wNNYabLtRn0NhrGOtuPY2uM2FBa2lMYYEr2f0OLY2AhVPsROz41q8GZG
Gy5ozS9TLxi4rnOcCG+gEu1DFZnG2dVzviPT3WqgNxGydFKzpjVDTNKYYNPuLSbZoNbU0rPZH7pB
kjJpJhrMOsPBYtGoAEd4ZiWotxBNmGlT64Tq4hwtq0UBb3DE/GjDKV7wpzZ7YjxTtmYfhXiSjnV2
H6du8IKNsbnKfPlTT4b+ULF/L0kXwLPDdcSkkJXOrjNz/9SpbnyfvJ7tjux6510SrIIUiKZ2NJ2Q
uFwME3kfWr17H6Te7N2GC4p5NcncqtnU6mEH7Jy/AMj+dp9mfitXDkP+wJiTJ09sNcYz2dPw2ZQx
pQ9dJuHyW6Y5oHDo4dvyOFVsf4DtRt8pVAlwCldG2jfwHKTVAEbKO3U0DPq80bYd77VCFXrEdp6e
h9wFT01mmg9gGcly2iMn9/vACq2njtHjKs0VhaSpAQFvW1BP/kqWhZ/ZpTHzxBpaFoRqY+IxDcLf
qcyy+gXlOpfHhddfrQMXZw71eHZG5swkS5IWvHGGnWEnNMyGH1D1YfZV096Gaa1O5mtIFXxj2sDK
XqBudmeeodaHabXTC7s6MtuFhFwUuHPCs7egFGngj0agL8fuzef33zU94xAEYH+AaaOMtzrjhBIT
azZI+Rx62Jj2QVz4z+E8Gk9m5Wd30qaQGgc85jba5/IrOyuASZUUC3/z0G1vCEUxtSFBtM99L6d2
M8d2+W6kZXXEC4GgC1LUflAxGWgyZKnxq6hbCCOeY2qCiT5UByrdPK4KLDSyjziq5mpv0LWit/gC
QeomcanrfSJy87UFBP5QFmbx7UbwlF8s4nQSz//g3icwlMKdOyBY6D7BI9ymZXrrRxapoBbTCvSp
UA3nAGsDPNckuhvaCLECOxkwAFB3ePuyX7xXTDtgYqtn+KScAn3L+S6t+R7on1FRHFHmesWaYVkR
VSikhpsiVYjaIN6fLOmXuZPupY9mcBNj4LrhgeIlvyN6JVAG0s4BnBlEqr1ZUuF8PF0BoU+kUfAK
xIsopj/2gCMyXtWQdoNnGiWcOyrs/E1WxbzviS6aW4xE89U8mjxRTU829x2Q7vvBCyg5aE1TYG6x
yLQMYZwf4yXADoqE+kLJCccnQ00u/didtbNKqwO40afQRWeTwAPNpsRDE53cOEy7Fv7iQnyQdiif
jdrHoY5B37x29MgrQhkP5XvmyCtUySo+WGPofaRxZn+CZOPHCnF0PpPrHXh9I5jsrnTDT6ZDvPRZ
5z8TeCv30UyrXWO04prWruQqm1QwbgyVzftkSNSBk7aiHMexWOHkCTuqfZk0/iWAGnIeZWv7a5Ys
bbKJqcJ5H0BA4eOi0vsnq/z8O8AadFKBEf5iBzBN67CZ/Qs69HXk2eaRKj6O+f8/NP6e8v4Tywaz
nA1D7/8wNMb5x2f0kf1v8YV/+81/To/+H6bp4bRgkSA9Uy5MxD/5hYq5knGSB7YtLdii/Mq/To/2
H4L0H+4Ox2V3yBz5b/4NBkubKCP+DT6u7u9f+i+Mj8LmT/rL+IiBxPItPE84RWxLSOuv5EDhsi5i
HwU5LAhwt7gN2L/GN7i2YwL45BPJ48qM/OehVt7eMQYSiTJoN+6QBEeSp+KLY7w4cOiIDSSemy73
873E0/ZOYp/43OxUrFfatP6s2eFjwaibdTZM4TW5yvHeo5lxV3YFYHXstPrLp75zP0aNe8/GIR62
6C/yMyAcKVc0c0W73sh3k99dEY/P8JwT2ugGpz3Wc0gCFiQN3aZgNSof3hjif+WH3StZb/8rBQlu
c4MGQq+NoNvZhWV76yzJxq8wlsE7JLHuNDeJ2ChnbPczVJUDdpeJdiiz2NMPB8xcZKSMYu8Gy8Sw
nWACHMrItAhqdFy9asl1iO397eBAbfOTMbJWEOAmIkpFMlMnEldPPYCK77iOnavWNOxT7XWPc2P6
uFoa79Z2awmjV/Uxr2oZ8CyPcdcTUNba3QZRw8Ey5UlPimoa1wiO6WvD2uXEANueilR86iAHEJbG
8SWOyF/Hrtc8ZEQV8Lw2BKNQohSFem4MywjmnwhCVkhxIy8hxtRf1chDdDU2yviBAN1e5VxpXktO
pivecP6equ1XAZWooTLl9YAcgAfXw1PAoocR1PR+Rom8zT2O0GTGJuFUpxXrdJ6brD5gx8wZQMXY
plCRD7zkhTKKB5mLhIUmGia0RfOVTCkHqpPVB58w1aZCVV/G7uZQibjeDLbPXz1ccDJhq1Z9r/oK
fKOdnJURPHtcsTcKvzTO3axd9Q2nWDtH9tvIDHbohAeIT7r5Qu0jJKY9tvkOHtiVFkOOmbghWuCK
jeBOtc1V9M1yMeDmVlTq2qK58tjh2eVNNy8VmN3LUM7+F4aE8GnsLRZVqLLP0yiykxcFzuMAV43D
f/RrJl4DnmxlijvUDWpbDR92PsRp8o1Sd9VXg4/TXzhkVhdWu65KxPVsw25JBlpVuHF3+DQEn9qY
jrinzPVFvQFvOe+MnNfMTyxzY+gCLLiKyrPhedU9d2b3jK3ao1kXFrQ9sgGWC1IGbbSaXPc5rXAF
c7HroWtjkNETvbgqjfak+oonCxDndcTfrl1D0gZHEpDGWNVREl4Tkwhv7dmSqDP2sghDqg1xqWhz
39gDwnZgUp5D8GHtApz69Fgg+kirRn0A9ih3pCQ8MqLp7dyVn401ngBMJGvDHDbCbI2dLoervId8
4LH7wJ3pPLKQ2tBkIo4VS8p0LSLH+E+IqfbyVPt70YynHnZnntOWgt4qvUVU+/y4j4sQjc36Zwhn
Lo5UHgcME7R99qpEqq2g4kV8HIvqwhVfrIcclGJTvGZkwqJtWWt9LUn0kF+BcH1u5374CfKoA9Jd
0AraL1SwGLfBpQzt4rWsEfQbd4hthOxI5tu21SBWuCGm9zD9+T6nv7/bNkE3eSz4XjhH/Gn2aVAT
sJ6ht2WxJbaXvv/dMfWngPj3gqG7yJV/+btbuCTk0hOv8Lhw+PzDE38yWoTENDT3lgpZvYHmzlP7
wfDGd3MJ50GN79YKlujF1R0ESYP3GITaWPFp0BVJWyNU2tqqOcJePc3ByBWWEg2dZP03N8XwMcrH
6ejWw0Fy86vtuR7XotPvXtPuStzze1Xg386EBx07/qzrsVzz2cqBiHjkRenR3mRT1i0YuOgkcBJj
20170nIanmrRa9tZm6nZwgxIwUUPQMJ6B86E8sf8toO4/15i0XmfepP2RIfsqKAF65patfo6C6Fg
RIOV78t2cF9LQwdHiuiC2ymP+3v+1d3puYtfE8sGv9YP8waXh7edc0ftB0DT+9IZ2B0SCjzSLdYa
qwHa5y4E9/4wZQbk72HGSsaPPSBAptEulb6114NyiKeTDcnsFGNTxDNyS3WAfm4FzNcQ7/gzV3x/
UzPi/DimH26WMtwzgQKqMGBlnxnaQofaBKGejVaJGwj8xoPdUDDGMjnkbPHM8hvY3vjsYNt6Vm5Z
UH5b61uPWOrJnHPrYFsyugS1qQ8ol8ecuG/bR2C3qQkk6tGMLbFAC4Fs+J/cnbly5ciapF+lbYTR
UBYIbIEeG+Xsh4c7mUySCoxMJgM7Avvy9PMhbwm3ze4ILbTQrVRZVRZZXIBY/Hf/fBwfprGg0pUS
Kvppc5sWARdVNp97ECkwv596mYdbRAcOuqByP12mUM9V5AI4j/IfcZdCS+wWj9Rq1y7FeyHMeLPg
wrxemg6QU9xOl1Ir/7ogUo/XKU+uAw9M7aYJlHNo7HSGMFOoeCuawVwHhk4CdATz4CNqM0y29Xzy
CsZ7HoaUfdOMPUmzJbvvx7i68bGL7mLs3Oug11wRNyMTv64ieR1xXAnOgDhwTFKcIaHkcqmoR+qd
LT3fTK1vHQlBjiRKyZ/MLFWU96q99lm9onUdc7Qd4+K2rG+1rnDDutblDbjfsZEbl4nnhuGUd1z+
LIz9n0WSlcIFOcLK2axrqGpi1pk8kQsLQSwoEl3XW2xT5Y9pXYMb6U5X5Vix5hpJ+JOKAahJ48yK
Dj/6caC39rIIu3/3ELd2VR4EXM4bib9y3RjSdY8gXkczdG7jvMOgPt3WOkusE1B4xlX0ubAFidAg
kYdUw6Ad2nXwPIvKu2tN7kY7IsrhF5oZxFJV2Zl3bIVqroCy4yhc98kehMAOfwg7aGm0+hxN6rFV
8Ew77FOJuZBlGFhDgQydKqrnjxEEgmTX/NnSF8GwXsNGiLGNJMPBxgtAvLnlVxT8OTXM6wHC4iSx
rEcK9edwgbsMUkofeLt4PXcIjo9RGNeUR67+myhXag9YZLoUOcVoDHenc+Th6CQzU+BOMvFuwCpw
TvtedptexcCKh9DdllNF/Rw3vezGk216drqqu0l1IX/SK+HedtiyHsvZjgoKPmLaRuMm/F0vRt5P
aHoU0/fDfdLOyQ8La8lThJjU7rTogzNuQAvSCQwWRsZuwmUzHPEjAiO69S2nPzWQpW4402F1GWkb
JN4upXdfzCa+MpEpbrt+CJONGYPmk0n0q0D/3AG0XIUtEthgd6isVdyinwPNN44tRZ4bi74Smmr9
4VmH6FhgADwHpqJr3XtL5ZwDfyIlklb+/RQqb5sEbF3cO6tnQ26BxlgBgpXuVuhgVBlQEBYPCuSi
bfptHk5pe+ObUu/9YQwhdCXicwqX/pdTldQgdHj+MBvxoh3GccHX6KN2kZ3H6/BzRsE+Zik/8W1O
YuYKdwh6U6Osq7AexhOko+kqDRDgGEk34c7Uvsbhaok3e1L3i+6mZ1yXWAYqa+3viRK63dEc+aEp
/yGeZfaeOjBlltXdvnGaovvUaEnvpqcgWgRuvg+rLDryn3yKpIn2q/ti39HMcJEm5OG3gi5nKxfJ
g1WvyT4nr9oN8IaoXVma7v1KXo6yFEu3j3WqMj5YnOW3kBbaZ1cBDWdNdKwdDmLG4nTr7D1Hiteq
zdyrYW77GwISeEVt1OQxgWtRpQHtrDImKTWueWvFgX3PeAawdehfhcL9xqH2OU/AWdjAci5IEXM/
gD+Ktx0jyYbiGv2I8j8fWXk4WEeZeEnB/EC8K15s18hXt7b7E02H5idsx/Rn1IrmN754fK5WCqqn
W97xqL44PghG5mSef6bd4Ub6412Kgs2hf6LICs7Sngz3UvBa4ZveiwHcFPoxOHPMJ645K79j340g
CaPpOaeloxPNJvj6llg8p2Jx5WUarX5nYj/6hZHKPWpfpSOgqvVYv5Q0VYwTZo0pdr/6Po6OoVtb
Bx932XXSFMkFd5qeL31pVY/EkORzzP1l2tI40/0eMgaBWydr1TVVbaw2g3bSJ/KlDCaWNdWZkts/
BADTGHkwyglTA/bbWosxdkHY+HxWIHJ5MoDUDUxDFVwJ+VG1fO9DHp3HXqWXFWS3YkmYtxHsz/cu
15G7zG/jEzjnZQ9lrSXfsExcnBzsAxb67hSG8ph4/P8p6Q1eC06CCZaZObwBED7jMQeI4Nh98B7X
iX2EY5duIpimPajcmbe2mYXPNTRO8TpXLZHI9o3p3M0SiO9Vv9gPdmR/dIMV3DGxZXs0zy3JHiQ5
ckCPUjdzQZYzWb5SZkobJ1YvRVdyqO7Z2xdZ2tSNN+NRiRqsZuxMR7FiVYFSiBeyfzAFiQXF2FQJ
/ydogSBxpHkwQVTggWVkbRH+Ut0z8sTy7JveGCplSDvZgXeNH4m5IWkFOk9LekPxn2EhXJkPjJAk
+f+k83fAQVR5DIPQeiI14tw7djl+u9ln1JIwHw0lkHhhYx8o0eyemiTjWGSVNwXqnitqmLltDpK4
zNMj3MqaVYRqNW9qrV3hfcG7zdMDpd7MQvC8kx0LA3tnmEl2IzIyB8JLJ8kpif5VZe/V8jjHgLBB
+2/qUqbfqadvs6wosbQY8RB4Uf3G88XmxWDpbiQ0csnj0rwCpmIekOSoEOSHLWALvNFvi9eOP/wi
dN4ikXk/fQZJ20607rlFJr9iJ4iv/TyytvgoQaNEOYBEq+VQkepz11CmFwYJxK+ppx8tNf4jKMd5
LVtYyNTqghISN9ouqe9C18u8HMgcQUT202B6RfbDM1mSIdxWQsYn0JZUnFDQsHeRdxkgh9OT7CNz
9Cw8q+Tt3MMEluvkVh4X2ZiTLGX3835I7OnEGZLiQbdSPgKzI6J7Ly/NmcaB6aDz3t1nANl+NAkn
P3ggHh7/HrK/24QnnedxwPxwtjdwQKC7egWGGY27acCd9loP8zpBnbTewv6Gy84iumlp4DwM64ZL
JpJhnJ39yK3ZXGVu2x/xt3Egy8BMwFbkzo/34plYQ7tfelPhZCKgsWE4Y1ZfTUBLTW6N/hbvEm8g
DeIs2AsEm63f82bxpVTbLiz4iKErKAKISudlLpOWEfQKLdOlc4ozVojIKdpd2/kzr0pSnEqJyk0z
Z7OxVQbMN8UWuRvHeqSMCNZmnzEetqPopmRuUYbxp4cwk2birCs+Io4uTcGwSWa4sCmYQcWHhREH
I7Brb5mvUPjKHceHR+7lWxnmIz/bYiJwbEXFTbyipopxCHboBMs+mTzozjKBJotDMr/EyqOZrYzs
89hU9hcT3JQDQ1t+xxE+fH9UyVk5s7UlBWkbOnKZkpdAWr5kXmVvZeI2ObgsGT2CfQlJAPn5PXeV
7uIC0ThjkENZYq7rvKTE5Ldgq8xb4a+sIJNXFwIiKfc/k54Mo5cToM/86A5NfV2S1j214IgNmW+w
BRSVSjdcGIqm9pE3zPnRcV277yxMm7T7NvukQPuIsT/YAit2l2aXSnpXU3uaFT/PvgypCu+3DA7V
oyyHEIE8SF98kbvnOsvz6yBpVY8M6UGHh6zi+GP/D3X71/Tv/9o8I//VVZiYtmJaLEKKQOiW+WcZ
YKRONopcB+LAPLd7DLX+r0YPAGNqr1QhYWHuv6B49LP2S1y3DeMlbI2xsYAXZPOnD+q1Icjgxfs5
SRdmC6teiaYDtLEn0wRZNV5cok5/FE5BWAjUw4RAOFe+ukrIFpFV54Zobf9LVPv/RhFKO6Rq55+E
jjWk+bdfa02B/t//dfPxFc//ukzoHx/6d5pS/qWgmfnkHqXwRKAQP/5W492/BIK7EBSSS2VL/Fp/
i/HS/0vxARQdIBix0Id8IX/XCUn7LxRLGYYMvLGZOTxA/wkxHuMWn+o/aDPoMb6PTVh6foA6tUY6
//mBTMh7TUu2tIdV/3N3otHxEf0uvrOsVLwwYLN/qlor1k3cP9eJMwM9Q6/Cuz8mHIpcmRBe4/DC
5XZ2v4BVhc9L2YUsfJWWpCZLDl8vWlfRDCKjUi/wWOVGGil3E6hAEhX5Y81c9EfgVd62i/vhDhz3
C3CGydqYkto3z8DQXMryq8eQdteQQzxJ16grCN7xudFFf09kP2832N4Qdtq8KwjCxBSoMLDCA8xl
X2zLrlwuiqSH2Da9mh/CPhoY8ycEjq9kU1OyAOnlcQhb7jB+vBRPRqhlANzTDE+FXTF3JxkGOjFk
qfA3ypXxcJY6H0AlDZH5sizVY3epS1wqTiF0d42nOQzxqksS5jO3r+ZhnjPz5VJ/mMDunbLhBZpz
+FUty/QJ8auyTxJ8EZpdAEBEpyN9NkkYwqi2fNbwO08F5Xi1WN7w3WFmqW4nCM7vuDTs58onwOc0
kXqQ7oxulKZnopmOdWUsapWOmNL8z5nz8XB2fDM3mzpqak3jjA/kLp7or6OKqCJXA9BgS6B2RZfN
Avh/lbwx/tdffW01vybRBrdFkMwBPqiaTrt41NTJFGa8QFKlEUdH3D0zDClHfipwqzqPOTt0swEC
aGLA1A4ZW5zd6Wsnt4rsnUJj/xFzHdjZTpTiymIT2nABY9ddNP2kJpqZ0EC/SramZ1KMIoVxxoH1
7LmwM4mPjMGf2CUpyexXX/C0UBqXoWUVFbPjRKdPyH+0NKLakUzj++5VRBs07ZjxVrtT9SGqKdq0
Se9867xQP1HJechtrP/Oe2wCykwNsLagp9nJJtgYQs0/UV2ld2HJSUWkJIV3XREmF78rHo2TJtNm
pWt73uw94OsM35omTyDZJa2/J2QVH+suUL+aAs8YZ1srfx2aqe83lvQQwwCOTnobuKCLAOKU4NrX
SZGCbZmn5qotHesYKGTNzZxrQJtgbtdGkEfuO4IKDNutj27aUe/igH9z3eGtcQM2TDPwvKMJeOCj
QGeog6oi5ZxERPMqtsI+/tmLKsZZPMXsrGXsk7yYbGsczyLooDSOPXidbVWIpDzbUnH/5p4Tv7Zj
MmFEtnVXHSpMStN1PWuLqUq2HmNIJtIXTPWurLexNdp3BClAhBm/8d8cvF7capUOrOgYFb37k+F0
bd16bhs3FC5DGjxMeFi9nct0b96ix0A9HedpFrt04he9YTjmAS91pC6nW7cOdH+DbIVqY9cphbbY
ktzyMVYj+eM5iOzxJ+nZUm1EQMr2EJFuqrbJyIxvS18RPelmYdiEe6F7FmnunRUEo/opayvqeROr
A8MxDuBwB27svNgkPDDSQB95afhC5dat0ux3PnYhnVdR1BjK53Ev7DRcRkRZsZBla5UFsBe3WTTs
6GX/huxR08vojAAxU5O1Z55MLqpQgAMqHhv3oVkbF8uS7kXfmkp5crnSJFc9YPlPJ8xpPCtiqOT4
HiaslPwRi8Qkf5S+a/8AhchEQWS2e8jXEkhPmFpvYxqyt4HHEHC7YOmVO2KsCMecgQlZsEAGLV1n
fV1t+RaLHc3PETGQGHPGJp8yTqlp2Yxv1B2qmyHzyp8VZptiM3rjfNuv/ZVl44TTpjGGMKpPNcJu
asPx5NvdeDOEdXgfWQqTl1obMVOIeQ8ebJmtG5fysRjKGFNN56UY+dYyzaiWZMtNTg+bXc/JpaOZ
ksFQUz8jqTo/i84fD3aD32BZqzn7ZNT0X7JFFjQY0+A56SHfOpacqE5PII/ttVr6o5j78Jrsp7Xl
YkS4DA2D1m63NHdWV/UfwqEtNBlt94Uix+zsc+g9IARHj+yWiTrWcLifKxrrPusucb9okhmfx6ag
JtYrn0KWJTSWmpjePh6qp7R3YSO3S2yuaqaR4qhsTCvojs6uaAfviF2QdIPndtQ3eWmYxAcw01hC
29x/01zA6l3fUrCarVWrtFv1mzKpXBSQUJzSjjZW4ifYTivi3eNJILzu8yFXu5zz96kohgpxOh1v
PSZ/1aau6EE4zDbfMPEF+7fBQX3d4/CPt7JEbrvGOLmYXUsL5Y86H3MIfhMIVs7Qxj0TfR0u2Lvx
11SBoqR2Jrn67lmW+zAQwL9Ja3CosI3WTCUVt2zNzTXTufYt/VOAO65duGbK9KWwUQI39cxC5a21
uQU9HPgC3SG842vp3tGhxAstnT5HV6aAjxKa4jn508gb0c3bBulvX0m6LPBg7ceoSLpbfnvlm1jE
spu8DgUdL/Kxki5CQ2W+hrUkOGZYccvJBdZaWBavsw3opw6tJD6XlcstgXaNfRZWgLCxczo7ey0r
FjjcYiAGIOJtmn/NE9K6dSXdiiYvu+QB06R+MF1WgJl23I6Gkctl23369eC+E3IfHia0NefsxWX2
Wo1a67vZ7XJextQtPyv8T7/AHpB8p2+1sa7aPzXOM6Q3eAl6CDDCz5R5OV4eXBmmPMTYvYq/zrGH
o5nPtsIUwLIOuwbLPt7Tmj/Mos57cFMuod7YsjLzy7VfqL4pO9R+HI9bPrpApdB1vTG4a4/zMnbf
ax07NsCBfxZr2bU3UnuNymyux7UK21tLsbOqIuPZBjNOVQ8U048cEewYr3XayVqsLfwIHbFBZ9uA
csM8Z3NN34Z+y2Yz88OBbQCohQlnzB+usklIyLRo04OZneWj/tP4TQ/V/AGYNfrVtRMoyLYdEH61
cin7kdMcZ/c2g9wLv3jEPMmHl9u6YDa7IbZSUlKvlkcOpjG1spgkUHXB9OIFzxce1rXNXIZp9R5m
UEq3nlOOB8DMcHejjBF+hzv/DSIRveQJdcgf2ewR2Imi6MPp+3Y/RA2twsq1ogvRY4qwje1l54Av
aa9ZM1dcqKh+dkrXv0jMkbhyqsC7TWIPynjYVz7W7Xm6blowiFXI5GrTNJV3WykyA0zmk/ZMh712
9tLV1T2r/rzDbBEuJw47ldkIEekf+BHXdYcqJbeVRA5QfyDGNxGHpt1cpSQ3nWmu31WSstUQSoAc
VdQeLcTIPB9dV1F1GK/V9kWdZXcOMSBywCNdvZAoXMHFOA+mm66xe4acyK8/9NKFz2FtMgDdfLLb
ZI4FzLQJjvAUTO6rwBwRP2VEB+5rNwbbxQKjvjrOlhS/QTyIDi07832pZzpewPcImuU7dXIqxyJw
RrfPvNH8zE409gxHjwaZduPZTQCtIiXcpcpRPvnsOjvj6/4lBmNLlkqqe/w6K5nDq9uHHFFoOIgQ
LYwjiSVw+oLcoA0dsPDT4IfJXQrAhUOeyuY7z6mzX1T8OY81rCl2IqfC6ZNYnr/3Bs/6YsVLD+zP
/gGnZvo7mCeaU4vY+xFOYWUfGIf7jwKHDzpeGiTbMHbwhdcr8nmcQS3EfhW8ZcGw3BeisT4rxj1P
Yo6J8UpIT5cSjMs3qLXEXDOYXQtiSBd/kenvXpaRzpx8yYcLLn9qbGhqFXjbyROUB59wxbxLSlah
EyRu/0Twi4Z6DQhtn2MtIVnmdZcCYYfumkSIbY3Wu7fnviHLLvP8SmQQ8IhTDvNPaji7PRBRgJ/B
HNTBLi4SaPN2Za476kKITuqk2Y+lJjmnW3G2i/51Eh0yvK4S/KbUuCakkd+jSqyXKZ+xZuyoc8Ic
nr1LuyCOAzKuiOeolfMIp47Fa+NY8YukFByfCQkInkJc0G34XQXuqQUTc550pPe16vKDS4TjqJie
4o2do9+RZdo7V1asf0Ct4YdP3A6xCxyrguntyBHB3clp8G91WFX30wp0q1PTHuzZKk92i/Za66D/
BbfOPEAkiRR9zhyNcsTIZ5e97+CrsT2NeajfOc5QeRTGWDJYmomgc5peMEyPNNlvgqGKmHsz1jdh
Q7Or7tvrXmp2apwpuzEB0xdh+7IZ9QNwxL6A+3/svrK6FOM+HXP8wilBj7SWeJjL2u+uMMRQ+GfN
zaWpEd7cKkuvCHEPH4uqvxZjcbZiCLpup9zGTFziDJib5mq25HLkCqQPdHBwq01IPt8Qny/3ceAR
n8a1vEEwkoeEDMBDV4hZbetpai4+QMprIkvmPFsUSu2U14g7D/v4FqeAf+1U0TOP/YNP7GKY+hdn
Gd17Fy7MRuEU3YK3QBii8nPDr3PlOWtYrfWyNgXh0KcBAR7ZC5WHxIMhvzNUKUBChmX9A9vy9JGY
bLqHW7RCQEhZ3MyLH5x8SRdZBRTUOYqpRXcS6bS8+VLcZaZt7rJiFUfb7tTbTsMJsGccKHKnf+fU
GQF49LzXdq6GT7O0N0Wc15c2T0HB2IIOuqRw9KcMI/GpOW7AG6DqGAuLIhhlLZcBRtEt3pD+CfYK
+5yqvZ3mqnyoc80ADrHMOxdLIW8rhvzPXcDZfG4zxjx9bnVvdUSCorPlsC8LDFHwXttPKLf6kIfB
BDA4Gp8iTdOWUJ2gyVCxu1FgenAs2/+pyhqXNcNqvdYFDIvYcxoBqjcF9Z6ELcO2ivqDfW3VOKIw
vZQM5fHesoXbdbxl9s+IurMAuYI5pSYhtvrhOwChFjCCnVbWvixLbiadjLcdu8lXI+kw3BLLnk7p
kpTvkyamuukdmUebwEqNvi9SI14ohao4fmdE/lJHvkvQ93cStv5Xm1qVDZAoL2BC8Hs499xuDj7e
EeDKy5S8ZPUEGM5SWOKejGlLEAi6VntDxg9mR14vr0NsPKaH9XAGeiy5L0xOeW9nOWiJVSD50J5l
74cMyB+uhckHreIyLody2llPNvyNTTcO7pb9xTzRTdp9SAwLACLs4iS9hOqLKr44bdtRktJDiYMO
QESFLdLe+VHlPYO26k5tid/jRk8ERUCINLjdKY1eaE4QhWMdnMli4qXGolQvkEalOBp2TWfTRvl6
ZNTX42jA8TYMULIuBMTPOBNmcgrQ+9vAGrpVTEl+iglW4CYm0USqrgvS16RMmisUnJKhLAgNEt9m
yq+sIHWKZ3A2y1PZ2QOuk4npGXjOiQKFhZ60fTJaoPtQJY7ke97Coi7Cfc317eggzgWsSInAzGN7
yw2XzgZqBDsWE2/SZZlmssPVzHo2KlKUvCw0MIbUjsU9wC9euaS5Zcn33UvdF+mdHTnur5yh+E+U
GQh67EecpGn9LLPc3HqhwWrbaNw8Sagd2r5WI3sY51+pZazoVOOkwHUTE8OnFNCZ0HYA/Xic+BAM
No6R+Hh8A8xv1yQYbjDst+u1sNfoEXndZojOpnN3rOv9iMtNr9mMtgoEw67eKzZAk3jdW7qaGQyK
onNOLTexFG/JDGR/CAaxazKvC7ZuY/pXJ6rXo3JbNew5bZ4/Z8iB3jZCsbwrub7wbwumOABBeDA3
7NOZf1V7hfuhLeLNDZGeaZsBFeKEwxY1Bx75AxfP2NUYGv8zw8zx0y9s9UpZObhrPFvWfaXWurMW
IR9yr9POoKkgskFC7JszJ/H8MEDEz7fR3IOyLXBg1luTdkZBh1H63a1ncyz93r+lcIAJjSwLBcY6
6GmLSZT3C0BcRAcjQaGL7+bwnRLOPK9pa+GbBPBVX9Lad+4LD0ZlXnQ0l6adkz+WFl7VMXLqZhs3
3D2Y8GhiQHbjl9dgcbQkAgujZ1fgx6AOq1izHhHgCXqUxi4q6NkKm6jf9zTZHbMhcMl8w2J7G3wu
WHwnqn3p56CnjLafQr7rwAcnKrNuMZsgnBHQhoxTcp/H9rMKFB0bbqd8zgmZdi5+O/TUe3lD+iEJ
JaJbJJNlH2Ztw78rBqazV2HQLwRtei5dPJ6+2mV6Iv7M/HXSr0nStUe6uv0rBJEggRVAcha1Nv8C
hitvynAmt0WHgMMwu4XqdZf0unupQ9wH9SjIq9ESSS3CuCh6XTILSzmPWA+wf+RRuaJIfoGh1Sig
x/2gw+ciabjNT5LlZ/bt9DOaRwjNvSRwSO2XSnLGKjbE0TaDUEchRN2U4P7wW5JiGvpll4Bt+tV4
ffMj9yVZjyzBKbHJQH5Mm6QLiEnEPtojdwGKqjJSX9gyGKXqDxA9wWWSzerTCVN1i68C53DA+smC
nWog8gXr/wK+FnoM5VPdEmzz0kawwbNUi90ABfk2Ja4P4hpI1psPF3a3BHX/xpvUyOtGiP6ojW77
ayNA73FeDkBsWE6rvyI7SeMDJX0phz0aYOst2xLrylRO9BGkzuBeLWG1yI3ou9rfQsLw3I0FKeLo
+pnZW5IK7M1gBAVOJaPM9RZpwZttplrvFzon072Mk+VBYhgxR8XJqOHKFLa7WvDOMwl2o5txsqJx
23Tpsq9FuobKgDSyoIo1hsaq6gywVqaDVY2iv55Hr6TcFs/Mss1nkFjbpBGISW3gsw4scahuWwpw
UJnZ2biC+SQioxQa0UZh5/HJ2QE82YhRIxbNFV8wPLU2umn70osOeWF/D5mlHhsV2CiPKYR016q6
aScwSGS8xjl+cis3TblvWTYJh3e19QAFaFEvMllmrHoDs3WVEixVoz1YB671bvLtuuX8nnMgo0Ar
kckjKq5b8jP26l08Bsljlqv5RAIjHg5YdIIXk/TmssyDfkmLmJN0qUx6n9f5q6EBcV8lQQBejE1k
H62mMl13Q7Trp6j8YKBjfVWJmZ/BRPbWjgAs5PSAZXcG6sUEh24ceC3cISd1wniIlp0N4S8Oc82n
SFXxY6HbgkpUM7Z7LmvxlWUzbMLov35HXYSxzwEDyqKau79tqx4PqBbOYUJQuCDpuNvU8fr7Vsyy
31lF5VBrE4zLyeHBBXo/mke8K7wBtHhQ2Sm1fKKbmjW7W3B5EJi3p0tc99B+0Vf0YRmDIQam3qJE
EQiDBBi5PbXxiscXCk01OOiWuArAbdlAQw7LYg/LtXGoNDq1k+cwnok7iuESrATnbo6f4tr1cXHY
84egiIyqUvz9AneAqpd8pAGbgqQqrOUrZ7LJY29LY/8JExuiBRUIZkV/6udG2uqZsyiVDSKMA4tm
bs/QVJzVNY2bovoOJSdnJi/oAFvViuI35j6VbZWzoqr8CbG/7pOadBXYLrdgoedE2fjF8b9k8vo/
D7LBrxUy7P8/L3X1URT9v/3vj8L8n3+7fLTcc5v/ANz4x8f/HZny/wogPqOmY0x2PccGafH3kBbk
bUhWSQXC52++YmD/95TW8f7ilfBsFRCPCuWfNNXfU1pH/iWZ0tpErVyH+SoZp//ElNb1GQX/05DW
IttJsE8E3uom+KfQQCl7bSNLLZTRk/CktGYEmCpozsPTPdwapizVfi1xTjaMbeJl07duticdXV/m
iUbASuv6MHNxvPVLimjETCEoizHFGQj8e6uLyA8YS9uQVak23HHyReeIYM4iIM/nAlghI7x4/kmP
Q3tkJCRQf9AoSG7Wd3Yvs5+6iQhrBXTyFaufbew50YQ6DM/lMrKArL63ooybK+zuFPDZYfKhVn9c
wLwjYbFebXOMXL2dWr102eqqG2gF27AoYbUbV9dd9ceAx1RdXS+9BgfAOtf91n/MetzN5XO3Ovi6
uU7mS10PyWWmNffayMk6RIy7jjP2PzddFhqEfbYaaA7sxWjXI+XE9OxWq3uQCo6BcDGOwjodDCOM
cnkj1Jzu8Xc7J3v1IKJkzc99BrTl0uoWKlT4D9diX4g1z1lQq9S4TBZkDlvWGqOLB3nn04WvgC3d
WDulYb6xsuKRXN2S6HjZT3zo5qdOwv4kVldlsO4HW4GIfMX9lnj0iiXdGlKvvzj3RFdOzxT/GNMa
xzQyBkg1WgMBcZlSx2tZBbLe4gaE2ZY+D78JzCynHC7K6imzUAegGH1YJsnogkCA31pF1+0TkYtd
tKR8lgThQEMIbLo9OAPrtF6p9mRv7d2S0+0Zr/+l40vKC3TSy0diQsV3PfJb2MnGMS+AibEZKXRE
/aN1RkW9ziBBFiw+CN1tLgomuG6m9F2Bq+HMrSe+9yTWP9s09KNXpholP7amgg3Qx/N9pGEEt+Q7
9i6fUt43fIkfPWRnQiAW3JVypvORG2434XeDFhVhTZB03BfNOXat+VDEdvQ9G5+vqYUsAqrBpsJk
a/OoxPtorOVj4LfRB34Z9A/SrfyFsSO5Cw4Cu5jDJkbJmra7iGPpThBaeKikzLGPh4Z6nX6BCyDB
MDwmbq6/EZTj7RRVZj/LhCS6V9ncbfKm6RjsjQuuz1DlPV0OyhJfePvnjwV/8Q+H/623q9h1vwUz
Wl5p7VUULS1FSxeso4TF+9OaCJguGHfySpyJdwz2uGOoXFbVbhooqQ89qtcP0mJQc8/piwInjFOa
kt108tcsVR/He+gL3pOTBNnIxc0ClN95bSn3qV2rtRi3F7/Hua7OVpfYXMeLRcNM1WWw5uYj78qe
A90iG4chZ5npl4QPe57tyvvllkt+EsTfHifNAGFa7+eLXaMq5RrXu63MxEAi1R+4neh39ZvsbOao
I3dAL8cm9zsQgVkoyQy2Bd/rElN7hT2N39MEfuOCzRDnk4dzgVGuH/ZmP5KVORHfJEIkDUiawYS/
G0lyYDd1FinpIIk/kZXHTx3Rq+TX0Xy7cPO8T8rW4g7gFfeUOhL91g0HzI1rz+67RckdemXg0F7K
9LS6zvklwfioqF2NUppKYiHu29RmUOmGKFOcg/Eu+tfLgA9U9RzyEnoSrhGJvHflag4r5epzD+g0
ocklInhjGEptSeJnAxqbDfxiwKR3BpZRXYFEMXQp4+hKdl0go+s0DabTzOBxHzfkWCjIUtG11yLZ
bxtLcDmom6A1K5xEfJAHDH/4Tk8vZNuGj9WSPzBow2LB+G0zuKo8MDyaOXl6vXn2vSG8FIxWcT64
ya9Kxi4gCQ6xYugFygOpqYFGmb3XJopoVJWdJJL5LgfFD86wHne86s2+Wtf0cgZrUndwAX09uW/Y
EXLuWpTnHT0ikyBZ8uTWYt27KYRv34Wt1ZClQGGjDrB99Fjn72vNEbZsKvSsoc/qI7UL7r3fu9mz
3VrxbxvGJrOvJBv2vZLhZaFs5SRCkZw4uI9Hzpc4W8KYXPsoy4pDHlnZnRmL9EZ7xZjtbWdcPrEj
tKc0K5LHAm/hGV7FA+1S4ANZLeEahWko39i3w0vVZIz2MW34D4vgKgaVeqQfJRTFlerauaTsoJuw
v1fxd5pm+hFfbPSM1IMKTJwwRH9s8UC3De22cAk+Riqzf2IPBc8oFrWFUFWcXJdbHFqpbcFxBa61
+X/sndeO5ca2ZX+lP+CyQBskgcZ52N6mt/VCZFVm0bugCZJffwdLrjKlU2o99EXfxgWEI+hIWXsn
TcSKteYcM+6Ve50PlnvK5CTIVZ/UqZeafSFqYkoWdmIEhzBkVDrpoQL8EMebMJqsPQhomu6O0bYb
mnvZjeM29JPiAOPvVEXyTccJEF2YTCdeyPQ1cKSCdOI4lyKsSmivnEC/hstwZMI/gjs4QTzvn80m
ZORt62hm2MW2vZ+X8xrvRVTBQUDLxLALzLVWdTEhWQOiR9n8ZvVlAQGA5RcOCkYsxFLTou685mvA
CZyGUWFuelVrh4kZ/Bu9j3HOgu5vZcg2tHBtJ91amEoORNCkL2aMJxWtqxleMmLTcUNlMt7UDt3u
kBjtfdfZtCqayu2OrjKMY5/j4/Q1Drqz6mZLJBsrncbP7GMjxApZB8NV4kWCLjoa6UZ4NVezre8D
VUimYpVJfORIzPZQNjfKkdhbvcC9axK/v4p6hdMgH9mvkcQfSQq/wHBdACvXiKubwOBzShfuyWdf
/fJfW8b/PxhCYegG3evZ/v/vi/SLl/Aleyle31Xmv//cL8W573ziMAvWzp49tMIRvxfn/pxHYQob
jgBzSFefTbd/SCg5f9lIKIUJjMyaPam/SSip2zH1+h4pFmIGGrj/pDjHyfquOOfcgAzT8uAjmD7k
DeAG74t0gFJsimOS70fUkevCfQnd2MeHJfOLyB5Bl2UdiDQtvy+rVKzwr5HjiD7hZbAdlyTExsAS
423xyeCHqtRVYWGnAwN1H9o5tBLJ2GHRxQwjR8CpKrX7617SbSIlEhpV1WW3RGARSulLufMiGxVG
szQbcR5pjjDbiZkbYQSgbXDdIb0SRT5z+KDOWAmhERHZMJI8DQy5zomiU7y4pMxt+9RfN6UpCGLz
aUQzLGHewIyQeKCE8Ldm12me2qiGeTr5PJsJuDWKQsKEVkzpEzRk7qpjl12VvromWHXHHXxVSJxU
lZ9yirixMW9ombH6UnSaHczP0vzmGEQJalEAvEAy4N/ig7uNubaXJZI++q1ataV9dj8g1YARcOoc
LqbfVtYpIQlnGVvphV2021mezgSmPtOeaJYM63NAU+3Xyhyxajw0Pp36ps58EMTdwTai7AJz8oNw
xlVWd+iqV2Od0xwwvOIbQhX8uCLZGJaxGjzB1pfc1X64J/DaXEky/lZYFZl/MvHTpmSnjd01ar5+
HTbNcN/FkwMhPF+TIUsqV1pCTe+4NG4d7igvolt6ATeR1X8JnNFdhI2dbYaBWV4CeYIpNhlDKPpx
OwdYYVDXJVuvxayROZ6zN/1pvIPMemOljOQXhmV3q7l5BNo+ANHDtKTaIokPLwdx9nPn3tITABOJ
KK7o6ZHO2vfnULcvo2SADywew2y8QGU4LttusFHEy1Mom702EY8+hY8qVPI4xOvRGcHrdM0Fde23
tLilHKlWvetbO4T72ZJcs2TdGmtiyZc6XZVFjaeHDj2DJMylF2OvQ7HFuD9SVkJr3yCd2A8NiST5
A7nsAwPQHO2YmD872dfUvjKr9HsiAxCPjfQxB3QhzQbbe7PMabdtwaYuCsd4sQMI2QjbvmWJf7bS
iXZyfnCD+spqvWVfJCvOejdyioznHi884oQS7H3ne7e+KDbwR2a9CQOBpZVL7RKAg3NlqKlFVWdE
28KiVV/hUzm2Mo3bZTM6gtYcTl8raMYj5HfvxZEM7nzE9kcNOfce+njHJBj8fGKFiDe8rolPkRnp
exy5cje6Mrxr6NGteFSbvVXq4/OI3HAJ7LC8QrXbM1woss/pGLi3kx3T+NTTlEELZkKkB/6x8mOx
MYRSm5bAkz1ipYGTgZ3fIZwY7uAed4dEr/L7XI7Npu5NGqWSgfZLG2D7qI2ZJKl8sosduzqlvafQ
OxXWhWNM3aHVpfFsJFm3dsNy2AylL441odd7GfnOJWz16I1CsbM5UY3yteKsrhZlz1WfcGCdOcqD
B5/r9gzbqLEs+16/8rxBv1FWX18YgWmccujE9+gn/TONe3niUXFPhDzop9wuQWlX6ESXM1FiayBq
uyBoKISS1Y7XhPfpxe6HXeYvmATWd+bAHzwGj8EsdBzLZRfwhINja04Z+qG1kjLFK60GjItHnCGt
FJRL+6Tpm4vaKopVF+gD4DOwS6NpdCuDOQIGN6RgDk1vJh/dvegbbcOQiCObmzSssI3BcSWMdeQc
jE8iOw6fOQFwkI1J9boShZ4cmUheuAE2qLj2p6tqjjq1Ay87j2SbLniS7iE3lQtp+w5tzT5f9kbj
MHR07qRkytB1Kr8UXYhlVo1dcFcpZWpb3xlpkJOuUmP9KfiDF6aK/GpJsTZuiykKyP6NEUVsddDb
CQInu3zWDCyCK1T7JVAFo7i33Mh7bszwgHqeesj0bjp3xsS3kDotsaqK0VkiXwbWowOXI37+pFmh
vRtzA59zZ91UQztnu90G0vWWFeF2cC6dg5bFw3LCT7vm4JOiEcGNCcRnxKKSH5vJ7o+BLPHc8PrH
8egw4As3ioSIJSFjI1yUHPGgEuHXqHfUoejBgWrhnOLjklBWjknKGsO0mrZJclNNIkQBFeYXhIa7
Wz/IeZQml6dqoq13UpXjnoBLN6fY0fxzR0DxfaSH5imMRX2ROr5+UxpCvyJF0TSo2vv2yL0eThz1
4rPSW/9sCIvnHd1K80r6Es0sy7Witzwri+Ugg2Ej5zeFUlgcvfntYbrOoG1+ozIcRYcogJiVasVw
XdVxTRxNwf4cEW5WKbbKQsjmpR5z6HKdbzebdH6D/fldRng53AVuWtzh2BrOgEXCfdUDx6jndSCe
VwRkfeJYoS5Z9nUxPwe1d4tXIPscz6vJNK8rwFFK9CesNQyUmj32PnjZ80rEcUDufK0iWMoz4lOB
smMOmZH5o6Ru33N+8vdVq3Aoth0S8lZ4L0lmjkc0wtVBF6l7FSGAb5c+//WRAkQw2PSAuySi3fRE
4F3xX2uXXQ1MwihHm7MKffMlQo0OcXogPar6yadCSQEdNxvPZxK7MB13jtZD3ZKsanybBBWElhx3
OQPb/qJwE0TxTk2K6oTudlox3XD8HbqVgIz2qQmrRxwwMuePSat2mZB21+7KEKnYycz0kCzjJuaw
0bXAYdfQ90ZssXXsozyhP2dDzo5GBP7jPNLKJ2div3YcsLioKlDfoT8kaqRurUuLxuPZCwcHqibj
ozmmay0T27hpJumknKCDXN/WIgIsoEnDo9eYlD5txyr4YvWC87Tnz2EZGH0jjXksYakkMdO3W7os
m09TlsUweoG9srYQpYPcRhq1cZJWa96kbc11KeprWn34MJNE0QCg69Saxa5xPH2TuO1925/EZNXr
MNDPrudXZzuO9IXZasGSGpV5pYxnMBIjWyMYfVT9IQiBsqI/ZLtqoffJ5wrf2WZM1FejgHjnSWvp
+aN5Fei1uihb3lHRyC+x+yWrNf8wmgEqOXc0V33LNmCVNZlhrr51o/IaIslNUrr+asi8K7I6gl1E
Gi/ASqmvyWJzjy0w8x3CQUg2sXXAsHyDMIY9Lzask8b+v9an6muGrXO+R+EC1qO1kJG6Yju/n4wq
/ubYKtozdEYcmJXTMUnx6Q6qbB+AVY4rulzjN6R9M9AkJHR72cgW4R0gdDdc/Nce4TARfi1x4MRh
1P7rv5NTjvKdM9G/P+Qd3ySHvHdHvF9+5Nfhi8uIBc41TDhKv9n39vvwxf5E1J/n0SpyOMJZ7h8W
OcP85Ooo6H2bXqhL3CD796/nO+8T8FQdyJJh8me5phD/6HwnoPD9MHxh8ILZzjHQ1euw9CxLzOe/
HyoFvyN3LU0N2N1IK5Ed0TzsSkAyS7gF3alIUJjjTjaPgs7ZDs1Ru2dAgjjEy3nzOJu1j7ayObUU
uLSfRCXRwuh6Ue6zOUSG5nDquXRq24I02d671CPW2T2iDBWfJCmZX+3J6Y5NAVjg0OkCfUZXxl2/
CYnhjJc2pvZ03WqEFeFlqijpE1sXqyjPwldwYkjAvd4T1oqhpFSLFqpUTarMMBRHpaXuvc7ykq6h
Sg8n1rngODW17OCK6eKxnpT5GLimd9dg47mE0gWOqZ8IJ6KUCQ+94aEAjNOICDTa2z75uGSbNIVC
QZNpOnya3i7sHnddwNhIMSeiYzhG5q1eqM7ZpAR1ZZDspppDZmig7lB4J4sV9rMhuIxc3ue1E01s
FJyHOJ82TLDVpejRf59oCKDWMAMsxxQbqY0uKzEQfXZuKPVlnOTVt5pMnJPZaTGEDmTeJ8oF3YGe
B/hqKYi+5IBNIXKrJhOGaZCamDHadshajOQtZCRFewlim6rSryn+diSVRpeVs0qQD7DhTDzpcZNc
plrgoz5z7TvdS3oSyeg4B+XoX5nE3LWzwkMO66bRy3vTsugdTUk+BFsRyvSAbEIPl/TqBzDzqXud
1rr4qg8eTdgO0y7Iw27g0niYWDjqJyJbd05jPjJQ7h690LFBTYHm9Tjg5rTubNdFM4Q34pZdsgZu
6tXo5quWoeAe8XE0zuFdA5wxPmHltHqfrynbrBvwueXOCev4usltdEY9kXdfUSHDiqkjzkVL+vNq
llJGTPWsbBUygnqzi4hKJZgc2GlBj2561wSTv7d7LRlXtRObCBRo1PHfGeJz7TK7WuRCx9WoJj8f
0LPblb1RAJ2c3YgwPyBZCHf/qhM2jsuu79znGjqjXOiWaA4N4XbpiqFH6SxqD3LrQq9k900Y04Aw
eHKKgOBzbG9LcLgcL02v7jaYGD16mlYRXOc9IgSzGlO1SYfZ5EFpDO+bpKUKPYhJ5sh8xHntYuQ2
ey/XcIoGyHpWIktKrIbKjnAl8kbnt74fe6vG7TDtL/osNzXUVrZMHiqC0zNcgmuiCRTxf/SdqqNu
UoYTyrJDzKToXjd68lCYSt8iDpnWbmxPp9BvsuMYIeQleT6ol3GqXHUefWSD19gqygepmBWSArUz
nF51S98CgHKw/by4ncv4NmsIU0kCo5n2TGNJciIH6ax3HnnprYcomQ+wInuhcz6uviDOm05mD41o
CdOawlIzg3R8YOoNObYeOZ1DiidsOt0wD2ByhbYegxK02DT+Emh1dKO6YhbKqRryCr3UaK8AYUyX
MRUb5TyvTLfxsccxOqEqQvIPxgzRuADfM11aYTdOZw078UM7tuhAa4sY1g3NhpHgLCcyOzi67cgy
j/Qy8rQZGomokiH2SzlUR1IkEyaVDHlGHCd0+qxl5eBegLnMb7v4D6fCrtpVHby2fKiuGrNvt0YF
Mv5/Nvf/IywtlFgkD/9+cz+9pE308qre3qp3O/wvP/frDm9/MmjRCt8VluFZzlwu/CqvMD/pOg50
PPB0UX1vbtP+2sE1DHZ4xycM0WVC6Aubr/HHDi+MOYQE2QUpFeKfJQp/QDMK3/I5/7uubiBowgQ+
y0p+3OCdUgWRRLm0Eio/+HmzZR6bnShRP7fAJxYoM8g9IMszkd028MKZVYgzPuBgWTb9k6WS566S
AJ2nmSTbd7u2bq8SJqhLE2sLviSNs3bVEJ7rZE+tx7xJ99Mn5ZS83+PBooHN1FBU+IO0pamSyx/u
xl90Ot7Tdr//crSnKV8sj+xlz/7wyyWo79ppLO3VkCcrgxcvDb4VsrrShbv8Z5+EfYhEaA+2L3/Z
aGneX8aQo47bQ09c0QlZxGQUJ0Q4jm25Mqpw9fOPsmZa5h/dGyiSABXQ1vA3y+FvMzvhx1vGkFTl
GhMmDs/9V/p9eFzz4rEdcVVI39gHfYnvQfQoxmtRrdyeXrAu7J5gxTqCOa/a3dRVWzsmgw2WWVHk
Z80xp5XjyKdQU0ecAS9mtLJZ0+Dzll/kkI/LykJhg8n8NNohAytowZvA0hnjko1mQW6js0puqa3H
ahUF44vop+e6jj9btUvnPNWdv7nc3ztUH66B5zvkXwtmIg626PfXIHDcqB8tjNel520j1G1GPiBD
jlqC8cBdlU9VLpgEohMmaXaY0fl2n79mzFh/fjO+f9D7L+IaID4tEotsArWND19kjIYhzEOQJPQJ
UCLVNVNuzX3ywmaOqcu+ErZ6tBPGxFl2lB0JmM54DQbC3SJHQPHqm9eE197OjLHBwckeui9TEn7O
RwL7Mufmb77sn6p5IRh+gmgQ+mzDtz48pUXiwcQiL2St6xPUGTA2rq7u7F6/rTVxRm5z13QlUmmx
m0jZimv9AccSLQMboT0aKjmB/zSmhQt9ZjlhfIyEuFMVLruff88/3V1XcKiBCyJsXiWHle793aUq
c0Ucuxqa3+yWBNJ6w3BZ0REbLtHZE9LA3ChPFEk/AvEsOZuf+3q6HXO57ijPfv5lPjJCPnwXb76m
P5yAdFHh8cSIsgoKwhMqHTOAQWmBrNEzt83fftz3NenHB2r+PDGDUWzulGt+793+8HmuNUdXACBe
WS3lL7BiIDatRDeueCrsWwM3D4L8vFz1+GRxhrrxlYjGPYesz+4IrCkh5m8dqhxHs188BR2xdA0J
0UlzN8Uo1MD7ZkuSMCECOPG1TwW9ooRZILw+MfS3d4mga1sZqI9lb9IALo01AaFHTrDM+gsnX9t2
faLzEW4CZtW0T5pm19JsWJcOmif6lrNnFZdna01XP78R7xdzjqLzhTERFLJXGcxDPzwUeMHohLTc
CNRq68kON0l1MSRo6fPzzz/I/PNrguARXSNCAD7Imo/XP95yZ8L1SC0cra3EJSslfWPagoXHIyV7
8q0OGVv0mAzq1q6nfduNN7g2nwMvnxUUwWdgJATgNK+hOy0KPd3JDJ1eK89Dmf2ifv23PCX7z4/m
++/54XCOPZ5AiIrs3mASp9FAppy6+CqT/ClggyYssSdro+rjRaRFzSIbirMcmHV5Vf0UTtiKSzVp
F8SLkM4+1NYORUF/lo3McWeodAeTKdiG+HMOE/qlh07Z5bKq24u+5LBhVx1Ti5agJM2swMX7fLBg
ErzCJ0xaUW1jZMI1uiDKM19Dqu8Qr5SPQ5u8BFEFor5S4+fR6R5MlBWricrhW47WC/VTKDcBXdMj
IWLTJo2yh5/f2z8/RFQ7QPAorVCnsoO8v7W4nCg3rMKHVBFA2k5ZBHvmp+42qMzNzz/K+KvPouYA
VUT/BvL1h316SPQah0zpr3pzsg4dFhBw4daxkkTMRHAXFhn+dFGM5yb8xthcLZnJMFT22WBVW8rV
NBqCm+LIK8Mf/+bLzZ/9fpVxLcvhrUW5y9v0sezLkp7Ac8jgDE+zw0jiiaMdp/r+b67Ax0plzlPQ
6UJBbTJA4cwtrB9fJGmmYceEPURvF+GKmhVeQJLAcDCTjaO5qdDdqLCqXrLauU/UeO00FvkHoB9c
uyBKc8ordF9xsXab4QolX3TCpQgYLHDtvyko/uqbCs9mU+SxQIz7YXFpkTahho+DlSfgCyUxYlys
IuACI+wweAtE5G6wqB89jAg/v0hU8u/vBOx+kzmccB12ZZQ9768Rs5Z2KkFErZj+PQTKZYlBquOX
xJaaN0RDLeO8/puPNP7qMwUClbkTyT7jfLgvfj7q2F8dwPZ1sOU8z+iBSdShot+4MmNK+7z7GqX9
PfqFF0BRL+aE6zLQvrT0bwHblOWFNxTfEuSsRunSdbr7+SWx/7QAezBGAIDNizAksu/f/4c9cNBq
sEO07FcMkDAcSRJpg02AWxgEaSSQSEzkUfAQqcGEMRkdukl8xiE3bFoRPMsa1xZgxxs6Ud+SKNrk
g74Jew7QWhpfkRixrWA0LpwSRGRVfhXst0Rf4TlGOLcv+ddTZasDrj44P+CGYdTUm9Rp3sZcv+tG
+9loCMAbi00v040N+mndW1jkf34F3LlsfPd+eoh9dIsBhcO7Q8DR+6eiwBTGaSNyV4S03Zm5c422
bOcWkBbAzWS08MnrapzoXA0h4KaA/6d0ioUcs2bdhs1NK9UNHRo2Awaa9FdsElUlG7xLliMBSC4U
4FXuI7Y1LGQHTUuE8MjiXatwI5UwZkY9YUO2WqGDewEPXSxE6N32FhmKZnxmKrXC5bonvveiT7Ae
KZ2uGf2O12jWkHeIHmQXr3q+qKHnRCwOpyFJTmmGAhsc6kvfttiyLAYahdq2rTgT8LetOYOsBz/F
BVNggrELRNgDc5xS0w2cTIhs2nwgnRuWUWRjdh2EhgzROJhO9VWRQ19mT+5EQGX79je34k93ApUV
h3SXo93skviwMnSiCAq3xkhmmcsalpe768tdDdq5/L80Q/lvNB1hFvFzn8rla0wD5cfeya8/8kvv
xHNJfJ1LYU/ov3VIfumdeMYnG2Wm7Rg6Ordfcn5+U7+ZnxzWUXY2F/3RfCz/vXdiuJ9gDTLNZvJG
IgPNmH8yHeFF/PBsECiI+cKig0tIIIMa8/1bGjPP9NBvTBtInnQTyxy6KxgHTT9HrozImaPy7ioj
WCNFivK1SZz9yRBFtmGzqY9pkhhEceo5CYZW7MNbr0g4Mc3W7RYeO4HcmoVD4WjEkGB9/HnrsCUN
kT69kgdsofXTFDsZr1uZ7WMri3Z5mshdl/fwjOc8a+AKxWWMu6Zd1GHb+ysHtRR7C15NfAejjTvZ
tKUs9qaX2ceYUzKN28pusNtZ2pk8wbRGQMuSzzF10N6CpmO4jADJ/xL7klG0Tmh36STxgSRS2st5
OpUnz7HEYwMHbVjTcoZskVbYxRYylj12CfIqVkA/koekzZ7VpMdnhpx3gUQm7oR5T4CnkC9CTNHR
Num8ErcqbsVkZ2c9Tszt0GuMNFC6Yxkuon0/ahqneh1tsMw2BPhOa59Ltyb4OcI6KYMFMDl1IwsI
FKnvnb1yyI5m2MYciEC3hpWz6EQZ38A8SBAvVdma0L3x8zCV4hQxEcLBoWsFzkuRYstJaDQd0hLu
6LLRLYhITVdFzNRRpR21mekKekAjxjXLDAPq0KAoH3IMK/dGOOlXYiR+ye+zzN/DUzAbeBAz8toa
sBZ7udm8lG6k6r0CfXUUIWrqhU5j7hLGCoyCvPZ6YhYkrpqj4jQK9QCOPf5Ul0xz5M+hf9X0IQ4C
0bq2tylGVMvNgDYb4m+OBjrwELyEAIHiDcU+OzwxHjBFGvMiZm7xWes7cxM0qtgWIBHmX6kHSwni
/r5qG2fttN5wSpu8v2wNN+NW0pgfF/bg4SYwlexvPQPkyiIncOixc5R4KCtDQq1V0rj2UbZeolHt
85Ujg3IHxTLb5b6taPh1AFtaHS0xY5PkuokjWPpaFNZYR8cRMgG/Ur/pMgOZDgdNqBhCxDcRQ4gd
fXR9J7BQb9DJ5BjR03lFrtzyjHaqZau/BYlOo1L1aMWjh1IRiVKmY3/RtVxjA7bWM1LE7sopZQ/X
hamgJ4vLdjAurHE0Vmk3TMykshlPonHJsOYsJSizs585FohHbBS81eMAokVKWqQ4gvFVVdKU07pj
7DUttWqA4scY7c1Ngmfs6/IEJqE4q9ofSFuGUrlIMC7vOiZPjOcGaMJT4zULrKHBZdLgG4BGFhTH
LiY0ZWMqI8YEocfudRFnzYNBiGALhSRzz41vyKfBtAvodbKiMna9UhydKuiGvfLMpgO5FApkBL3l
jZ+RB8bWLQhLtWqconzNwOuCgjJqIaqTx7PvwztgymY8aiFtLWR7s0c9CXtI+qVlp/pXOP+BfypK
Bi64UzCpoiNL/YXqXHIqyZxGuqEb/XjPsM1YOV1LtKI52PkhKuN6yxwjJRWR+QcsgY5lesESradr
1+myxzge1Lbz8V0vWewfuhothWG1zQUaueI+k44DDcwUTFC8bNBfXRKFtg1emTMmGCY3kRZs+jYJ
ZqHqZF2WxjB+KZoACZKkCHFl6+wG3iJW2CqEWdFWdyo2QWZk+uSQ8JXZdfka9m15PdkieEu0Ztyl
ePZfpRpgoZg6f7ARILEnVmayh+0QWk5zF2sM25g/Nl4IvBVPx83Y1G7PYYW8xQ01w2TvwwQBbYuT
Vq1jkjbFLjAHTl05crbsXORuZe5zpoRo68xYdQsjDac7YHomVNOINDhSI4UdUQbbmLpNpwiRVTZ+
eh6ApLG9EAhRIWwsqL04TppVUG5HbOx4dmdidhZeZk2enaTHtFIjUpXDug30wmLjWeSqqQ5g6sF9
dL5Q23EY8nOYSnUPLzGEl+TjLMAWWH3uJL8O5HBeiUWjCMlZuV1tHUPAr9OG/u48gMwqN9mlYaHy
ZRDn41fdrul59unofyFeCoZXlRAgu6jcCH7+WOuFvwW8QIWn5yPJioCy7RH0YpndNK7bmGuo8250
DIhyInuh60J4PCzw8aVLigYcAoKz9gll+l5Vpq3OmV2qHXRf3oJGy48lPhxYEcjjgUcMA7Jilkld
Re2NO3Ttpsmk/lK3043dE4PDBDzobvUhxakOMgMHVJtIFw8fTO1mYU6peJHhqGcr4rzEo+yczl/a
okrCHXSIPkLHIyaxaDAJTqzZSbvURzW+MdXX73GrqNsWTkW6KvuxvRUI+Y817/Bi0Ez7xmhq+5Gg
6vzIgm0fGmjyCyeRIUT08Tz5mT0sO0F4muekMAang9nywsIpyqZXtHcEonbWnNJqTg2awDjKG2gT
3MpwUddIYDeQrrVia2e29Y3Caew2lebl47UVov9zEF/Pf7ruHVMjF+E2hll2nwwJ6x0tpxaKYzmf
MCQD9UvN7UDqoPryH6vMz3dGkdgEm5EdgP5ZM/qAk2FA6qaIqNcW+BBhuTdpw42ObSC3l6g5sfB7
fZPBF0r1S5kw8WSw3AHEkf1YUEP4qPLAlHbPdV7kl505IZ8PgwkTTOg0t8gltRe0Mo65RNfuohII
gVPpeh7Bf8/Mul6aBPhe8lvXhyAi8HYnKh1+Zhp1zVuDgBZKSahCRqwcOd1dObZQUWWH8HPJpBVq
faRHLNhiMjSoMm2uzu6gV9MSfJ8gXcQxqleDA2tKUkBfHpoIFfTSVvVXj8bArqoh3nfI5RFrDyi4
EKNpDkJtB1J/RRzHnAKih88Oja2Toyf9oxZnADn0sUnOvVHee4qDD07jODTWLk37Yy6bZJ3kfdKh
ZClemToEbGWBfJqKstzLOuWe9+gkLoYURTSO6LyFzghiJ+8Smq+ZAAW3If+3vkpiAMukRbSc7zNy
bQEU1dAy4i6VHV0Nzjuobsw5rD4H1ofKJwnXGk6+o2Z74X2HifKty4jqRemAumxdduVkLOOp4NFj
5lGvplZWNasy7KNF3QAdQGgs/FVgJqh3uy546GGHMPGO5FaKFkIvsnnMt6gApjHaUpDuUj3F68w5
tdjYI1NAoHyiJRiawYTlwVcDXGQj8XNZAuM8bR5V7KdrO2yHJfs+60nKU3kIPSvYtWFWnco+VHcw
rAh0hvmywu4+EFcssgzhm15/CaEcQ4KNIuvrkJdLSMLrIC2nZ6aZb32MLUTDKYygA7HAwhshwMAD
85zvaEOIbQFNE2AnEYkPSHlGHORSfzJsdqPHqC61fDENKOitHgHThEBGri1JTvMubCuUnQoeIonS
fpF+qUKHSRVKcAQDdokMUXiRBuqw9KudZLtYtuwB+4E0jJvSj9UDHrx64ajMVNsmocrUouLYm8AF
F3ULQ2inNTliUlkUGEvJD1d3UNqYBDq1KDGapfkX5lfyyaQH4KxysB9v0tZwJNN/4M8ePHnNCqSb
y063KuiYadlc6ZXy0ekaEG2xOPlXREvIW5ryONcCAUBpocai/iyw5WAxrhLiTyjQxmcU79XXLnR5
O9wWGNiRF4/CMC6i8sUXXXOHzd46MUsyr/LBaO4Rv2EptaoO3q4VCtxDhNI4yz7W/C1UvGHH06Po
3kR692oT4Rzvyin2UZq5ZFzqpQujBl2XhwNvtCA2Jg0Zceac15FlOdEtWuOGT0zQBZ46RZx31mXc
wLa0WgIrCs14IcOpO+AnCM/KzOdwPW8uwXoSW5a4fkxJcWAx5qEmREntj80JzA54vBoqsraYzED3
t1Fh528sEslLopR7zjw9sWgY1cWaawZDsPdQgffAOlFwEK4UrIygfGhE0h95WW1En0pb9pVlHAyS
rUC3pDbYx06tWVURtLuwEYiI9QN7YYiZXxtOY3ifhJn/GvoVr7ZE//Zl6JzkJCvHNxdu7A05Qwhp
fEFyhZlfJ40l1lIT/CjnRgX6l178cJQBXvZ6SpM1Opns0kqm4qp0RWIyukQrijqHhaUq8Y4yDVg6
LJIvfqaTRuJ1zmdkb9OXIasZMFXeGM6yneRLZZZElA9ZeNuB23wy0QDfAinm/Icgub7AKxSoLTzZ
BnKWa7bpkheLjOlWd7AKx1ISFxU66yFXLbxqbafIXV0WxS3QVLztEb/3NSoGcNx2ZaGTcn33OIZF
lhOl1Gbgi61oN0wUFyvyz6ZoCQ8rehVWRbEI9HtdO26+BdY8hRsHIsMxBHV2JYwgItRFaXdAPrNb
1ov6FFr8GlRGDHv6NBrBs7HhjgBq7kyFgo8bGnD8enYTVtvBt8Pbupz+pmX+cWaATESnj0Cn6bv2
8ntn9IfOJ6pF5WY50AsEXxZ7v8vcfiiFdsSsjcMn84PZT/i7YuXql57iu4TKjz0MJgAMQpCR6rTq
xRyL/GOPHl5QnVtVO21TAgGvMe23F3Y0sw8Kwz3ETCK3xszP+PmHfmxAz7+mZc3tze+mQetD09uM
jXJC2z9sVRRmJ+qa9opOKj1vPYnuqkmSXzuOJHQqVf/SzpstoH+kkDTfgSO/C4o//OO/7sqcv/73
O9vo+5/41/93yBjyq+cB1O9Pxp8iPR7fmvZ/Ld4KPKk/9uN+/blf3aj6J5QitNuQD3C2QZr0m5bJ
cz55aJJoiPmGpfO/zCJ/68e5n9A/kfjCdAPJkmvxr37VMhHo4bCRmB58F88jINX8J/24P7879AhN
nmaHgBme5Pmh++HdcW0NiBiWp62MunQDZMtfgMmNwc5BumiLcf/D5fmLF+dPKgVctDZKLASmXBFs
Yx9miYk5BOBzfF6QtAm3oZkmbzPS/7o3WGeHsVerPEBUTJ3u62whY8+BJGF9f5gkDXvVm9Z92gf/
yd6ZLLmNpFv6Xe4e1xwzsLgbgiRIRjDmSdrAQiEJ8+COwQE8fX9Ut/VVRmanrHvdiyqzqqwKkhjd
z3/Od4LpD/fWL8vJ77ODy/fCyxU42GMs7uxPqiQTeRbeSx3E2qq+DoSHtqYG8+FjOrUG5xRCA6AZ
w2bQmlcYY5ezq0Zx+veDwzn9y/zi8h0wXmEbx+dlW+6n71AGEh9BMQZxl8+Q+Mo+ORGzaZ/+/VP+
4Yw7/FQKQOyQGWZ4+ee/n3EOcpGtRRDbrXtwS/3KhI+tH2snvCK9/sOB/Yff5JKlsznjroUk/en6
QuAx6WEKwjgkhrWfAzDrxdhZf/gUbsrPRw7z/q/JLF6H4Jc54bffhDnVlJR++zGKMT+jXDTdbOPD
VOcf/9cHj2HnZfjL72H++OnydQ28DL8u3wSs8qY2ip86XyX9l80dhbo3/w8fRoCAeQD5BFd8+jCy
k23r944fIySJqAqQK/D/wmtcsaMQmjr8+8dZl3Px6R5gaIYmSz7e4zn16VzlmKBW9BGfTLTDwHhq
w2vtJ+KhMjOPiAILMnJE3j4bKPYFi00HDDL8N6+yG5ojZ/lQlIGK7aaetnbpkaomd0Ws0A4ow3Uh
7Q9WV3fbIGtCeRwLGl/tug4G8qZrBtxWUwXCG9XcsjTz4NcX3r1iX3z/77/xn+7zi4BqhRYO0r9f
j5e4oCaZ7Mdpk1nHwjWCI3FhQZDKfTYYUHY4gY6NSn8S1+t2jlVaTxTXBH841P90vYY8uRmpYFm1
L07V3+9BVaBeEH4N46oanePs5DcNZtjNxUn/hxn93z+JJQrvD4udgcux/vRJzOJ7Db0kiH00pogC
a3bxbf0V7cXa/eHQehdSw6cLKCT0Yv6iJ9hYdz89WmRt2oZv9X7shJO1A+qfQ/K35jsMSvODR7PH
1pLDU1rOtFuOw1JuMUHJKPFoyqRoY9aHkKLfeAGeRhPK6HqPQMvcd3eSwUF7jD8iW47LY9gPzvUw
TO1VCcONRWpGw0hngnvaV4yGIUKZMhK1T41cuAQHVH9vT2nfEhuyl1ulpLWzXUyf/A8F20w3pYIw
1gP1M2ltJucxK9xbzEtzEeHR9HbpNJNT84P8FvBs8Q5qvSa7EBKjqwDxL6EL4m+S/rGUg/+Wo1/e
krLND2vPwNVIsEG4BB1PgbCSM+XR2xBw9K5KuvqYubmKetqiNi004yfHUt2bNTbde5CKYJNmtEGS
5ZWo+C3IRXQUJIqwqQ65GIpHQ3TyljBHIEEEdHQlq5lqkFnb8q2D5HZWU5a80G1BRyKjkA9PUyUB
Odf+UhrFa1NhmEEIQPcuBnVrh8q+8WvaNoHm2Ox0D81k2h1PgNR6MM2A+lk784Ir4dj97TqxI8TS
78W9VGXMz0GCmMjjJBUTk35FNzxNbT4LWF7Vch2OISczL8d6ZOiWjH40Ih/FldTTD5ZMHBNtN9cZ
jZbMUEbzRg4JvSKubY1H2Tr9q9k30yV3UMht7UJ63CRKhC8s2/BJuU04PMOsdEC+iCnSknGi8lzn
Wk4eBip5KWDM06BLmEHz6r/khmoKFFE+x23JNhPgdKhAx3K+rX7i8DErc9/Zrmvw3yH5QDGZpP/Z
X3zBf7VcYS53vhCIElBHKRm9BW0pXHa/JZ8TjIJ0DQ8PEGLKWRQppVqHL7p32WzZJEc3kxDFh3QL
foOfuFzxIWCMx8phIbRFnO2gp6nkVLN5rKD7/aT1AXaGGPMm3YrBTgA6WB2oi6Icl2urrCUOs8Fr
t3lF8wMsW7EhNIzevbLAAQdm1d9wQlOmhUvG2IaOkkcV1j6iQUkVL2H1s7dC9t8UThrGLR2YKqIU
gPRXk9wwzKENyG6ZeM4NdSubTCtKYuD3eHlEH1WGRmzkBES02o+TKU8Z8Xx2iE39SHkGg8N82c/s
LJ8sEc6EeDv0Y77bQRttug8l/R5sZGvO71xvU2/m+qjWkq+aVSMjgDY1Xxi9+FdE5X+0pit3+ahy
1qdSfg0TjFksUG15NExiJ57B/pvR7MVFTKV7bOCO3cqq5OiLoDwHFDhGGV0cx6xRAb+V+k+7z+t3
SutAg1KpewgoQvte2istpCV6xP0EDgG0h5geE9+mSCenalcvUxYbM29hlqLqY3Lr4Z7qoeUQaqOO
VT+yXbZScx8Im74lKwR6ygJxpl39KsGfv5t9psYK8WIzdacUoPNV3xILjupVM7jvUzoIYKukywSJ
W5npLd291pVSQ/ieE8V7JrU07CrkWxcTFyrkZTJysITbkowd8h0OLG6FwEhPeQmT0etYHNeWy5a9
m95oaO1PQSsIU7looHqEK6eAG58HZrBjhGln3TIjcDapBz0PQl5VRA6aKOZ/Ft62S0LPltluKvz1
0ZJ+f+6o1f42g6lCcrCwLwIJjmkvmpmmtvpYWEby1gFt2ozlCm5MOthTFHikZvHXcxoWbyPWurjt
yXXRyttHqXdHCe2DEGV1rOkIOOqRDiLarbfpOk1xNYLBbm1P/yAniBpadmW9cq8Z5tscSvvsVP2Z
LEa/BYKbRrMWC0W6i3mNAouahUhYEbSnw8KtWr1vHewCvTmwoTA9wFRKTQ8JxSv5XjGP2kAysDDX
GD9n5NVa++4Ti6Q1HiWzTmpwXrD4iNhE0dtp2vfOADnuu1xd20UDYd40uojBD6YrSLtm20Lc5pdf
PE45VYYb6Qxk1/1+C3IPMBQmq8getX0j9Zg8UBRb7/yEcukicM5Oi4xFqzrJAdub91qPdGuE+GN9
IHqRt6x3niuDfaEbdHZv1t5b42cYB6p0YXyWlASvRUq82gF0yLJqabpn1mXzvdXkwME9O4mZv+Ix
4mFzk9eiY3pphI+ght0vKtST2tKNqDgaXu3NPM5lMTMUG1t/60vKWpgrK0BrXssR2fTh6t9VbkPc
Et6Yep0y1X8j6JZQOEL6dGSQt8zBHoQQglW//gR3yLwIa8BG++M79WbtkT+3bhiW9/uCqsPIdEOJ
T4xROvkTwcPnhptQwqLpk8iyw/KLJWx5sigH2ZgjCDFz0RJXVZrt87xcUPwCbmP4M2pN5lu/cl4m
nHnbNDSe7Yr5OXl4eedRKrnv16QoGXaYDVVW4FFgF/RVtPqOfMTY9Eivqzy0HfCIECjYYejp4pgX
nN61HMcjZVQZT/mxgUXnclFMkn7BtIV0wSPF2CWqF5CLrIosS23djV2VbxuRNV/aAJ+IdNxdYiwU
eiueFnMftj95IeU7bF3VYcUO/Jziz2no2HP1D0VDkbNpBbPqQvWYK9ZQsGZ0lz2DxPYQVG19pDDw
J7TJ9jTrxHy0zVDulVjuMI+Up2V1XcDFNiBT0zSml6ks4U+updplnJtbGSzi6Lsy2RtNqB5Wt0r3
fZ18p1hyvAF+SYcFrIMTNemo1mUxlod5EuhPBdzNMZGkCmtxL6E5Rb2dWfs1mOb9mrg4OlInbU6F
y5UQzJaAiDTS/mMV676dc7IdS05j41DTyRbNxO+j0U3aD/jq1VXSWOWwb+ix34FSquKkIZ3jMCiG
+ONdlc74tqi5xRg+38wUHnynUXK8lp3dbVMTXCF7w5vRbnsgt33/bjPli2tB10TtLnHZGi8NKi7w
d/wfO8o3mxMYgWKXYQjE6+HVz7ABh5vQ120seAke5i49NSQknp0uC+g7DGiTDif1XTZ65c19MWVb
AIKidkz1trN4NpeYA25Q2dN71OgG10tHJhezKDQTQSAYIWO6mzP12i3kfVtjhPWDg7teNBU8PLfX
4QKMHGeKu2ayihNV2VOI2bqiXrxHrD1bK3NhAH/5PQt7kKYpOPdlxQO1AT5k4b1sXujoyPed31Ci
IT4aDwyiNodjNeKa8bPeomnJT3cB0U7efbNzGHJ3jSuDsuOQCrXW9feLtyxI2Z0RnMIWqoYFCvRg
V0/TbNCnMpbmli0UnTVpF7OUL3dBGqY7LyuSOJvCPLb5/I2q3Y9BusmbXzOc6gR3s1683Vqsh6GT
z8tACrwnzDYY40tQWBeSHuysSX0JB5gNdmZ8BERaLbs8N7n3mAKDp7LBvKUY5Uda/mCCMcUyz8eN
yNOnwaN2BU7fqQPakrvmmUacMSJj28NLNK4VVxCTmZBBjLaDj3b2i31q1RFvqQh4+hTbnqxfV/s7
Uly1DyxJJTJGpKiSAN1HdzE4gX3+RIiewFbfPKs1ePFkwb/kO4COr3PrXmco3I5F5xLmFPL2lSr2
TQ0yxgoPuG2edFB8oSMJNopTRbBUb2yv5LtbU7vxuknvsPXg1LyQ6C1jLEiRoV9k0jrC5yTF41UP
BXfVpTDoG7LD0dPL1ggkNSvYQQZJXkEWWXJAIZ9umzB1b5fO738M+KYQzdxjmRiEFHPX20+JBgyt
k2+l7bMxZ7v/NFyAYJdN/oV273of2Wp2+5roYZrU7l6FAqN7WQnC8wShWUp59Lnb5LyzCpNxP8PL
It6ngFU2Z2xxc9Q3M2uVLgnZ3GsnNoiux9R/luzqDdYw/ODCAsQzUwVPaZrD/KPlfLNvZW5p+I+B
l946tgYOYqmvU73uexLAm4ZSLpxy1gh6l2d+l7Kgt8MHbBFnoHSvhPhuao+BTzNz3lPwNMBEKnXM
srXjpd88iwFbgJps2LVF91aYFLmbPmPBvP3mG86rV4khgleloqXrOWnkNjpcd3e0adUvM2LoZnEp
u1c6NQ/OarW7LmHO0cm+eM+nkcZgMvQ8Utri5DdCbRaflKGsNWtbX32lP3CKHc/jl4pCE8Cabl0I
I5usttvdalfjT3/J7Nu8nVndeXa1X4Ro91QsD9ulFOeGPcu+YP9z0hQ+6dGjvs9Sd2pgg+F2gXzL
KB+PG6BNMRLLowRZsk86GblTehOwPLztpTHuZp4dOydMMA2HVsmif2bfnJtK3qz0o2I0nMu98Ngc
B416xemCJyuwxR6amgAJM9Aipr35yTJIuPtNx1pSadzhrd9+zPyok6/8agssO9mAvuoOFjVEMe9b
cdPJ7FJEXzanWh4wGRU7r2mts1hkBfRuLM6lHTgvpD+9l2B2fyQwlbeW1UxxVtniFUvdcKDLwqBJ
aFLfNNf2HZ0ckJByxqWFTcdtR+tsPNOZE9HY1d+4mMN2DjLO1s+wfwqZwzPTrOZhXZg99AqyKwZF
IPZe0G3BIBaNL6rsvhabMevGI8YfCm1F9WWRLBVTFK+PJM2aXS5JrWeKpdDAFjkOC9dGqwbaWhZi
PHiycWnX9TwgDcPyZVwJ9GhFiS+371705nhMnMLe6cLVWwVW4S4XLp4up+xOPonMbdN79xlCVDTV
nPF1CcMDTRzmHlQQlZmFHuPW6vOzMyt1JJ27a0I970NudPZStbpqSSDh/1OsK7HanUM9ssBtCBq6
pam308rIrlsnFY+z5cV1NbgAUctlNzKTjFfXmg5JqQM4OiHlxiNAaTtnNc8G7FH3lg3CuDAjbx6+
z6Gt37BafW38tTpLSJCvVb5+ZzuuHkItKW9OlUHwwhgpWyvVdIWn5Nmy3Fc+tj81KqRkeqS4MWM5
3OPBiVSC5GbNfY6xU6rsxhIG2lCjSLPUo0ALqg0T1TGH/UNNFhWDbbd3szZJ92z6nFd4kSZ9o233
OhW8pjElQK9sxgkQRcveagFfeI9W0Tx3hg4jFWbde0EZ0gPFiuIO/4u9y8ihLhtvzdVdaYXfZFVD
rGYLGnWGTVOs013sDkQ+B0oAEJhGH0cn1aUXJ9/Oo5H7OM0NkqhMvJ00wEYauAyirg9o5vTN/LRk
C0BNV7WUfpitJty8ftW9Iw7pmi5vGcmLTVUUCoXD++bPLRxxN8TVZWOY6xku3lZ20kbltOTX3sRO
Kwjt4sjld08CpDPxLqSSbi07u06hFu7WtqVScCL6SWADRfWqmke6MSjFmO6XQjjfp0JL62Ss5RJP
GnRCZHur/8aUEjOho/3Z3VF7lP9sucj8yO6Worum0HV5WuvQp1JGYKrcBcZMRZNTqupNe+64MxbN
Tm8d1icsqU5MFo2341I6W6Ymj4U38swMFe2KQBP3RWDO24Dc7w6WWR+Vfec+J2VzVQ7TTVCb6lRB
+YV4xbuDe7VaweNTdFVgNuNX+JB0N1kDe3HATfvCB6nnumrat/Ly7KRu/QbbUbkvms6/drMQwJap
aZ0qgqH50sFwOg1uDa3d8dtl68D7BZGRTM8amsxjmUzyKS9t5yzqEO6M4dDC2kCkWCjBwwNDq8vB
7EICvYOfj1u5EhvcDIvJMxEHiLkxqEvHxhLWU5T62tjlfisdyqIoHiDcnOD1S9HSF4l/sSx5GWz8
cTS6jSf7ak87Q/fugUwBo6z98snn+XMz1sH4QzUu5hhKRpt45FAH17y/s3JPOedD4vY8vcoHokB1
TLs2lcfol5suFHgyaFhxUtqwUXKmqE8mb7NOxg2Cuw+cWUf9lPDgZY6wN1xN8L3sZOxPgPDyosPZ
5kShYfRbYy5dkOChLM9uWuBvkf0LxT9FRmE3/Wh93XnvHlupQzgFVqQUkCMdDmCa12GE0ioS7v+6
iGta43az7PhWQ/amYYMBWYN7YpiliJE+vq+95Rybme5YQOEv44L5Xg86RqnF5RokAjRH0+9gQEDu
HA0aznPaIZsBdzl9rxKzU/7gDSTeQEeeEkfMRsTVQs8bqjA+omQ8+31hfZtb2HDbuqAgjzX4Qsub
EvBBE9ENV9TnjbFPjK/l4SWC75hMwnhcrO4V+aO7byiEf0h1MLwxki9uOfLsi5Hu9uak/FvWcpqq
zzTY19x9WzFZP4bswsdbzZkexRRQjQir5BsaLCt8Io+gSex0SLCB97nAcYJzbT+WDY1POpU0BJTY
B0GlOsKcd8JMVgFeAmN9XLu4gTa93YXPvEtHAI+Yo2kgAOmIiNuSBDgO4ULkGQY8I1VKMzdr69fn
wS2L59Kbkp2ZBfK6Tz29TWghREXKja8LnNi5ysngZy1/fdTQ1jUFF3VniltkEZ8/3UMlTnsUPdf3
ceeGrGVDyiOlVd12JY/pzMLdxcwyalSzdTtnuk2qajv0BV0cNujIBtpOp7qf46qem2EOn5tZ08ne
p0sBwrbp661vrm91M7+ueNk3zoDrJqOq3uhLoo/dkEbtkuentEUTYqBzTKvceOk1eIwwR7tEdi8j
zGX5qcNKWWNt3A8tuy6ZusWBjCWb2cmBYdwD6ziygsXzC2OZnJQYeCtuWpqYKZdtddhEKsCO7vR6
TDeBkVHqx1TFuGl7e2n3AusX1h8/zB5tcquEm8n7WwVNKkOedY/eRLCceL8HQL2raQmMEDw8qlzp
X7rroYRQWQb0+gmSuTyoMmUTib2nw7eROOpk2Bb0y4WmlX0Z9GCUUmRNoX3vjd+17gcoj5dBhdu+
2Os02JcdSwVVDzIdiqe0vy+0ZoyY56E6dCDjrQhlsXsG5M/DspwuEnKJIeun45U0e2hQBnHBDIHX
G3rJqzuX/hv1R/41E6lLEsD0Hxh8+kfPsu1n4aa0JHsuQHxW1Y6GD1/14ZdpCVoWMkbdHKnWHQTX
Nv21qP2IdoCouLcKaO9yi9H7wnRy7GfwueIlEUX3s/TpgNgMYV/fUoFnMWKQBZkRGTrld2m44pjM
y3wQTEYe8xr757bMiK8EDCq+Lnh/bt2uqL5V/op9tqA0mxpP5200bJIePSzP98LF8tvVDv+50eEl
WGKwYYrmmswCsUX3MWzdoLsQwsz3vkutg1bDVG964O93JcVPOgpkn94Zq4O2mxl7K0vyF9GHw8+2
sdoXhkjJa53W8FC593dGz5GHttjQA89K8rA0+fqaLG321qQWt+aSJ8MXSxneOyqw8xUAU49xbcVC
YBMPcnqW8Ks9+buGS+TUGQ4BXkgAOyoN559EvHVkoNtEDUmvTY+ZHc69bOwXw62zoz2L5ay0Dr8U
plVGwu8pLluC/OQhM3vMMYYOpodK3ldEFm6AtpJfINQnp5W1NovqtVJxyQIQCG3dZ6Q/3CdeXs2P
qRlbyLNKxAwbDJueA4V9n44MuiiMrzlyD7B+bBRoN4IAFlyFeEovwRhEG3AiTCV2dtvVd4zLCFbM
KXqXm1csShqr7h6XXqtwQ+NDwMHBnRk5FGCdrUFXR0cvwXFOsuGUOzSzFyzSaNwyB1iSBQmaFVBX
Xj31oRZ4zcu6PfPACKAi0+J2B65LtTHb5BkvniXZRZMpK+odpvFLdgLv3IeJ6fEewVrfkUeWj+7k
tz9cOZImEE15WsfE+xk6bnBOhq67Th0f6rWF8fIncYz2x6X8h+AQMaMvJEyoXVSq9zEH+8rbBrkE
OUc/mAOWrLG9A5dqSH+Z7Tz1rjQLzHQuuSfQe+LBUIPzkvp1/b1J1YsJmStqelYkeCMBh/pVas4o
7rK8A5C8vNd9mJFgQTsdWU/B/fOR3tdDDzPm5BInqvdsAzjIYzexwDC8bhWnIpMOLbCDCYxOzUl+
s8wD1CCXqSvPiLQJ9jYoySsCp8rflugVe71KLh18+0SCLFrgY6svGUR3tJqcJ0np5oZLwroRo49g
5w/DErmen76PqkvKbar6N1pRumJb+yC+plq1DxknKtjTguk89wwIaQyppQ/XQePJCy8pBzhHBB6q
X+GH7lcQgonxsuy5mose0g7vzM3wKz3hh433dfyVqehY8l+lia2fiWvxZgsJX6SrgWpvNGZ4Sv3l
myLgvGFyrOcNW2vuE9ZI/AKGCSZ21lbyykXHnpnj+F9SerW/q1QnSJaDC5FlwSpimtcubXP4638F
R+xfIRIfBdva5K5i4GHzD57MYZqo6Vkcs9l1qY2rdjT9dtg5WY501pvFRwKa/eiTzrCiKh3I9PhC
5IQzEvmhFh/y6kwAczMxulmuytKgGFgP3htcQ14fRcrmrVZJfUFglPb3guYWCqog6AHDW8x4meom
tsuJrrpiWPZexRCIS7I5ghthUOYzTLuDJwfDTjkjbxOgLx9r0QHG7ixDvZIPqaFSs5pos+6nPZnh
lWs44anAbXWnVxu4Dj+7Py1YWM/LQkkgs1r2+AuhbU8QHWbaF7O3aTNKSHqoicEEHDasivwuC9zb
irlvbKUyfcpqumpoFTDoGa4J2+yZ22f7pnfeXbDCD4ZXOB+Gh7RjNuJ6scz2++jaxTPpgkocqPEJ
EX8d+RbyNr820ta8qbrWeEjJZf/BiHGxP/zV8hIKBxcUL25CtI5zsU/8ZhzKSuF3XSaDy56e4Sk7
5jvfa7Pbauhy3tssVW8n0yieoYLwKv13w4TzT3YJLChMQbFUY7z55O9ZLcMLctoW48VLh9sQ0udh
Uj1TBMHY3taziBL2ZAzGiUB81yuvFDWO9b6bSnMzcmapxXajIKgROzuR0/vJgKmZPXuvWcYzb7bM
uybVNrLMpUULAdVdD8pz2pOm4OwMqoyyx4lRhYs2aOPUgnEDtpznCitg3vUV4dyxtOJ6Lg2A22aw
9RKeZaOC6S60+zSPbA5cvZh3Mvc+igYCheFPw4EAICavtvGJ5mQ4/TDM2384dNbF6/rpvIVotsSR
CZpfeK5/PW81lxKHz2G1joeSfYO4cxx4f9FYLMRSsSzpBW+GHTJ3p/Z+ucr7cdmH1Y5VwMVjoC/1
kGnoRzVBsGAz1t6uCMFfi7bPonY2rmYxst+tyOnldlEcmqL8E/zsF8nk809wGWgBsjPxMwQX59xv
l17Ou6SbQhXGQnUFW5xwWkHAgnW5Wo3hAT6pt514OUdY6bOTKcT4g4nXeFSEeQ/4nbeuSc261QN0
At+Y/+G++LttL8ScCUbCsiDeu59NgikankdLXRiXJkIVo8g0vBZJo/7wMRdS79/OY+jgeOQW4NH+
Cwfz20HoGBg7fdKFMeNP+pbJaGBk12rcznPlfbPYwPOMLLuoMRPKWsfJe8hZhM5bhPHyCs9OeFst
Ad75kZulc8lBDfYoSMUlq7FzcvFEvrN/+ffb1vx8bHheC9N1BdZJSgF4cPz1xF36ZREkuPam3uKh
sFrUlPp01W+KpOw26P7OS1jetiJvv1Qr6hnzHxFlU5WdFgI7W8wMy3e3COfrX9/r/5u0n5bux3/9
x/v3OqcvoAeX8jH8xWyNcxrI0//ZpP2Yl/Qp/8P/5X/xEoL/DLGO8vj3fvV1XoA72C6G//qPIPhP
zGw8n01APMFvLGkrAE/JfxEiT3MlEOj5b3e2/59QLyzIC9C2WObh9v6/KPL8dH8AdHMAJWDNxvLv
YE52PyFNEpsmC91Y1sEhrntalS6jtEULpovy5M8akjHglq0DWHqnu3R+znXJyNJsyH6KIduaIW2C
tTUFH0XWm1uWt/5Dw47g2BrdcKYCMvvDg/mv79O/f9/Lc/u3+9k1Fm/Ig8U8QGvWB1ZJCKfM7CE2
JVvR4TawZCgomRHJH7hetvPXR8nfP/rT87TznBqtwV4OSBagk8Fm3RC/pWxIzi12Q6Pdkg81WK4B
ZGDtezvDUkaHC+stNuk0KjqXvpW1QYQ0dL2h7dcnh5Pd4iQdj1bH0fPs+SLKpuwSxiVC6CPQqRpx
6Nf8oaP8U1X5MwMBWMyDNDowb1UwvZW5saxb6lrkXZvVbZyxIXucbJEiJvtY0iqqcqrOqk+oj+3Z
HcP8rOhC/ZKNetjiKmmvc9pNdku9MtbvBtTTD9xI4lg1aUyEnnaLkBFCqk3x7Oh2PvoTeJjKrghu
zmm+L/zxo1A4JmFhWOMbPGRBAMso9ivvZ2LqMt+pzMXabhXPrpfcjou+l0WnjhjBdWW8OX0TXg1V
UZ+WInzteefGLrxitThiu2SedV2s6bmua+bFKRykgKHIxh0vqxeGp1Pgvw81g92JZu6NFRYne6JL
zpqWW1JW7r6X5bAbwQJGRmYPp26aAeyNCe9mOgFboqz7WQnyfe0Tud5Tsi4JWw5KhBjwWTSJt4U8
kUhyNykekX1ROhSwpHW/z1drilu8NDtLE89rZoym5BDbHT8su0DPh6OrPPFVp2xuvVTTnuWaw4Kb
Kr9neGKfuGs2zDGuqDqQEOysaQ+14gmSxnTPrGnAG4VI3HkjSHXdoVYYT+joZNUVkWsVck5Q1LLb
cIToN2H9uw4zZ4cWZ+76wEtgWXgiRjlKjg6Y6iiwqBiVLUFOoFEu1UCUO06zvT4Zs6RHj3Qp+mY0
ZfVxtRWFnllewevhambaY+xBwLabMSByZeMLvNJphtyRD3kMsvub4zdPQzkw/EBhljKgBTZ44lW8
7SmF2VgVx9LVqO6wOg4Iujoqpe1HjQ8Vo7KCy3ap21KUsRkn+mVAzfsMRcCRuy9N05eRspeA5B2N
lEwxi61BPWmUVMUW4Ckylh8Usaz0Awt8cWWkFPIhZmpKHQjst91AFo1ys0eC/sYWv288a+eR2kEK
pgJ03HrJEBbH4sbDPbJBn7K2Q0u37VBQsrMYVmxo6iMtg3e8lz7Ql4UaWodXqVseZR085AF+QLnM
T8OcX7ldHg1DdjNJszuwGd9qaANz/7JW8taX4Ax8MT5kWRc8W7LM96Yf7hoxvpdgySPI62dVWtul
bp4ATOysOdzLrP7An7MbVqbalW9OkbRYpfW2cxMuXhab+EbzQt7nOjwBuL2d/fRU4Go5156EAZ4s
i79PsTyzB8On8o1Ym8txb8Tj3JM/tyrrwegFoMichR1rwvljsqghEQ1F4Myv7fA9oyUHa32XHykY
pPOwCp0lwthHKh/Hwp5dFSTbjG6QGXzGQXU5rJrSMhhgweBSdeneB4mVbKqJzs0Lbe9QQa442TwX
t2jPzxBPEBFDqa8WoccnhfK9X6nvxDlqCKJnZk9W1M/xEja+uDZJfR9xC6kHmdTjHe697pC3FqYq
dvMHoOjUwKykMAf4Adc0rN52y3JSFrV3rlc+LU0xnMpk4P1QOkwAVvA/nY/Sv6RMuC7qP6BEdWNJ
rIoiSLItmnu5sRQY8KLE/nVJ7RxT/5IpMdCs8LPmO19MCQ+73kVXNmj2WnneERut14BlPEYM4rke
2yANadIw25+U8xzEkA8x5nkrMjBIHfow/2IbzFOdPLn3c7uhfygx9niDcKlP2cSQqDCP9NY1N/gr
Hn5bmtz9z/X/78nCX6vH/94W/HqNBbRXAJi7ELBD//KG/e0NGrSNLpp+NQ/cwbg0iLIbeAVJRAWV
728NBeCVcXT5OKzdcGB6IG+Sy92F9UZciSKRV+QCFdp2++blhbov8W2goqoLk4+a4RsX8fRQmiLf
FlOVHpAom4M1z9TRMHje9o04KSmCg9+lPykfZcs/0AVUq/qe72HAUrrUdvzvpdg//N6/5hP+/nM/
JSkLp6KbuHTNAwCA5KFXs82Gh5ZoOkDXP0Qh/rrd/l8f5V/wVvwb++5Pe0byXEk9QPU/5KP/k0Ei
xRau85XMfLNVbvf277/rb4xwziAxzf/+tAuH9LfzaOQJXQJtYR3cfELRc+1Xu87oSNLpdzNXVMZ6
5XA3ZuwKgsHCFWXMQIbKDj85YsA5LOh/5kxuey7NypPzvujH4TQml5LTeay3ec4ppCFPIPcV7tZa
2uaOHCi4EJIAlNya/DWcAYyNjOv58qKWl1c2Dtirf/+d/3T+YDG6pm+bl2HsJw3DNJzMNMrePLRh
e0/xoneoMamPeeb+4YPMy1/6fGP8/kmflsIgmJuMObN9mNC6Dk4S/jDXftpUwmqj5n+wdybNbSNd
uv4rX/QeFUBiXvSiSXCQRI2WbdkbhGlbmIHEPPz6+yRdtz+Jdku37roXFeEql0QQSGSe8553yJyj
I+jkJ5txC3GHYSBh8QVvf9fX1rGnBUTFD8OXEBPUlwgvXz1SCP2AYJwjMD7saM3gi9mHKTJKN0e7
wxYKQ4ge8vk7y/ZPX/zVx57V1KKr2Nyq0dxrlq1sl+wfbmZwMjch7OJG16AoTjchmcJ3iPWrjTvi
nfL2F//jJfCQcfYndsfDPO71N88ZSbaySIy9mRBe03IkJnZ7jQc/g5gOAUwunVvb06k3Tecru369
ffsC/vDq+i8//2yX6Ee/JSSdBLku77/C4J9uujI0YRU5vMRa9KuTfqV2frkHq07hbKXxTUlpxeFf
ILw7+7bxiIVUV3n63jbb9ECU37hKWqbcb3+nP7w5rz7l7Du1pm4O4LdwinHRWo18wVWLc0dX4D//
zz9JfRUd1Sfd6m8bnyRvcoFavF9C8glHz/icO9BxoCq//Tl/XCYvP+hsz6P/6LswbyzeTun+TMbu
NhWutfN7aNnJ3JsfsggJCZIUyuNaFcpCdvIdI+o/tMwWijfBK6oL36d3f71Ww3gaa0b+5r6H4weY
3AyPUljGBW5Z5l6aE6m6PrOLIYITMcyUbyit1m4N88sttG8aBh140GicDlQXoE9R8dlpzPzOSMSn
tGEO8/Y9U0Lus8XGQB9JIoQ6dcW4K77aVHCtyMJiabg0HMPJTWTAFsMxI59dXzvacj35zrSRvY7x
GdZ50QgeTBOqbeHsUb7bZb4ZiAYPmqG8oEwNN2ll4IpLT9NqxryiiXiWcowu9LqghDOtK8MdaqBg
l/Zs9hTXKek2cgHR72RYk1TzE8Y8gTdjXRCAMFiHtm1/lTj/C1S9A1RB2wdNVd71/10g/WYosI7J
tk6ib038Eq/690/+HY/iEHPG6mZycfLxVKrOX5CV6/wFVAWeSmYB8NQLzMrU/8KNVVewLgpfNnEW
YkvTFP/nf/BXyjAYjInYFIw+QWH/CWaltsd/b5/AXjhUnHwLuAoKrXMb3j52oEYV6bxzxqb+WNSV
+1S7RnTtCea7q9Rvpi+dph/RbDc/PWJUvo59O6+dIY77DRQMTrChajawcvynBq7u5VAQB2Iw//2B
PqH/fLq9/7sY31+MbJIqcuV/XoyPTSL7hoL+5yn45+LHf/4HK/HvH/vb3EKcAtUNA8BTuRf8Gzz1
jb8MG1ifIQJuBixKlsn/Nbew/mKk5FBO8CMsOiVE/3spCgEYy0jOs5Er6JiB/SP4FGH+67XoEUmA
kp1f6BD5glvL2WEgy0zTQCF7TiS65D5DQ6aN3r5g3r0y/OnJcxDCDvhCQsuHGrlU3c9JiM9kfjyx
ReoPYY2Po12PPzo046sM8G7TTU4faJqBeKeryw+Z1NsrSHQpTj8Qj5cBGhCqqXtHalkw4hq7L1uM
JKDSoAvJCAFL5ngzV/YT3lX11iEJobL0nwWsHmOGTppHGKGVPlrBJdN+WJF5A9lLwFLS6q8QW6OV
7QzTvsPoZcU9DPnUaPiatPlew0i2waIeTseIzhODuruIuLkgETDv9RqBgYFU7SCxhbjqUguejCbx
bC1Dl+gK1yIpRM/nT6EfPepJ9m2Mm6dMZwa4GjoVxgU5c4MtYKhwGLRt/dxD5Lf6B1K88cDJrIN0
jAmcgbigBQpMENU+mpfaSFDbufh+jqvUNvpno/dv2jlyNkZjuvdM2HV4OfEmrttsN7d2saafLa9d
wk/X2tQSflpH2t6xGvcS5YrEqagGmxh9xNaNQaJsHjnHzpm/NpMfIzjAiEGOKs3ez/lTacpj7/ja
dejgd+uPKHGSbkwDImKsayRQPcZG1c8Uv8GdBth72+B9sh0jE49ASDVo8StvnbmutcnisseMrG4u
62ISD167/MCaCdVPNtW3I1k1T2Y1P5F0wZA+QznT+ozzilY/WHXWU0tgxLbM8BdxxH1OSi/bu5X/
1e/yLIA6BlLd5czGR8PFgbjQL/GUYgHgR7YnuC6+Stz8MSExxoVVh4iccx0GefLYIjILMvjhG0DU
CNPVKH8AyPTWBnZl6yXz4ZsnKmFIWh9dRBJkdGv2NQPbz6xX/+ekl0DJWlkgACA0oeigTA6yfcSU
8DGeJ/R9EwLPpf2UMv0LBh1aZFsif50060sOZ3ifdu2DYctpk3UubNbUbLdFT4SqDhuZJeo9YIz6
uEzpXWmi7+BIwqMMHT6aH6wvUT7jAwboEIXXqSnqBjpoBxU0VIqeaCZrynImuTFsTQtQY+S32O7m
m8qKxgt6ELl1WIO3UddC+4ysZB8p26k8jtnO/HZH7OR1DxCCT2HemFd4tqYPbWp5OyEF9ZDdfjKi
dvpQ+EV0OdIF7I2O5KnOcj4aOn7JWYLoIyfHbs2jAuqx5wFzvRT5pt9r+ORXUhngifqQdG10ucwj
HQhZ6Rbe5nYjiAFvflYSNiTOmzHyTML+yC+c7qOJcBo5WdlmAiNDR+RcOrTTt3oTIl4N7WXl+CPw
swGPfpZef6unS9FD61m+4+K2T7qF1IvRRfKnp5B+5GLch3TEAVFhcKniqcIWjAxvvQ3d9eBEcYCq
DioLYmBU7rGqEou8KOmVyPpEtdx/nlvf+dhHvbtHBAiVX3fDtaYjjbIHPd0llhtfpG49X9WunXz0
E4nRV1U7RBrZi3jIcX288YsGNRHkj89OKT7rcdNtK2deRS2ImiR6QnYwYgdpDA/JCPOUaE0EjFj9
UXZP1UJmqLZy8Xs4Jpi3/RwQYdy60hwvAVHHfdd5sMNCacMoyLOtsUS41OTyRmu8K+RMInAhYUe6
j4i4oAmfzUq5Ul5hfCB4cxnZB5AWwACG2L2y8iKF3BLKQ0jw4G3MFHpd6f2hd5JhR4pl/Rm8Fwtx
MlhvuprsiHhuSJdMDLEpWqROBC2nHwefy1CkgocwXu4nJs2B8DDxq+YxuZBpf885pF30VVhvaSij
Ix4by97ItcdoqnV0PoScVqLsbqvMswPPWxKSKlBQlSI5TF6cPdSRVd3bqa48oa1+RTCapki3YmVO
nlL4GbPL2kUKqdka4UNabUNg8Aq4A1lzmDSiODV4VqsQAQteFSa7cGL/NIwYKbGTG2sc+u8L4rYT
4WEWkI545Pr4zE0kYWLTkY4KYVw2Qw8rtggh8Fdl+Em3Kk5FdQ0CD+dNBKC9rjpffCYg1l7n9Jlo
gxb/Osti5AkoVqwWrmk0HrWoLwBoy7F5FNJ7tuH4FWPP7mvsyUM3NmRY3aIv8VfTAJ88SL14JHYi
7reDB9HE1tIHdzLkNZ5v6SdJ0Yq43h43/hJ/KkpnZ2sjYiPOhJL2yP9CX4uhri9/VBMLymmRKdZw
NdJpHoMy12+WYbkufALGOO3Sj0yXxUWvaQhC1JPG9TPcmrhcIPFj6yHn5kcplmPvVl8HV4TcVLDr
TY5x5AaGJdmTWZlcErdzl8R1c43OGqdTU9wnhgNqGQ547ZWDCLy+tVbNUpYrK3XNfTtkzWME8zsg
bhzFcNcVe3Oqvukau5CKCQeN3zidfZxLCKmW/YNYVhtYRWmATfvH/5a7/y+plCqIgpCat6rd/yp/
fCu+lf+iAfvXTfK9On5r/nXR5vxr+7IC/u/f9HcBbP5FIJKO7QR4jaKw0Fb9asV88Re+Niaxg7gp
ubbrUXv+XQAb5l/8F9AJldXmwsMCG/q7AKZ/g4ZGYewqIzD+D+Mf9WKvIUuXCAgMhrgyCnQfIOtU
H79AoaFgttj1T80uHgtizuziWEqPYGoMo/ELadBHLvkzmAzuBX52rIwW9LTSYJzDC5uTymS2WLZB
OBFBHY7Jp6ECMHlxk+9+9YUvwbYz0Oh0ifQOug9xlDvCHvYaAGEkbKNniZqdV5CiBvdabEBkcLyO
/cOAxtYypxunRW0aEQGQobx9B4H5Hy6ALkFwq1y8315fAKQ/6Y0WjOgw4gLMZRrWKjBgZSYhlanE
5hUhDvJo4Pe4pu41uI6378FrKPDXLaBh1w1svvCPPreTbC2EPXmR17umj8jCNdzHPsaeui7fAzYV
mPSiNVfLAQs2h49R0AEBjK+/qrOECGqJxd2VFfb/HaaeW7eTT1Vd+Fsft9j1TFw5owlYIwPs8jXC
YAiYk7i34ZQcCqyayRsww29tyo7cTEJ/MPEcWav3YufbU3PRl9W8awrqHE0ylcoyy2XSJyH69yRs
MFVamPCLu1ojYTIOuZFz7XyBpXqhN60HnbsOL6OSdom537xr7SW+nsOPy8jREhfkQBqevbWmEe1/
mz0b5kL5O+THUiu8gLiDm8XzfzIpfzAX9/PbT+gM0+DG8UqoftSgJ2F4pJ7gi/fIXUqajaSWO3ou
b5NM85cUZ1qIwt2akgO3jZjZv1sP/jvA9wksef3ELNI/qAXhmZ22kdcfXEjflS0z2J3XxvkGbU96
4XpLtxeUs0Fkti1mt8uwrhqBCzalMyRbtFyuV/JAIcSj7om2vdf6nOS8UyZqgcAPIZ5U9Tjv8jTs
EBYKGH6zVr5nCCbEb6uNhtxT/EEdVxeImK+vXe99a5ih9O7w7iuDWrPtqyiGzGcOCC3Hvtpkbpfv
urArbuREhL1pXCj6Uo+Ul0rGufi1AVnTFoW9A7d5hfmwufI1vrQ7821wnkvWUCW+/9NnTT4stFJ4
XThBWj6nxstn3YlE07HPynej1qgwATYFxETZrxvdOBIJVI8mGg2IeO/9/MMNE5YgylL5htjngbi9
KEIIKA2uF0MrsQP3oWzQZwRvfz9OpLNNgIwwRSlTDpwmG87r71fmsjC1Os938eyWO7eps8smjI9v
fwjGmX/4GDJ9BZinwcRInD19ymnUzQyZ4Rblz6EbNgTCtT4GMKXZrvAd5btpI2fL0HWb0lgYo9n5
sxFZyz1yiI1d9jHnzuyvDczW1gVTJgyyIn2ftyxyrJpQHuoaHoKl96g52ox+3b0R09xcJGNPviXk
5NVg5P5WM8dukzAl3CDF2OkT+xvebmKdgFBsqoT/rY1t4wCpD2vsnvLZD/l5q/Y8XIwRj6HE8Vb1
NGl7FEcVbLbE3yJHLFexTyy9EO2niYhmJhmQEsIuPRZLcrRT876QS3gZSvxULTN9bkRf7ckX8tEE
lntt8nX0lrq/zavkuYlCKMhozbB9d/FnH3wWnMH6LqMWRYvMj2j4ppWVRR8h+y3bIfcfYxbHmlg/
rtsk4cSHNYs15MYUHZpe3vZR7d4watvPcrLblUXjBKW2xCzL4sNy8KVvhj6zLQvckfIxObbR5AVm
Db4SOaAnoEZfy4a6nlpePGDtRPGQLBzEi6Nt3Dx9RlIIxTzqPHR3XC8hSw8kF/50Mk7PEc5TNOJx
NHhs3GMv203GARKk04LpVaM9ubpsAyts6N9i0wtszOjXvYUQib2s3GV2coT+B45Q4zemtZzA+QxH
pLCKg53LD6nhP9ZtUfAaNl2QhV68o/gxOVgGCzU/j6ZsmwcnWUBhZH9LgbEL3fLY6C20tp7gTXpK
DGImnibwlaQVSB3AAmdb1/kzPjgCVuBwVXfD1VJkz7lL7gbcnDaILL5oOxY24sZrtChi7ZWDFwjd
vcnCSpAJwxmAkjgLRF/rQShZ51hpa6B91FckBcj1PGTPWqSxYnmys4sXj1HxV3ptY82DArFE6k6+
VNEGdBnPlWJvluQhYXMyeoEWV4cJTesqzjip86U4mlWR3/ag/qDnmvcBlGS7YBJCZgbeYDOpH07o
PoLi8R0pTw9O2lNbqQdDZXDTOk23gd7Nv6m1O48sG13iiI6EEcuWODl6ITWjHZn3WHj6u27Oj54+
IChkhRvwFVanhdssXHdYTlt3ssoNwRi7WXiP0qeQwSkv+/UKFKwwwzDv6b/aAPUVK9KSaLwn5TuT
qGpD4/dVhTRXXswKwsUIywad1wWne9h+wKiHUYeAYowAb2CYpIN0yfF04VwuVQwTzm1KeuqO0QTO
6Hbffu79kcwhcJF1LSFu5W4s8b/w8ZMbeHbuTCzCgm+j4RBYiD4cjUNHXm86DYdqJA08zcJ0O3Uh
5uZsYKScsGG5Nj/D92Dp0repB1zo9r3I66dK8l45U/pcK3s8vJGOp+2id7PnDuc4XALZCco04gNa
RykpOUGkA328MTrSZEZuIs0A9dBCPUWV7K6wgMAnT6SHvPKyIKvZldiosB5Y5JMtqsPpdEL1jfIP
t8ItqefhpXDS51kPwzuBOytBjMhjHQzHmrbEOwEbS/bTH2XOZmIKVi5uJe0KChVKLd5jS+P3Duy1
mVNxQyZ7h63HsaO+UtvZjFvSKs6dm9Om1NtsL3HXPqUT15b0zo2oYFXVuX1Pv1PiLcKrgm3UcdYS
rAvMhowNPPt/dROxKlicxCSMh2PHqdyb0zcc5+xZvRJ1Yt+ro8B1xH0nubDTM5DCx65MA6UuQ7iB
48GLUnuNRxXLpvTQygtilitCG/TUQsjVpM+ZjHJYTSyVRmcxnnY6z2IzsWFBVrPNjooF4obdZLxt
vbnbTBrvb8qbCcFr4ac8S9vnyoS5U09nQkq6tgHZl6jUA2wc+U9ymS5PO3EyqULMifJgJE6AN5gy
a168Rzcn6mTFTzhciTdtWwyQqWJ4AH3Sy21S9ctWywrYrr6eBZ4tOX5adgTWML9enStmxkW1qnjO
HPvewIUB8fu8wxuCF3HmRqoVNi38n7hR3ZPPKbdYfmDIW7HoGoA7tEEsK6JRlE0nj8b0KSjU0yVu
4ykpecPdmF2fLqjc1RG/sB7oCk77b652R8wbCDnLDHOl+RWRYWnbbdQZ1/h8QBSzqhH1U5At2cHB
QxCCN9sNkrMMwzjK4T5J800/Ntm1FubzR53Yj71b8HaTcGKuiBA6ntZK2RVHgKDncpkeUQrPHBgN
0+iBW61OG3KJOBg7XgHi7Uhych3Ac5JHVtZA1oHVoc+2BQhOj0Hx1h1UConTJDcj8VnoZFR9jjiP
IBdyLmTFgTd39Q27ZH2VWHGH+LQ0V0wfnNVkxmCqxuJvs370NlXlE/Zbd1iwtSOeTGFsw0eWS3SM
3alvKKetZDsYcsDCLml3vhtTaky4aNTVU9iU3Xais/qu+dnywcxTeYXYdAoi2X1Icc/a0eckgQgN
4wkWGXOAYiYCwzWTIO6NMDBNjOeiHDxxoU0aqkiVBnIgzcaO3TujLzolCRRra4RSnc11deGpBi6L
qZPrpbkxDeTwrjUZlwjhj72Ga3nqChTIGXxrMS7tNhv15QobQLjMJZu9avMqRlRBbMBs5Xhvt7Y9
xnsfZPGGzETiOMo0WY9V3m1sC9iVaMNqRXyFRY1SDzRoGSfvzB0bRPMzXSjYugEjCaPGs1YP4a4z
HL/o/PqJQCSyGXu5rAasHa8HnEZXmWe2O0LwUpJxrZCPT/llHb+M4R2/e2EEkxhGv216+zKvhq9R
Ho0/s66JseQDIR3RDq9poL5D+9qk0fy9nyieNQDQlQo3QhU/IJKtsRBmNZDpA5C3ws+RcDOrQp0T
isTBVg2KVYrY3WxHfTNEFskKzp2G5AI6EGWiDuF7bhL8znimUXwNCfkqIYWYRTgyPBgvGwfavZcU
kq1c+ykdFp87MqIR+Bptsl77ZnfsumltmBfdYt0jnMZwEl5so5lZUEZsmXrat0GTGNq+TmI9aKeC
t1Z1PksmMYNd2JaSPnk2psrfxjH1kxGy0zBqmD+anVWrJ7xghcQJZJVO+DySTYiQ2cs/lXVvXVmL
/jQItgrNaJ/KEIijyOrme7T4arKDkwZa6Q6bPIrgeKqX7ZhRMen0cLgQaYKNS+3jlpYdSJx4riM2
B3RS3QZlNDo8CWh+6ujRB7AdmLymHnYIHDLGPSB2s8rLBNJ4wbqt1BKlYd5Z43j0Bwzvs3K4R0GK
dyJTBTS9eIIsHAXqOgdPvzdAH3atMlgIOa3xZEyPvREfM7t6wqePGtnW71umTasOcdx6jNvpEuy7
WiW620MEjO7KfDzI2fhKA1lvsf9orlpdNB9xFfmScqZFHZ7nYvYvx4ZNDcvW7DoduRqPqopxXkd1
rbZTxPTLddZz4g0eAvvR9h4xSzrKuThQYEx3izs1VIHmtWyoazTDPxhw+ukbSVDqxIgdwVR88AXh
xyLG2oFk0wYCn3NjjWl8pzPR/JLo3HtszLqNkbkXucUKkzmrocftkQKLe0qEE/fZcr1PlVliuqsl
42NRayjyG5abUOBVEsEHB5Vfzx77Wkj03Sar4+lGw2uiZ86kNumCim8YJLV320EDH6kxxTLIXZmk
q7pqqj1q9F2o9+2F4afPpRY/M297ahrOoba0byKT6zyd6N1EE6bKnVqtVRS6UBEt1B4RNQHNtdik
5qxtNC4YNJwzs5yrnNEiXcsyARC5BCQFWDk9MS+hXxj78TaSvFLQ8njYmL3s0NqElzPIJJYc+XSb
OR3Tkn7AiFg3NlqE7/PkxlR3dPSb0ykHda88JINJGWXNXhBBeTlEko/JBWt4is3la4HQ+AeuZ/4a
1IJ0QL9HeIGJI97UrCZ/Jr85H1t+S1M864uuH4twKA85p95p9dNvbjqXDFea1WdACL5V7jx4U7Jz
fHFfQm8jEIuTK5XaTwVU2dZCbmXkD9c2Dg6rOVNnYMT67CuBTQ81FJtCJO8bplkcZszx4OYxUtHj
G4wylRDDzLCFQMae2d2l1hObNkh5NYtl2Vg1H68cFdYpOT/IVsRt3gz40VnuuNLi0QjQB/lbVjtH
XM8jGkrr/nT2kh+HH60VPr7d+Nt/ghfAGFHNwaRXRKTX8MKQDooNMWc7Dc/lIDMBbO2ue6oloGCq
4+m3IM3nW/CUuyVftrEoerYa+cmuP+Nd8qh7CbFLMY2uKjPQ92obx3UfsyG608W0MOdHI4p4hag3
Yi7VxP/OKbAtQixKAdxFH09A5qlHcg3xA9OK+NmZMNG0O+feyBaSt7XOOAhnni4dORWMzwwKukEV
pS49UGeyhzRuhhqgs6m9yMv+1YT1huk99N6PVAubq7Kt/bUVqSowTrBxpOcN7MgLLzLDmP45RM5E
AG41QkMiJ1Crv76lKTY9RXSKEmtpOTx3DC/bHkTCERRdKDo+JQpK5ftx/ve8bsZI0fj2Y/0dAEXr
yjDDsQyTWco5lkewAJGzIut3KYkUq1Ys8b5tqJNiB7srPOUhhUCzWA95Yr4DVxl/gBFp3xW7yGTD
AEt6/e15sw3M6vx+59XTsLLZ1ANsuQ01Vi4Ca5Hyq5r3b0J9QVNjp3fVUAwffCl2szkZT2/fht/n
KTCJdBe2u4c9E9LM19fSi16XcTVmO0ttAgowsDpeaRff2E1jW/dJxO769kf+jtmTEiFUzg/CY+OX
7vEF9GyWnU67icFjG5reJq9n3MYj/mTk1ePUNsMKZSizzrEhGSAaiv3bn/6Ht5k5ARcAQfU0ynr9
hQtuqtkR1rurMQhEnUWoQUlD8c4K/8NtBWUWtkM0+B/GVJympOFQS+wWI7HWPTa4AW6LX7W5vWl9
7Bi7PHnnE89V3CD6gJ9KwQu+rZLD1Kp7cVtrMj4oS4puFyVpe4UMxt8mndVcsCUA5YwePBh6DqmD
ngknOhZTjnMec2lcbWoMF4bkx5J/evtev2a5qzGQpeaIDrQ5OPa/LS6p5TBYdMk7lqVfK2nPP38V
v1lKjUf4+TvxMucOBHweCcAwmED9CfGkMX99C3rhak5YZu3OS9ybhlikoNTsclOFVrLWqZpXxuB8
s/L0o8StH4bIxyZxtNWQjNe9yH503ojRmJ0s7xC41VT2DJ+2ybyyiUVh5RnOaSTy4smYRCLOkRu1
kEsGcJqc4tmp2Wp6HdFcLxjgV/UhBiT7bHZSKs9iKtq4ANLVqiejmQCmqOPQJMAFSSrlzu6YN3gg
Y+GXpt+ddm93yAgXixKkcy/M1rxHmvrcR7GEW9WnhFRGm9gFqXGXCOVayWxJTR0zgi7JSlQG+UVH
NoipemtdJ4c0LOFKQ0vh1gBlqbHd6WBLF725eHuFnPte8MjUJBlnBtOB+uucz3N9Y5g6GkOcl0Pa
hdmuo7XbRahgxgJczFXGl7GZAB0U1gqnGv30NYFW11ZeVxSEkP0gbQzrhaD6S6n32sbWmRINqm5e
CCnE3S+C7pcV+Jt7IKFR8e5+diLgvx5puWhBBLxMxcjER+Fs2WFjZlsNxSZFaQsf2NMCMDUSm9zm
qRcQ4GOnOBDk0mwMKEgrLcegf0Q6/vat/H3min4ftjPGKyZ6Aets7IxKyZSDCyED96hLMXJjBCsB
Vw7nnQ8Sv2+hjA7RzcDngjsLYeb192UKEuKYl0m8zEEFU+oeY8ZmpSbw8zlfWhAOF1QqUehyPfXV
qkTBtRI9ZqBIyEg2lvGRuJYjrv3i4Bb0exktIPc321SqZyxp3sG3D+hxAU5zYDgtpHd5+2796aEx
wGMAahNYZP82OS7pXIWxxHIXk1gTkB2Mx3c5yXXRUnWiisb4a+x/qH5pzoCfSE14Jk3tnR3r9w2S
CD2kEraJs8LvbIZckGQsDUPu4Cb9NP2ZmB/h8GEwZNcYiL3zaeL3CZarVG0+c18T2rN3VniY+I9B
MBaS+eUYbTOJV5caS+JbGa19I7IBcCmooS5yRBABfIsP5FM1Vdm1U1DcW3p0lJ4xk7RdL/uBxnuV
WRjKWISzopZuB7iP4+3bj+n3c5QrJsCOgthhRz8nEjT25BZER8udq81oSFrZBSSZZojs6Z+AsiGH
6fk7Q8s/FPx8GisCsarOtn3+JpElROxwLYj7TQE268q0aMQnrAEqa1IRJeCpUVnQ0WKwDDx15UOZ
OmGG4O3aphCVHiQlEELIoAhztwFCpG0al0ArxrammpUmLSb5Q1lg2t2TWKi3TphIadA4Kfuabeeq
3SyxwWvV+MUSfXKf0VGti4qUU2tBgxRliLRRBX3Ma4GHuMZQTxIXgVNmIbexq4r5cPR3tppQ4u9x
P43gJKfZRpWj9mfm9l11wk7S8XGTzoQi/GpqBKVL2Y5bWGjl/8+24ZiIg7i5FgmSZ6WmhCQYN5hE
76K5i+8QHwIK0L5shW11uMXhDBFbNLmJL47A5qDZNg8aXxwvGHvosqXT4Mw9gxGd9vpCjIxG5wTv
BAvv3aDrxJfTaNOSBoRcprWXBePumzjlIby9KH8vYD32V4pXGCe6IO7s9f7XRBYj2MZtd6XLYdxj
Aar84nglrHi4ikglWvveUnyxvNANTHfI3jkzlbDlrJ7wBGl9JpwX+C/GOb/H96YMV7iSTIecKVol
munOyMD7vRwk3MR78lMpoZ4nZpxd9PgVIIPnhJw0cOxE/QnWXx30uouh+8Iy5exiouQyAHJm66tu
9JfZXD2RSQ8jXM0fgDaI2gCpnkiWCOHR21JNA2xA9hRQcqcXCuObFJy7yOS+qUfrk57bAbzsQzOI
BPr0Ym+xFAS1j/xn/lHUfE3/abXkYZQeBJvMZdz49kP6Q2XhCapv7Pp9i1PZUXfxRdU1MKsr0zGu
djVDitOAAN4yI2GDiZBMeA3hqUN3zIjZ1jPCvUiyXuOOyfBAXpzGMIveQ5xqfHPNaX2fq/2tdh5x
GkuYi8svJRP9IJqZRbh6Me/evvrf9z1EJlQUvPc6bep5i9h3mmwLgBcCoKydETJfVFtFNtMVn9Co
PCze2fV+K55d1hT1KU0ZMgUOdnVJL+4XPgghUTh0gkDbEs52p+SEHMenWUx7erw9Q6GB/QUmB6QR
zEqZc3bYcJjoJDcN6WkbGzLLCqrGe5vH+UF5ujjiiU3eN8UaUn//4uKc2UtTLSuzHURVE2iQa5gp
I2C+Yjqu7srbt/8PH6decZhKpkEz8duxk0kbz4oq2422WrVucZg1CiqrZe3QO77XEXvnHYLLHseO
AqMTIptB5/j668XNwLSxSeJdHMc23tjIFGNEIsFkoeBoMp9IC7QZG6LTODMoQ/eJPWL6bWjljVVZ
7ufRKvy7dMC63+xvW0xGNrXTOStrHOrNyDsagK60V7knyx1meM5KdmVyKM3Uh62CAWOydOW2Tfjl
yYCJK7Pr+wQ4/CLtS2NbpeQoaJUgscfz5J4exorXWpWMgYUt8Zp49wGj03ELIllvmqjGcRlR+yVc
Do2JSnbbzrpFfLhr7vBh4R4aTYJxhpYGBBZFtyV98nbBiSbIS88LenzGcRvVjoZi2xlj3d+TmCu2
uE2mZCDQqYXKPSajogMRbIDVE+bUQZkV5iUEVRseWOangVPU5baUVnLZp81ASoWFEgm7BHNnumQv
+gnXoMkwAt/9IDvrNooTEWigw1ceElXgn8X4ikbb3HVuZr/zopnnhTpie4owbJZoV6HhnSdY+lHd
+FrOKQ+Dwtuf+h4zhzVStjqTbWqpVBT6razrchfK0Vqby4zzj1QPsILK7jUdgVMp1nHYObkpeXnx
91yk5taDerjiZCBIgwW0mTW8QTw2yMDCzXrLEMFaK1Ri65mL9jhXo3Xw1a9Pq+62i8Wj7cI2GckK
2/h2b276psBII229dwCn88ML2h8vFG8wdYzSQ50tdXZOzAPrzNvGqC1IulwBEb3z9p5vnqePcGEY
2r6O8wiSu1ebBV2YDRCgfMyJRwmqAfh1IDwqyCSBaG1n1twb7b2u6Lwo4EPZOy2KGxWASpv/+kMj
kvpSJ27cLfLQesPwq1njYFszdstwzDMZ6Wmm3V5UjR6uLUz83oG1jPPanvBjVSDjVQyyaoK4vP78
uS7yIS0qHNgR6jGXT1uetrkEaao+MLT9C+l3ZCQb4hHYIdvlljN8fHvXPDHgXjbCp2sAIsd6zoP0
qwjiL3dpXpvGVf7Q29TJtGCY63ZfWGZDI64jlWmGxF9jp99+m/QlvOFGWjfVBOuUIDzvg5a5SxAP
Lm4MuHlue/xtnvRWcCvrluouJsUH15eHEfdI3K5cvk6HzXddW87BlWP9SZBCgQCkJL4P8/47040k
HjJa/k7xdcqsfvUdKWCBTB2MOgGuOZtff8c56TBy5Qjd9rxVh9Fspq0uI2PtD9VwefoSPiYod/oY
uQeyQQxci3D39hd9CXIyWtYLJVhggkWszTiM9n4Ue4FbpRrvtd7igCSeJVyMvTZgRdF7eI0lkXmf
icLcyCYZLpclbvd57TQwABZv50zuwFQbXyE7TWFzEGeUO90Cw6dSM/ZS2xZSLEGjTMXw/NpmTd3e
TPzkVjoDFIs4ephR4BB7OOZ38yIJWCLZhej0S3vsVaYLca9RHQ/XInG7J60qf7y9ZE4Juue3ExAe
TqULFGye91rS98NkoW/aRlkDdtJrzdpNh0MSjR8KzLnQ8VgGdk0GcVnOTGYeiNc6JShon2EftMKY
lZgB5suYRvGapeUQXyEf1L/VypBfX/zlit/iHAa8rpXWr9wDJPUrbrqzy/RBWQn7V3R5+lonkZSB
Smtta1GXkPpEs9ac6lOfz+h4Ju2xAJAOsqV5r7Kxftut8O+h2wQ2stGwA5e+XlBp0s2oQHN7iz93
f0tKmPlVTCNDMC485AT1xKavvG7XjZO2NbUCf7Gljq+MtPPwI/w/zJ3XktxItmV/ZX4AbdDCbOw+
RARCZIjUii+wJDMTGnAIh/CvnwVWT19WVltx+uXavBWLmQwBwP34OXuvnYoNWVlyVZKc9wgBFnlH
ymOXQ9LKMdRmMN9HwY3pxtqmRRy30fGchnNfQ0BP/Wwtdd8IZ1IjCBUlJ8y078fBerE1o1jNgXcf
Jek7Zx0A0cynjmWvebgTxXCOq9S/6aknQ4KzmjAYCo7jVSI2JQzvnUtvYGcz8tsymORGH3jJKSis
3/Rw/lKlLWdJA6cuEeWgA74WhfOUJswouXfAjnziNvBvlmellURPjEY8/KaN6/1l57K5RBYKNTq5
GM2/iplLSa9Klz0rLHKqDcm4wQvCsuQoVGWsdVVOW0uPskvi9snR9FsWvJbyyxj50qehoYL3xwjz
3fA8BNFpjN1zpIg+MVD5TO7VHJNR2sw810OG5JWfXQtqwo0WcF+2GduHOfI0U7Z/1l2jbs0aMZ/R
qOGDcM5uLy2eAcGh8JR1uhvm2LO2uKvHx5FomTsG/tHGMJOBgM9UQalHp5HbBi0uVzVhrHG0QcwV
HJjI3vb4Y/ZBPrNyqEACeasIU8BdcR51luVO5Pm2W94OE9OFa14Oj87MvdUNbDNaMvjl2jFxXRJZ
xFPYaxkxSLWOfazSv1nRAr4fDMbZSVJr26AtaTsPsbZt+CJXiWe4YUIviAqUB0L9pir4N3cLNwm9
mEWPvuySf37OOtct8jJGFeu3iHKIcsy2rXDYnGq73ngOD8TfL21/fb0FIoDznwkQN+fXU7qbVyiD
Ve1sC5JamG/zNCCbCw5ojvx9oqCb//3rGX8tLDm2/UQaceBlmPeVcewjbyO2N7a36JisMAX2SIPF
d09wsvtdpfTkOJEhQVCZS5aCbPdtx3LhwkgM65KH3xsrRgFk5xFhyX8Fko1KH7jUek0G4OQZ/U6Q
iI4Cs27viHVmQFstm7sTtew8aXGDNfltXpaRmCx4FNfcdK5RvKFfbMLMRRWa1am2ielNPgAj6g7K
9c/FsMQAddZnA29ro0aHSI3izUx475reT9vZj9SRvpYZGnKisVK3D+BJWamWYN+fW6vIKbVaP05e
UJRZYVAiuDcQ+aIR4WkKAnbJhFvwWINiP4693e9qd9lNS7IUYkFdkqfsM8R5q5W+PKuwwjNkPXL+
XinWN9j0TIWw7W9yYhL2KIvZe3KW3S4XzRMprTArK/bMAlYBAwuPKL6KvT7QEqYAM5yzP/624H6H
GKRt4d1xmq9RhmykOTbrCWnBal523Swxu4Od5h4PC8tFaozUA/2k+BKn7pD0un82Ggb4suCPQR/7
+45c+XOV8CN6TAVRRQF8tRrxN5rvftfGXXtJiX1HdxbV7At8TM0xssugKYWV2OhCOdfuDo9ScDDL
lO+ODOVdodxHd/Z+EHxirPPCNg88ncMJT40VsoJxFzuzvxuagpIlpYz++bgHLl8fSlNeQWMXEAGV
DunHDNEDq+fQzuX4ebf/j2FOlhf6UTMKSQmI6P7rf//zhRd+zZ/+EP40Y96SUDXffXSy6P8vSGb5
yf/Xv/wnb+Q3BBMcOq7zyzP/F5bOw1uZFv/r8vYuf/Vv/vPX/nBv+vo/2KMsD3eKs4DNoDX/N0iH
sTBLHz0U+Oe/knRwb9IhC6CAQwDndLrUvP90bwKM5tjMbzFNpePIeeo/cW9+OSP9XH1B6ViInYKl
kfPlfNA2li/dyW3DNBY3BsMgTtrNN44I8ZrONGjG/MruJrWXS1zSL9/UzR8V5a+uzC+bNwa3xYWk
M4bGiARP68uxk0R7s8zRySDRBj2pKYH8iXC53zD93C+URM9moITEiw6OxSGfl/zSRVukN4jPRIGa
QVP7qHdjVDcJ4YBTR9ii9PqVKjLzlHYksEtCDk59bZBqO5M4S8wF1IqE6csI8Q9vyuDQsp/U5BCt
rBgCO6l1Re9gCX3qgrOVYjCU7YzvMXJJ4NuTAIaaWHi3kDOd/CxKVHqN6z5YiYXxMUbINniKmCU1
jca1XRso3qTbneO0JEEzBatbExeyJVFbkPJXdNbFs2kUGHrTEQ5aWuq2nWPzhNxSe/AUAaSuXwfX
oxUvKSWWfY7zRScPneaRCtQOGy+CSINDZhHZy505684xwAq0c+CWHRQ+Yms9tRrRurjRtXxvew3T
QBwy9JK1VI4HkAC1dWwiDZMieVMRuoaAGZ0Wufm6RsvwzV9SKNe5Kcw79B4MR7oyACfSa3xrHdjs
eci6U0+I435ELljellY8fJTRrL9WdofOSXe0aqZwq/hVRIzjyxjj5ltp/ljeY+l6lhj8QgAMCVFd
/dGv7COpsGIfE1y9H1o/3WWN9s2VenDWpT25G8JYmlUhO0lxRbZ0eoQiMvV7CsPpIpHNc7Hy/Dj4
U7krEjffmX4MBjZr/PpU4dw7JKgp99aQjJjr62wXRGO8SVsE9V2H50ZJLndHfsdbAW85dCtBhHjg
ldMu14LrEiD3KcjTZarXirOl5bjUPGSLCJ7RC2idDxaky8IFHO9spl4apzlFk7YunZJQnmyMyFfS
EK8VLYI2pMw2GFqk/ZVmUl7bHCHdHgeKGxv+s5fn+lkglm2n2Dn66ENpqnCf9zG5cA2G8rPFlOZh
wKeNhlr2G1CAxN7pP10pAUBQDpTwXYGiPqDuLdDbO21+78ddYGwGFDWkws+0kUF+1A35gvg5xm+Z
Ly2DM6tv6nzFOvOLvBtSnhZjdMhyUQqtOwYme9iC+1UXv/Ks75Ud9Xe6VRHE5mX4MufKn+9JD/E+
VGy2997YBY99T4sBZ7bUvmWpOZ1SWdoPFsoIY0Mid+NdbHR3JC9NELzolTr0OQ1NA3oQLOftkbTm
eDUxmasPfR6PKGcnyvkhMxkWtkaLPtfvgDB5zowFxvBB8Ck3+95NbXEzlohgmlgWDx3eNNJAm0NX
pQ4R6OOnov1Pas40bvPKsj4JphXvODKy/Rw76RkIT3JQ2AY2RsTZg6/TGi4ueaBH3WEctpGT0T+6
oxn8yCIrOhDgxDHCIfyk6sYxWcdd6exxaGXNJjW67qyMFn4T2ttnKypoH8jRuOi1ct6QVVScdTD0
wcMywhFu/13FIOgeYJHxhqzCvTGkkrsIOcBqnvzukRj5elcMkIL6KS5fksxpnmpybR8ZRduHpBux
P4m5jzZOPuSEpMt83ImuI9MkryhqGGemRvujSM0qPiYW9QvxwoVvP5p1Wo+hw2++tArzWzYnn1GE
vGtvz7pUoQHxXe1NjmWIRFLMFrVb0w5NLLznjsJLncmWEWesNxXsnokGeGdoQbuZiOV6406b5lVF
BDILkhekzLJTVmPGC228TogjzLY0mCBhWZYsQ+kxKTv1SKSvlDUb3ZZEJmPJ2DP9A2wt45sD1eRG
tmo4NCBonjvLbDmTa8MIGKQCxBlG0cBjM6Ra9Ja4M02MqA/GYzw745PMKgQ8kdmmERHYOXVskxXd
2qDFHkZxOr1V2SQueAQ68yop/SActPl1JucMonfMF1MNhXZfSUt8NNE8HDooiOHomYMMAcIAk50H
fCJM+crqhZtfxfhehilGaQBeaQe2GguOdJpZXzXj4I5rhpp9t5Z9A6DHHoXxOonB2gx9khtbZv6V
vXJl079q1djZoZcL+7m0hf7SEGW41htl/khlb64tWwWboCcmDsd5d02HOXjvLFVf9GYKsh1zLdKM
DZz8CgtgVO/meBqcpRGdYllsVE2R7lkP0Ty5TEFsHvpVDeNmD5ifN1DmKo9XZaLGaDXSEiHkOM8A
Q+ZU54I102a9SNScYtrNl4T6KHZkuTZdS01bPx+Ftivd2ofbuew7EAjrJ7YeYvrmjKABgnMG8Zin
vTrmLSwtLlm1pv7vtzYxB6dGkGZKy4VsCh3tyxUNQBA0RWJpmELrsrppok6uGSDpJ9BpHolzs3PD
kC1JOKR41nU2DO7FgNOwjhsTGMHcjqymKjmCdxl3CaIYAu7pKldrAAiEiAXCSu4Q4RvuBqNLpy02
DX150AG3KTgwYYze5T2bS+5bic4aI1kedJ/trPvXGC1ACnGgojWs0xzgINUnLwQLMk/Q6/5Wy+ud
1bvTDQLr4E7lY/xk9A4wNhNgUNTqktiLBMi6XZXEi3lBu/Q2k+vO63hsTVezH4u6GX6A/8p5ZtLW
Q1gWz0xwEldXa+Qo+goBDIgZlZxmbJWLpPu2lE23s/Ua34xnJg/DlI2XQQl+OYE0hgNPM27I2rMu
mH7cYTV6Wno39T0gD5sUsSSaQ0VSA23O4k7SeiC6VhlrarJtqsfEd1rWD3vQnM3ottf5HGOenSOB
aF/wevziEh9felc93sidyl1zXRKctUVzPqJIzir/htlxkHGoMaySbDnbRIzrivoI8YjOdGAzZ6m5
qaiDKIQ+yyFRl7kTU3HgVKTuXDNzsQdaKdqRceANHcyktNuVCZIe+K5sP6DD09Wz/bT/If2knbcl
+rZkNbRC7L3B1E95AXxn1fgFuryMEEWHpdWpsA0YuOoPVerioBljqOmrHMLOvW3PzbGbezIch8Lu
fEo+h/1QYMx77p3OfB4bsra9GGkCW+jErKh3JdkeUFxpCmSN7v5QIgdi10bjkwGFKMY5l+ZXsW8J
AF8m1VfYdnr92JBJMdHXGnieSsK9b5pOqEsOYmDfVp79gJw82OummV1bseu/YBhoyXAwZFEjt4WD
RiZmCqAhJ7iUi8cCjs0iKNAJNE7efgS5mSZY/uh4s6Nn871jOU7C6HUy7XVF9LOz16e6PUktSLpw
xptwSrJSfPZezMvEmYGkmutis652CQlg8C9YxHDIOt0JaUIxXlc0Vgu8vhpBh0U5DHgOYm2OrmN9
8qtNFiOLWQl6rC6uKlJfUPyL3tk6c2LeD23UakDLvVgPswEX71WAtdrfLjqWi18XwZUcPDxTSakz
gvUAaiONs5HyRFnQUa0tRmI1ms9eorvPPNTZcGXYQN2IlJtOikUnZ0nPvcdZ4M84TiT/NotVuoHT
PwWOxYE7aClZxSSOqiq0Nxhh6bSJNIX4grEUA/iRkAGC6jg5DBDUXElrpOJxvUrwgDwXjIie2pmD
z0klvesfnB6SblGDDkzaRvvQjSwivsAACqyzqxzAHLIU136SvVijrSecErT+mastzrahsmKtSovs
ERbzfdQV5lHZMR0XJ+pP5H6icHaimvBKPno48ybkenLt6SIGp0iY5cYRDSHKIwxNQeM89LrZiPg3
p76vU7Gfxz4QJx6AWLQgDPT/3PSrTNnLIrX7kBzG4lD38fcqre4bQ7xYQXlvOhUbq0egAEXmty4b
1O3fnzp/nmh/GW/8fH1EFZwFdc6dfwFgzJ0asCbakjEgxl+JbgJ9q2Zp/t5OlmjGfBCluTKDKnmv
2DhMurzEtqNTLsYXY5qdAxgTeXJF2d/lqReclw+zZqpqXrRRzC+mSQmf5i7AP8mOxdhLd+to+z/b
avm10/Jfu4/68lZ+dD8bLv9qwPzRcvnXH///6Megk1xmur9c8b90ZHYye2vf+l/bMf/6rT8aMp79
D1RaFhn27DcmrU3+vT9wWi6ZW5C2ULQwVdHRf9KS+G+eLE4e2i0/uzGG4/JL/2zImPo/jMWswRAS
oS+bvf2fNGS+dkXAfFF6g+uGEQjV5KtgPjDTAcLc5IW9Q3DDSql5fk5Md/qN8PRLK9ym7nBxe6Cj
WSZ9CNf+/BR24GGIicAz7tr58G3QNX9LSRC3qIfyYReXYtj9chX+TbfHWEb8vz53yysSa7C0Y5jS
0uT+8ysGpcp9mUdu6BlTQO1S6kWCGS6BCsvREL2eW6b3PkD1fR/5d3LUA21Fcpb6Vs2WsdMbop06
NyE5qQFCYiqZgXEsxjOHHnUyAJX/Zrb0VXz18xviktvg7APdQ3r05/ebeVo+M73xQsAb5fuIQ3Xd
eaiq1znlJccHWAwMlF24/X793ta6epeTPz4xNYLgJGv7M+Yw9VjVU38VE7H++fdf51fF9x9vj4G3
Z+BZYpfifvx1sO8FjQ74ZXZDiS7nnCojn9Yp7ZmN143Jcc4mD5W3QXFU9BZZ75oew+IyJ3SyHrOO
CYWSOcfl9UwWJGrnAwlTt1NsUHxEmGXBijZD/kpQK21lIsRvitqsv8vYyHe0NcTd33+Wn9K5r7cG
JhFwzNDhkR19UYf4qRr1XloODPqCYtRpfQ4bkxlvJuEnGGZTmZOCoTvkVHXje+WONdlCZRXkJCH2
zp7ji3Yrp6l/de3B0lbGwhHLNedlMpiMdc7Za9ESVV4KRYwgouvKksOhryn62zh7FQ4x5mnkvARO
b116jTjsar7253TYi9ktwQDj3jXKqjnZWqRIl0t+Jo2lRrRNgEWuMuY+dO19G4Yl0JZW6Mm777b0
4AyOfUcHX8m5z+h0rRJWo2Nb6uMM2FhjMFDjJ375++/yaz+Xp2xp55J3iefawu7059uiLUaKabNx
woqJ6ZHZtHpHgeCeKGn0O3PquF8rmgX1CsNCdRNUUbv5+zfwc+X4cjE9prJwutHpWcgy/vwOBOrw
3OlmJzQiqySiMq/Qq436CSTnDin8p5aN0zWHIU4pJVzSci95059uU7TfbdH05yYe8Zaajekd4AAU
G09rqOuryjPWqMUEEXcMV4cBmNAxFuX8HtAduZciqo/AyDTmtHl8EsqNSagSKQcTasiTT9DXtoeG
9Js796vDa3kKWRqWPYnGvsOz+OXD+roYvOUp7PJmuMSlKaPl2toHwb5yQ1IhYV4GpOfIKGjWNn58
tISjjytGlGJP7Kn/6HR4sNox1n/8/XX4Nws8vCyYWFwBBKvLGOPX9aGI55IZ/OiEI5rctdXWn8kw
H5A5TRtvGq7+/sX+umlxIgkYSjCv8A32lD+/WM0GNYI3cUKkQN6LXs/1soxkv3EeLG/5y531p1f5
skwUPk73zmqdMLfS9IMc3fo0y4q+HP7IefsffyJG0wxtlzgTm//88om00RFN4jhh0XvDE6pH8AWR
8n6zC5vLP/PrR6ICpnDAIscSDove+zJ+MVly/bnI3HBw2juxmD5Kfd5l6ZIC+FAH6fVUWWtrGt+n
EbR8UmjXyigimgs1HTRrnDeBlBC4E8i+bifGnRf3TAqmO0jmzTon4i4UaVysdNqTqDeBU1uBgsU9
Nh8ZHaG//8q+Xh4EZmBF2SuRyy511RfVjLIVACG39UJq+ZpY6RRY0Yy5iGB57TeLzF++NqZey8aH
tcoNDOcrKjFRkVl4HDfBhLnxVTTn2t7T1aL0r4qt1UVyz1cd/OZFKQW/PlTIQ3ncKZdY2BjCfb1c
o9k7ZgkfKuQw8OCkeR1asd8yF5jGF6up6XgzF74jI+5A8vsruDcaleNsvmWxaQCOSI7UPqsZmeTK
itybTtAaZm1pdmkrdkVfCbhY6Ss+69eaEPRUH+uV7+eMTsqIrkMBgdkbpwOdWsQbXqffBO4o1qgM
IfjNSQy8mezRVJ/1bUtk5dmvI0gwsD+EqRWQHUamJhGdKUuUt3inQEVhX2EfuJuJw2PNPeS2fx/D
KLhWWDKFemdo3l1XqnQ2lePEL12tyWutycwtuXvxJiJ3eAUYpVy1nZftitSt6Oc0RfYK045evUxJ
lA+mbng3i6Dd2Qln61XZW/brBCJ6G+jlgxDDTevvaGgTZxgbP6IUQ54TlYzTtLj8hoIjVWCsnHbr
NDnGkzQQ+6nAR2HObXmx6cfeGJOL1MoEoIOTz2bPbaX50Vm5fy5Lj5xOIyaSNs2R+eBrjEI1Ehyy
idgkvuVdRZ5mV00w+ea1KNx78g7rTd9YZbyqpLQ5SzfJfGytxL6NkoEAn3QOJ0sPg3ra10mldmZh
Meh7kHBf5sne9LMZfM6jdcpH+dAM8oP4AnzzZM9tLYU7KfCH5zJprjqoWdtO9sM5MhvjqclgXwFw
Rik9ixpX5Fyg2A8UlhmruS0D9TTF0j8PuUc2lWjbVSJjrVjl/uSiueiH65aBJJmQhXODg658J9mv
u5YtOhhgQvGnP/TBjlZ0t9cbX9x2hW+8VKQ4Po+ptSMcse63KXiImxoXAU3HAubQFBOdui7NZt5w
Ap8fi1j1t1Y0y0dhZhhTtHZ+0JJI7Agxyi+aaOK9YnB4l1NoXQgASNYZs+aN0ZQer+yKC1HZMszH
SQ+l7RtvWmS0BwYCzsVsRbNJuHp7lZX9LZGS39vBmwGb8QlHxoG7Nhpu9NgmNuMB482SdD1f00o/
R2g2dsDMx0Nt5PWPKDKSh1rnlmwssmEd6Rsbv8mNK0B8CidSAxo7UMWqZkB26zVjcoGQgUgDYsu6
ntvqE/XLtNUGe74qRVteV47/kTTOK9GiEYAGEHoReK90evY6CPnEBGireaYDnFgTPcUuUQefTMWV
bOPnVnTPIkCrueodo/1eYPF7iv3cRafflLvAmuuQNrWJGGOk/1W2zqYNWneftSRrtpofhw5TjDUK
xeoJArl2TnlXG2FE/HBe3bHCTvumbMaD0VtuyE/FO9MbT5j9PiwnRpA+MUvJAsxilW5NJL4m/AAs
ofsB10E4TIO2zVHAX0cIx0KjhulnIazpfKe+K9qRjDXJqsAzqDa2lQ6HonRulNCtW5mUXBMYk9WG
sZG8so1u5KHqk20SjEyOMOVMZi1OaEUTEIVLBtcM6MiJVPLYW5gVadqpo643fMC66dazw+pIK35m
g2jKlWMk2Vsnaa0wixkvqYqKWwdJ/BkqZwnpFwxjUmQ7x05fmRx325guPDw5MrR6HRXoEAybSSuz
S818DtLsZP6gVUmmht9kmyZAwp/mcXNjaiVhLBFHO3drlfaTFTXgoywGyGECyN7w8mut1+VdHM1H
Yi7W0kITlWcPUZ5XfGKR3zI0Rdo6p+a7rqbiTgwZlb5PQ2mXdSYEGqDs5NO27nWLl2hTiQRk3WTd
G9G0diobi4SMBqbzEvWXkCGqoO/V0BwTw9kUdk4rzAZiXw32bhSuuWs1/b4mg4t52HCunAGRoiSS
eOUAt3zpFS5Z0YxV9C3meAbBiub5ds7mntO1ao89qRPrRaVMuze+SEX/uTdHY52MlsLzXk8LraqV
a5kGFUx8guG2GD5xmIH+oOwgsJnm57G2tOFGM9KGFn6FSrCuxZXjdvWd7Ta3jJ3mFT1W7S212/pN
wQdarFHpU1QRjdxPdnpKo9Z64V3XIc4T51Kh8NgFk09kqiuStwBF6lXj6xIDPTtna+K3TQAS74dU
yrXoM46DBYSdLq7Lg7Ac+qi43NB9Me8uRiG3fcPinaXtbWt85gl9hBWg1u7B771q3RmJuDHHYr5z
49w/iraYj57ysqNuEw5rF330jJ5sfpEYp5EbFMYd3AW41ZDHDkvgwA70cvrNJ9B3Leyu2Q6N772I
WNcPaRLUV5kVs90m841OU3gzkUtwQ2eHzBM+LWLS2Tn2Q+ecIks6mPQG/QHYTnpbpL11aLvRP9lB
zBQwyOLzUPr8VxcMl8bL3kXZZA+JA/0stWN9zy0aNrL77pdOsq0K6kVMJsvqEiSJkYMgoOxWnjsf
OtuCnN1ewSN19DQsO7e6Hou0QWY++f3aEG4UatL3zhbqsTuyhZ13J23KF88kC0DT7KcZH9umTkAQ
VE0/7JxxaAP4OX22AyoBbMp2y6seCR9rmN1ubZqmm1TH1OBpbXOvOQNjlAnxwMBw1kkOgGbFVp9t
e1UYDTpCG8ARg9VWE0DeXPuQxYM6VL5O6kbv3fj8Pr5NbE4EExVnlTbvaNeMUM9biwq4aKv7qpUX
rbP2Xmd/Vn57hU8wvnHywN1MME/JJ08y+M58z7GXOuvGAqZHO+rcxYJWb7SmUIu2bVSO4OIM8pEG
5nbXjNbkNYqD+JETnguEp0iNbQDYDIFCN7QXiO7Rk9d6xh1QMf1s9qO4suJ4Ok/T1L13gGKYlzTk
wowVb0bTbefDmvTgh58m1VWeplloohI8GyBaN61btQbmKKFvI3CXw4p1YX4zg847lUM3ays0JlXY
Bl51J7CxHpImGz4Kpq7w4C1NwLX2h11XC0usPCM1HrWImiRDDIHh1GG/Hmj/gJtlwrFjNGyzVcom
erCFQao1lGLKyLGMd0CtnYI6s3EFgDR8yilI16faIaiq9VRBfHNXgLEQSRIR9CetxMVunQWXPMmH
rZmDgbE4DCEWiTTnFZ0D/TwRFa+uKT3w7GiNAGdm9Wocy+BMRpLgzZNgUFLPoKdEcouMsmg0dT0x
eKJkajtxLeakO2dDdsf46bvtZc8oPhh/JLN5Bf413kupXqQyeaBV2QCfyFvE1aoOzZIgIH/ZbqAa
eVS3LdJpWkTTpiIIeyMKX55MqzW2qPGT7RJRhP/YQ2/QkgJwQNWzBT67yUrIpuyuKeFVzIhXHYnR
R21KxROQtKOM3pXt3fmj+dD6w5vRJDAQ429O3r0kpm3vy1grb0kyQPmpV97a1ksPFZuf9xuwy+Wm
xhRPUrIio6ckawlRc6D2ZaFJtL2FSZ3kO9U5cNr+Xuty1CO1b8GtFaa8QA+MgSC5jvOGmxndGG9B
Mr924tsimO6jqbT2tV1VrxM+lnqFH9ba01oi5gbg+r1CKLCbp1oLKyG8faXNMfnlbHvvUvoDzVcj
WsWYGeCfWYuT3/Kbdd/Wt36cjftBN+LXqu7JxzakT1BTXE3MA6+sKhe3bk6/Y2UEabMZyLk/oGga
n/QWBBZnlcEi9zF2xNqtFWdWHSPFSkZu+snvLBPmUgkU9ZrLxuq2ib1WzMyvchKzQ+r/7torgjQJ
bVqtYWsG5Qlbo+bgMsFCVWSJt8sCvWfJtWsLp4SpwaEP/HsNHgGjNpqGj8gK6lcO7PqRDkG9a5Fk
8nDLgNRuEqLsCPUGOTRDUFaQZVK1nSwU8TzDJmIbzJtg99SNNugyRHRSUAYj2j4A/9bOerLEoOkT
iNEiIWG8pfgInSSvsGMX9U5GUDZTnDTHMvYfi0G/Msuu/q5knO6gkSb3DL3re+VY2lqKfr5NFzgp
0jj3drGzf0ucIriTuWmecQJHK/7J+MeyFH4r4zq5l2PZOPzP3Di2GR5LkWnBo6f6/sHLgzzYyD79
wcJSXJJhnB5HfU4xIHp5jRWhI/dwrho+Q5LvE8bMp6JP4wtRR83t0E71VZ0J60AoaI8ouWSYrpnx
M3l9RKibjOtFQQuR/Kr0WFKwPZdBauGgkEGxo+ZBy9EMNvzCcgr2zeAN/dJlSK9pzA1PuU1jbtJQ
5NTB0AUrtx67W71LPNopqp33FfXa0S1692M0MPesVFaltxa36m3jZzOpVtoIg8fxOB8nBafJfd7S
lF1V8Em2TeZX+4QE8+euK9vXJsOSgpSNwQGBA0oP8MCO2aM0nGBDEpER2jAHMISXJQcbsJr6Ce9U
ctFcHZK0U4v9EMG30iyoS2iY2hu2SVwIloJcyUaM3Gj25yeNWPNHLdUKGN6EKzVw1zkcVv0l96Zb
L/I9bv4hl3vBR9BWAlPvJ3+03TWZH5SWOVAcBKRaw6xjin3nTkvidOO1yKJs4Jr2ugni7tHoDfqV
uk59x183PwoRTSHIOPPaGBCQAKkZOUm12vDmJFGG2R34HUNUgJ9kAtljemclCUHejUWxq6lZNsfa
7lgZ4vmOD0oLXbSTxqGqxEOr+nk3eW65zy1Nt57KKOo+BzMrOFrTuKuu4IO72FwlEqhjMKeuuVKR
4c1QbfN23FBJa9o1VtrePxqzW4zh5DgvskQsKZRvkd1lkSempc28Koe6h4AB3KjmacclBvC2HK/7
ZmxYCpSS0yrK0yDZlpBeSP4jOJb4eF+Ec9fOJhRQHSeYmzoMqvya1G9nbLTDhA71nFtB95gO+J1H
EsdWBPIuID1/+lQiQMXA2Xu8UlpdfncMMeCSKdgiCfFi+dfxU51wkKtnE9npZ0If6KwrR3vnozev
Mho7EtKByV6xFbIMcG2Qx8yy9NuL48fzpatdX6x8qYrt4Az6iW4YpkKPvMdxM1hFummiWlzj1Ncv
te5k3zhaclz0xsYHzdPmNLdZuJ8bcD556FvjMesTv16PjPdRI46ueO0ajBeFsKMXRko8VxDvOOil
9X01RP4pap0432q+9Z1Ye5A4QEfsnuxEQT9zx8D8Ks/BrytFC2xVKS2+S2cC/iY59bihRHwUiW9c
504OPzRrJdIeOVTddq5UT7pvY4bE9UJtx66I/DBzh33G9vUU53HUs8InbsYnMbqrVmX5W025FI5j
3e95VONj40vjRnSZRnBkDtRqNWE40db9QtdeT9NMDp3jJeySE4lZGbD2l5HT8HfTaXz86io+msP0
0RnDR9tpjzpHgFWRpcYB6/a08WG+bO2RJbSG8vDUiji+8gMRnDI7Tj8Gr4zBG9fpfKGzxc5QUlgv
EkBPrhrboA3apt1aTdAyuwBl7Qp9wmdnOmP3Y3kJYrTcsQ/+D3tn1iO5kWXpv9KY56GGNJJGcoB5
cfoaHvuWEflCRGZEmnHf11/fH1NSVSpVSxfQDUwP5kEFqaTIcOdiZvfec75zP2lHuzspBjPdLANh
zgDGTRNDtD07sFwGG9suX66cI0rw5dnFTsY8cBm/xAYxoCFC4u5mirzbQXfuVcca7PK1om3cTS0d
ndTuzwP6uVMzglfh7XglMXkBCmy4DnBrLz3Ibp6ydYmYts28fPZ7+nDqgH/m1Wv88QZNm/1CNgXf
nG0YhkzRnZhxlTu6S/Yzu1PoGBoYeBLN7rVhTWPIWQZFUpb629parnSR1+dANgPRX3X1PmcT7ba8
NzC1U+saWLNDux47AtcLNGal3/MeGJZ7ajnSqg3GUDFC3WFL7lIxHWSzGIfSbLMtsW+YxVQvqutW
GMXeBJRwKj2BwIuVznqofHLhaGUAN0Crh+zTSNCbW+19HjX61hL0BVEXZ9SAPakHUR92uKZ2s5xB
5Pt+OR+5490YLmINlvBHnlgdnMsheBkN23vWi5TwURpCDvzFojWbT1uXvRfQgLSv/KGXW5/jystg
yeSMuDoPORxUEJOHERFSDUUpCMYrYDwpUlXTmHcB8nxqIOqrO2+mKkbUN5zxN8dfVYNdvcpwV9ku
UyzE3cVTDjTzUal+uTcM5T0zry8pieIoR5rXY+TylVmGmUwsG9d/5z/7OGTpwWbioZuLgHo2jkJK
IAgnCzjsyrb9ELYcLrw6HYrQKXhUAmfK8VBzljywTZP8GXvmGBqpG2nQq47iuDUPn1lG647y10UX
GZQjR/sIG++JKbS/hHNbVzlACa+/7ywSKTOO9yWrqY+QqZ8ECY+BO8KYwLB2XZdldOHXcAt12YCb
H115SfBCjWjfKvZ+vSSgTFtqoDaT+JiT6pa0xds2R1VsTdGGTI/PcSnfgixwCZWVU0zGJLZLqZeV
1dzIkJiHK9lH7hF1v3lfla4dAq31L/J5zK7iNn0sNBkRFka0b7UlrAevcZzHHt0vAev2sjPq4SES
I2baSI73Yz4SXJ656fXETlr0ebFrVdLfI8FSD+jZ8kPbNXIPjrjENKbtq7Fw+gOBUd2+b0uSF0bW
fJzeZyIOjMMU5Sf8md6hd3iMEt1966hW3ucFHFNlTGE/o9/CrU12AoMnTGf5yRRltqsbSCiebukN
RV5X8oTbarfYi37sepISGYfadcE9ZmS7M+f2q9Pmy5mcDPvG77vG3TSIECvkkt0RFmd/cOAi78vU
NGrAIMLfCfemxoixQfdbDWHjtv0+mb0KawWj5Yrs3ezsN6hFKmMXJMU1Uub+NQ/c99431KE3JuuE
1Jb/2s/kXW82YdnKS0HEk1FR36HBcs5NrW/o/ZbMDvJDqZO70nDNLxptHEsT5bAY84l2/jCfaYA9
peC8VWV6IYOHUMQxzT6EVCe7ic+qSBxqiSl7tzviDFK7+bws6hJnJqJsFZclKcFC5SQb+ILtwHDB
lFACQXk8eWJuq00Z1HmFdZlJFkcP7+waE1Bv4m0JYyKisrThR/oW8Y9k2hNPTwzE58IP5JlUWnDq
Jaxru5/2ijV3a3oqBWMSu18Q/zoPslYQyJUWutmMhpB7Z066YzbPlUOvpdQXroFy62DnlvvaDJah
3iL+D17PpiJdFEfLo+14GF5GdMXw8Iddynu7xhfI3eKDxt8zoKCV0cTzXWQ40UNd2SDl+wCiE/aw
0yoXVH4tLmpXxMzhh3GcjxiA4jeii9gVvYRHCud8mTwa8ZIwckRmHrypOGIhBtHhIeHWRnSWMfVJ
qFJpja9BkKR3gcIohoHHR/8398xHmI+S6QFvGM4D/LCxFvREZRdvSGPd1GQa6HU9RSi5wal/n4xD
+tB3Dqst6wbxDclCT3OMCkSeMpbea1Vk/dtcCvc9xWmyaZygz0kr5tzcUteFopwIhVkQlvv1bHVH
jLzIOE1uNcXgQLUYVahLfKN5oVHc7BIwYYwwO+8C2xY9fMMjqaVzWa2ya2mW8Giq+sZOxKnNqzdt
IsZmznXjsr8TeHtD1u+5TTrjwbFGZPGOKtSdy4HkiidOv0IJr6mI683YKvPSm633xp1WJpSojtlQ
x0yX5hoLQ3AY8uDzoIZ7t55enAi2LoxNjhnJYtenCfeV8hVS4KIpr2F7APFueNBzjAyhcsUqsrH6
e/bugh0ypUuWEHi1owygUu0MZ1KbbBnyjwVdZdg4dksymj4VyAk3nRdRMzlgjAt0LFFYBe34EJRF
96TWsIIptmlSZ259naAfMLP0qrWNaGdNnrW1fE2Toi2j6IV6ITdxEnv11kvt5TQA0P0cW0mbhw3M
6fPSISkHWZ+u9vCYsTDW79DIe3LaOC369AvmRAXH2bT6rUmpI1h/cuT/WeE+1FhJOGjRP41NUhqh
Hb+2yrAO88CKS291uopLtyFUYlpeZo+qLQ8ZZdHZkDwsN7LJX8bRsu/UYkVq33b2/BlPXXrsOR1f
OUEnX+aa/BnGmS5H63RBzJrMgXk1gR+rN57HZUAPZiSHnOjmG5vW0FdqU6qQJYmu40EVNCq4flxJ
Q3vWLnKt7IkSLt62TXOAxhWOuWWencBgXkAs6lOOMaHpq5Ek7vG5a/OaK6ieGCAfKsv34HagWe+X
pg3NeW701m1cetyJgVCakSLrSvzUlV6GYKOiMhl40DaZNBtCROLrqvZwYcTzAcIKcOSs3Ml0ZMum
kR8ufkwHXle45+2BkAVf9xtHVIoIxBzRfokYRW4dUqhEL9wKUWM1HnPqzxeTdKi9I5365Caifi9S
+rHbSfCAjHETxZu8DoaHzLXEFNZWlx7TKF09TIt36Wk/fxLQgppDT7MuCE1HLXwu+KZDIdWdRsDf
eSBE2qGKL5icMHIQeXacmiDLt40J8nZDRvtyv0xxcUR4RnKa0L44+qlJSHuxwusFguiXhFXxKx4l
KyzQtjxIlNH0iacqPruLwxLmesNtlzI2G0REIVcK44yBCIKZX5fOqRGDQ66uO6Zkp3jmxTBHqmOE
VjlM0/D9EG2flbzsqI+d7dhxyUND9M9pu2jqj4VkRDk0h9G3QCkF4iQ9PAKbUbsHt+UEBdmuE1dU
cCBeG6aKw7aul7uiem/heX8Qp26Ejdcbl+l64h0XEd+j1yuvbSIiQpKuktsEzuKRV8m+DWgHPTta
eDs/wLMA+KWg3nM7UgxI1nLTcgqdJGHdKkCkIzOCh+INnJ2jejyz4k7hwFkO9o81HqSdMvcvSfzb
pHVkfcpoN1xETIG2WOX1tohted8vQXyVWqULBNLzIlApJZtHmkz2tndcY6NHeP2Z7sctPSR7a2qM
eBXi7xcgZe6DxfN5pyu4pb2yiW1xlvLeRSm1IbUR87lrt9uERZYG1eCcTEB8dFPSOd76qZs/ECeS
HvpWdp/qiLWuNG0G+pjkPW8zmwnfODd6PYRZYTFZUl7X7rxSfwV9IF7dwY9voL3VW8aJBvEovtjg
L3OJFAlI/TKV5EplJRwYez5riEyMI8qBuwPO038zRuMVC+CHGjz7Cof0LQ8U3Xq6SWGedcmtNqwc
U36C1Wc7OjqfroOF0fVhdYT0h5LFU4e6aYcjj3XN8dGmZTrmvj4RiqGevNps53UjglFcBhm+EIMr
i2RgCS6LwYqOrpc3X4UaN2Ti3Uee3d3URj6fCnPywjQ1hibsxgT5jO7i6E7RLHrg6Yo/pUVlvYwC
Gj8wfwWsw1X7qIyWG1kQZ117PfUlZi/GzpllvqC67J7SBfK14+c17fDF8k+6EYBlfak+ArX42yoy
010gl/mhDurqssiLfM9ukZFK0LQXxWRW1KPmIBi/WN+rZIT7dlGfjYTqS6gsu4D4QXB3R/DSuofY
4ZL58751huWaRkt3WnRqvKVKyWdY1P4FrrT82BoaK5n09GGKk3hvdZIY6ql/N4JakHBIahAeoFFm
JEXEl9EyEj5S9hlHaqd5LeWQfLWDjF66VsuDh6NtxAPU09SZGR+jYNjSNcbXnPC/KV2SxxmqWo/f
ovCn0By69sGa8vbawVDqXpt+MVx0s4V7hejtfudSax1Jp2GCDqfqdra1TyUpc+sYWCSUVrJDo2JV
dPWCxHuMBltc66rkIGJ5NG0yMfI+8+pVqmWI6S/Zk25yJCQGEqqlLa+M0njyCuPDRtr5mFdGfV/2
TrQ3SkwwnGrLIXTi+Nk0muFm7pX3aE/pcG/g6t4myd1Iq3UvnKR/SUvZ3rqWPb0YEaFMCUKUs13G
fth7Uf/CsvIi08y+mo31fDDm6bWdOuJcZK15yJTOb1WHMytyh/R9GCJciyMhQU0+xJQqJqsDAqsj
tWGM56cSnQ6Rf7inzGvrA07n5TVXdTNvuhlPX24bnMfayjQ2GefkcxK7altA7j3WmMO2rfQWHHu9
CGtnlUYUvc/SpKpTDmR/z7Hw0Nhef1GNxFZqaVkvbpCVrLV8qnxTx7l1R7M1Pg9LZ+/p2Sb8qR55
qZWZnvDK2reVV7e7HA721tCFfybaClFs8W2kXyMn9ows6qcDx+ig2cy2U2+wpJKG1CbFsZZ0jaWv
Xn2t31Epffh0W0PFFDuOrP3kIVGrW5nAOCk/UpmWm0AaxMeQ8pmTF1Sls7PV+XCpGnU5euXzRMSK
Py0wGjMGQ4Y1k26k9I5XNuwtZzvEnnUiUOZhbq0jiqHQMweNabEggn7Ew+gyFeo248Qgy+9p9+St
uVHCOC5mfQHz99gn86VT0/2ecbfc0+pyjq0/JXunU+iRqwUOPNP95LMH4mJvAHe/8r04fRDMvx7d
goqxXGJa4XlpHf7nUpqcGxndY9Ls1JuhtXNFCWzuF1+lB/xC7dN3cd5/Npzjv5kXRK487f/1I//j
N67Hamj5P//jUL797AP5/hN/8YHgPHRRDUHogX244od+9YF4ZKe7VOKr/H+1gayC9N9j1d1fMC0B
xl9xkUSlrCrH33wglvMLCkiSME0mPfxxUCR//2S/+SMw0Xyd/rf6KH/75x/pGH+SGvLBTNiB0DEk
SmrzZ2Woh5nPzcY1aUwRgTbCzY8SSqzvoVMIXaZ/IuH9Wb25XghT8guRu+JB+ZnFlCm7TWVmjrvF
AcSAbewbvs81shOc6w/34G98M/EniTi/Czo/KLJgFU3/iQbZS0oohhXjTlhmyvvuMjGslbZOuPSr
qzRSw1W/2GgKRVdsWeeCd0ke2y1avfSUBw6LXW0g7TLnkWlL2rerdTFQzSeGLcxZYsTQ1xIuwkVv
ivbLPIJDQgviRSxLnMPxJi/4azajXX4YUb+2eFPrkeZ+N+yJ5amtc+c05m2ciVaFLTqkbZd4zkcn
NRIWRF5kObVZ/40Bnf5QElt4in1lW0bZcsvGicO0q2d1QP4HBo/C6C4hAfIMg8EcWDh78utSHfBR
2CSiT8Qngy4W9Gwh+6rMo0Hizx7pscrwDtWCahuKXGLUITmjimBYp8HyantD8y1PUHp4rTx9D3my
BlJXGW1fFrN8LBCmVts0saOLRRnLOcZTdztN2eWkRcfAyRxCFVcvRo46iwyFO2STpC+63uXMwHMT
B9A16qqpQzswmstZ49LBqk7L2ISrnFkBTkFDElsSM0LYWfRmLigKX+IARUo+QUaf6zWryIPSPw3e
dUcDep8ReaS/p3JbZNi46HYHOsyHVAnSJilphXE/1wOtHDBMkJX0AY6os83y4CRqokrTCgZ5BCJs
QwvpG7CuNQ+SxLBk5Wggkj2iWAhw2OK4LDVZB3INfhYyh0Tvm3djT83WcwwmyVO9KZFeQXEmxozA
lZFdaGOhiKQzaxzi0bwr02YLt2oVq2FBjBz90FmJCs1JvLt9dLkmpqGGyMKMJhmeT38Tj6BKREtc
K0d8KgjrPZH53gbmEMLZOKwpdt9jFNIISDf/wADn2iasGRvrZd6pC1UBSUwHcA2Drh9UIw8GUSP+
PGCmTg+dbVxqElt2VUDwgj/5NHXrqK7VZWI7hLQRY9je1J17vcaSFGv+JrsuyatjdjaD6UPC3SOm
mu4nzl5Q82syaIA7HpPXGOxwQnOqXPPbaByDGXD8a4GM+NqOpi86aj9NSsidK/Bep3Yaw6M0HiNb
XYJxNMPFdihiDXgnArzW9ziGSaqzijCty0a8pGbAF6Bbj3oSAz7RvJHLcApQM+UzjazOo+2+nrRy
qBcbiWH+1JZ0EZrWHUNu7J3GxhxGJVYZIwNkGOW8qClY/ccONB4+Yu9xNPmmBRzooeA+0D39EuA8
3v2XbJtX8dcGu8G37mcPJcv9XyyU/52MljRjhYAd+8PK/ien5dWH0m/Z2/yHPfavP/jrJhuIX1jg
BYFDtAJsIKx/2WT9gJ3UxZxCSrz327/53Wwpf0HfD0ES+wVPA+SWv2yywv0F6TBN3TXIiU048P6V
TVbYPzkJgA6aDhAJdjwfFhbuxD/6PHpO7j68HXlEg+uoo6hTwh/BMU/NqnHR71NKcQWFAY+8a8ue
ruOMQlcCtlj2oD3tJ9Tb+anoJGmxlUyHaZPHBn09d+ym+pAb2n5C4MVUaxzNm9wwXAzBbiHt0EON
S0vIcZLg2JbELx/M2af2MylDTjOk+RDNvVY7P+rUY+t6EQERRtZBaLGMx8Biuu/3Xv+Cq4PWTAJ4
xKJbyBjFvzfBljOHNq+ZRA202KqaPQcx29caOdYYJjZNMLqSSl0i3gs62rnWculqJuRrja03INdA
hS5UiF6PEroWsThGLiNJ5S5rSTLHR8E5GOr6DKkkz2Z5N8KzevTLwD+MVjpeVWR5h1AvBuwm6OVt
2PDwDQIKNC1D2j+ieh5Kf2RGU06Vt6lRk1qBUeH6q+KZiGVo3ealENQ+FyBuBvRVmaTxWpSOuqzj
LhkPEdUJmTBjptJNUNSTgsMUISBQBnodOi0Jm7myZjBZ2RAY1t3CGXC+aZQvizvLMVEDcaqPmmPK
NhqddAXk49SbnUwuomEM2M6TyBp2PSeVZQ//KXsZMkx1d37edGJv0ewn4B79VxrSvqOVYi/t0O8j
2Q4HD5vHOwAN5UGvyIMDqkXrGUgRbBtlKrWy278FwXTujZFOb+GLy7KZKe9t0zgakz+8eAi8N9qM
bjGf0lJlHqtorqGms1Fe4L6M78jONffSxJRewmAnDgVH2QGNQvtu54N3pN+m40M8LLGFCM1ELSsr
/9H1aNvhPSnlvM1JGHkg83O+JOoc+OgUu9u47bKHjpDfbU9dT1pHodmg7fLC9KghiZ5QOzP2L/pm
DnbzYi2PUYFUkvGpeyGham10wg5aWObNStBKy7Z9mB2ifLUl2xtDYZYcIZjkmw568AbACvVbWWp0
MzUMOHUojTG7dD3hb/mzmu2cZzloCAd9K66O+JGntT/TlrKA24sSYScxxMlpVuBiNmXUb/Pekihh
VX9SdKlvAj8aXjvuLSK3MrLaEOPrrDjLThOpEsY4bpuG1F4cIs9THKPfm+kTjIRI14G5POcgiN5d
YYy7xveqB7rmLZO9PuG6J/NBJqrG2dM5J2hy/RVyro+y7ysaY7NgBDBF3ZGowmSPEcpIXypjlA9j
OVtpaOnU+wxqCcajibjmNGYo8ZGR9lt6o/ZO0uTcuUPd7826qQ9L4I1hMzE/yDGr7LMpMUOnUdkR
sfWFmXe01RjIXXHS7l8isx0BfqnsVuEYuWirpLioZx3cKLuO3pxxiLpfrV7/2dXk/4vbounZHjXf
3y86t2/vzdu/vRXvYCHVW/NvxzdUuvGPdSh75G9/ym+FqP0LGyT8AAuFzpq9ySb0WyEqfgEngAsR
NiSWULHi23/fI8FKki24BlW5bKOr0fevPAIoCZAVqV391Yhn/Stb5M916ArsJ3spWHkEfBDzJ1BA
Qs05QSGLdiPVYJIg+3D03moF50rn8MN1+huFofXTZsx3J61t5d96VLzwGX76XSo3qrJy22gHtnZP
E/gePdKxTb19AbN3CerX3HRpyX4KbPory43Kmcpr+yVT8Dri6Txl1V4W4vhPPtWfKuP1U8Eo5pjA
34AO+uMRIcIVFpBeEe0qPe/Qv58ytELhKLy9pRryrCsE8DkDQrn3qe4CNWwR0uOjV3AAupDN7u4f
fyDx/Zr/6BrlOmGV5/RkS+7Jn+rnXHuVEZgq2rVLrw8igQyIaeGejM/oZtKasHXXyG6qbKCem+RC
zBVDum5xaT7jHaQZXHw2msK9izorO9u9H50dJz5VXrGvKAG3djF+9qavGYC1gSG8LIsrWE+Y6Dbs
T5uZmafo0YsQTmq3Jns6uruVa4mdCsdsSHzIlVkb26BK9pUDvSdzroK03yMOvZDG/SjK+yXK6Vo7
W6cm+cifd8R8ECiFIdEUF0pGh74uL1spjjHC3rp5mXPjhK4pXIYvRnGWXs84brQvKjZ34RzT4Hno
h09DnzI8nxkIVJN3crrnaOyRajO1GOBo4R7KoWpsOnW3OBexl1yj4wxRToe+O+9yL7pwdUcoU4RF
MoNAAOp+KC4AL+wnHAcyVQw5827Vns57Y0TBJzwqyAC8NvIZp7katNxDTJ68cctwMsyQRFLd7PGE
blr3k/SDiwRKl1ekJytzwQX3GyvmhEJWfOKWUJ/HUGUtl4dfE2D2qsf7snHvuJ+bxLCPfSfzzTKu
Q1ZS+5IGZ90X7d0ImASo9jYxPeeRyso0g4vK4c0c/J2Z5KERP6RUx0ZzPVce3h79hjZ85zhf6qn8
3Laohgf6DWgAVHDTIrMM5tu4KY4+JXfu04NF8AERqL82A7d6iDtsRl5uXM01d84jRcaokvFeLFPZ
MRPHg9lFwW2UO+XXdduJN1XFRcuHKtFEQGQfyOr1nVhU+RbYsQcaElsXNSVuJyvSJ290HjyrF08y
FVDyRtW/0v8iitMO1GEckWMj/jDVM4MqpAWzHW2sqGDML1KLlMDI7fMHPyUWgNOGh6lgMexNMU4z
PoZKTm8ugKVjgdINE3c9qCvNAPTS7u0bt2nlXbMM3n0n8vpXC/n/3yT/CTT51xJwjY34R5tk/lZ8
3yS3cf/T3si7s/7wb3vjugPSBrSYbrDs/VA/euYv1I0/bJtACf66N/JvOC2yWIPyIX39x81xbdoG
rJouQTQ0d/+VzTFYKSs/rsR43ukTS+JzLMfyaaH+cW+oGuAUTmE5mI/jb70nr73GPVQyeEwizvTY
UXdIliYqt+gxpttVLRIlJ4qs4LMeWcaQGJ0jvTynvTyQLbgHZLpLLgnTu+hGF/RltlPRcEUG+TMK
ngOTgn21uIdkaY5mBXGXlzmrzlYTyt7fy5GfJRcWwfnRqbNTKu072bjXrrQPOHbunMgimYq+mPoy
Kb2fq4B0uvrBN6qHZSLamprU0WWY5uBcuy9L9jArGPH5cnAnufec8cqr/FOv8kt4M9eFMz1XNulF
XXHLGXRXzfMhy2mwstDOInpciIvfQgN+bKU6NmNyk0cOJg0N+Kd1m+MSjcOGyepdp7yjjWIYdM3w
uQNRa/rNS8J8acM8/YBJ/kSnF49B99Vg5o2E8dLhmP7Dk/e3jh3rTfrTTcTXz8GL54yW+x9vInRG
0WrTcAi+rrcwkb6ni6mxvnHn+cZrMGPTvETm62Gfw2bFnfnHH+A7TOIPH4AzlkmsnKTVvyZarGew
H6LU4jqgdhYx9jxGphVrk983+8nMLFh8ICjwIt44EcK0Plpuk3p5HhAMXHIqNE65JInX23zMdtfs
F84g4YD1Ze9B8t5F5XI5ZXil8M6HTNmMkwk1NF/Ysx0XxcehGOcAARjtUWKWdyNhp5spWxGKKDOj
wD7XEy1XTedh17fi6zxGM9OxBf1gfFhagP+8e5/sWpzRTV35SX8uasztJci4XxHe/9JC+h8rJf7u
f7X+rr804v7vYJlZLBk+8yUOwX9/naQt/tZ1cUshof+wTP71h39dJ32gZuuJf12QVn7Yyif7tYaA
Py9cCgXpmQjd11Lhr+uk8wv8ectcD/eQLeR6IP99mOX9QjNszX+G5sF5nJrnp+HVPxpmeeuK+4d3
TPp4LQVtOzxXrL4/B4CRwjKk/DWxkkCL2U/Y4sKxTYQNWLpAVI03HBY2cTi0b3BrzrgMvKrHgz4J
TCud7AhCC6S4LGgwbcq+rJi1RnlNz8DLHtJ4NB7d9RyhJuZEMi/0uck9U+0bJB6HlnDOnWezILdF
q98HG+Qph53M14RYEd4aTTJ7JqoK90tE5N1ZWYUzEHkn/RDWx3wnpxIiYLM8qN6ew4UEWMxETBiG
3N1BhG3O2qe3NbE9iP1MM4Cp/gSHBYffbIyHQoz1dVzOgGj7bDEfIjfOXuxpUg+YtoutNEXypcZT
eDVnK8pjNobliyoD9zNmBA99b9+8jSgmsdqnqyRsBa6TwIxqzkpJ+yQY/BZzAad9bOq7wuDqFAIy
ktlVOyvXZD7bDR0rOL8hw/9qu5TS+uLHEM9XQRdYEYxwKZYomX4ZZbBMHAaz4F2VhnoStGJwKHpB
tCqbDGFtlRiKbUe3CYk8YnnTjidKQiUuEm5AiEAb4a9MhjMw0Oc5LsgR88QUp9uFyV2YJQVC+GWq
i50GFWNvASN6V70ck7e4cPIPU0RmcGiGmZleXQykgJjB3F4uAesTRSEnujxfiIAKhk5BeC0QjdHt
K0ESyFFdkRQfXExBUb3qNmqh/ZISZW7QniNqg70jw8YooetmuaNotQl9tFt+jwVke8BNPvpBmKqO
RunsNjiEyqjBYMCcLkYob/bvVVOMem8jdD32sYGat4f9Ggol552oekyjMM3SapfxWD91ji1u0zhx
LiPZt4+60OWbIpKRMUdX1MGZLc+mZPSn6mudu/NrG+jS2rpkndLKBALxGb8uJJjFwldwSJKiebBo
ld86hDdF26UacbzQXrsFJFLXG7/QlkCW7Td3tDan59Yx8oZpiWl8MPtxUa1ZVvPieGn+BQpYefAn
drtNKYLxsS0KbLmqyxkKNRjt5yMlrTY4q+ji3CVYZEaUNAeDPvZG6XF8Xmkz925XLhhyoBLNQVof
PV8byGUqyUzWhGkIPt2damaFIv2ieLnWH43Yx5wmy+qjGbe44ZwBzOngxvI2MygCNsLJJvOTAnL9
snYSZ9Ts5QJTJ+cG+j2YkIM9++hs7Rpnems2I7okSFrHpdWYTiL5EWVieWU+CnGsDO18tL/iDaEi
NdOk+eJ6U56FjuVMr9MAMqLuNWWN0Y6P09hXl9q3MX66jrgoEKgC50c3HmIgpxc4T+2npfUcvVVt
R9wjCdQMkLvyAtSQ7Db2TOVfzFWxT2eb6drkR0eidg587mVX1iT7DuOEW8TW6DGxB2wW4UXPgaAw
KzrbC4j5CWRoWOytm7mDgxLSHwWGshTwiZ0lNq0wH6ccm3OEnZIyu44/kr7ST4un9dlMrVTt6s4W
GcZ8Mb4YvChkWeN37hmU1cj/7QSZuzI6w8KnQHgFhGW3vq3mOJ/3RZ9AFkc/P20tA1xxhzEZdXgv
++u6Tmfib4oSgH7eti8tzHQyAov3NB+SHv8G6/SQZfKsg1RbO783MKXSnHkyO5EQWkV4NmiCafjk
RKq5tCOtX63BS5hSuPmy6zE7gd2dMMQDM89N+gYMv7+2hZ8dFcc8s46dKkQPVl6wlbioA5Ksfndw
1owbo+nrhYs3jlfQIVSHrBHKAp3/BAiB0YItDB285/6G7wmIHqOq9kGhKJw3zCPbjxk7JI0bZv/l
UrHLOEN+hL9SX+BQLhjOdAbOmorcJABZWdodGOu2+liSLr53YtmZx3wpYAYnwLoxi2fSpXTubWr5
JTCddsujWX+D0+VfmF0ptlbbtv3GXyYWpyADX2DwuhGUBB04G+v6NfZaJKMVPL+7rmrEM6351ZdW
p+LS1KV4Ql5fvxBD6F8g61c02L0O65lfKfumIhHsRqJPeaphN3G5E8njA7AgsznXWymar3i4mr1O
rs19Rz0zLzJz4hM865tZm5Z/5hNqeyvRp4uN9mf/tZuAjrNBCdJHOuATx8gRNBua0UW8FHvNJXr5
5BqJmNjTmEJiRQgHFYrRLMsmwxmrIcVn1t6oy/gymSPvE1jocQOMJr9Jk8AMGZ9UmBvL+JbzdxHq
xbI4ysoytEpdP/fKTJ+qwK621ty/4iuxH7tqcG5TgoS3PVKGY+3m5mNtlsaHSEio3AglEM/apX2C
AeQZoSZK6TE3lXfrlfFjWZrGbYRNbwtiftU/a1BRRiLIwWLq3Ie4olG1st8terdiTRDScdl0OHvJ
2rnL8KjxJGR29Rb7RbSfkD67NCTTHgRBOR41Ct1Tpzg6wAFbvmYIJHHc1kmD/ajUN6XM2ksIqt6u
GmX8Oe6a17xSy2Hqg+kQxTCucd5i+ujRrzEGS+9xBxcHo3aXozvoYl8boy8xvgnc+5hGt3OvbWZn
bSuaKw//2udMD6CMfDTgNHqyFEFi0ZgMJFTF4oK+0znRbOse64XuT2E0mv6b2ey6FlNfji4t3qQl
Wl2zdeyDwwIUkiT879Sd2XbcSHZFvwi1gMAQwGvOE8lkchRfsKiShHkMAAHg671Bd9nVZbd79YuX
/ViDJCqHQNxzz9lneHZ5tDwC1IFETylFFq5iCA3bytTqcyY2f+crMvBQRVRM3CCM7yP8qE+m09dX
q4eajbSGhcSMBu/JdmMwLrjgrb1WttgT+fPvSVBF3blEZ0pWgRkTAEtpFaunIPzWT1l266QV/Gqb
3JY8lblKMN7Wrr21mqzT/BuwIWs36sucrBnNwSvX5i1eEQwIUc86fJvEV6Y3MVPGhS+wvmb14jVw
lGySla0s+9Mjjuth5YniV89RcbvTDF0GxZttfHaidN7gPAjDvc1OqgQo00/6GIRSVYduSr038vvi
pSyS4SYjEDFdVlgPWsSYeDtXdeGqhxp08EoZ7T2My9+iKaseW0r4yKBHPZXHjdmcvRiI0GqOipRg
ij1dWnZ7pC4xbz5ygdXNCmd//B5bHVnvXA8dQZgstp/NdGzebEHKLlDAyEdil/d0NkUkkFzHGTdu
0/KOtm1C6Hkq5I/KcdhGUR883RvYbE5BXZr7dia6Ra6wM7YArMDKA7oHkNU602cXd/W0ZuFsbJ2p
Hr6nIk/Bs9lEzDRWpUPazxo8WYfd/Otv2ThEQ2qk22/BgDeW/cBKUxL3xpfTdvCLlvXV1wWFAU3x
gvX7lsdFgiMzUpegiNE27RDFLoOIsC8LN6CLaaq7TQkGDzx86AVvtQVCiciQjphaHUrQcCH79iv2
2uYS0Kx4C6rKuw2FV98xvOQXFU35u+GDVFl7hfJ/z6Y5pj3AoEdwBOJ3P/reQFAp78YPP5nM6VSN
9jAhG1tDdopLQa0msNDp0CH//x7mUbsPSxMafWmAH8UOLGtEk9YP7sHlzQcCjv5Pw1LezygKWyDi
dILgnZnRLTZewXtNSMROxF4Ab3wZAiWwFefp+2xQQGAGRWjvhqkKeLbFUCXx/t/kJHKoSP18nRO7
w5O8PHwJVS7NqzRtDDoKb1M8qe9j5as7Sd3RM/mzs9Vg5gZqP3ifcZU0cH0dP7a32G2IhglvovJm
FoQLMxRpc2lRWsXJ1PA+527QrygKyYjk9Ol8HIeG1JACXpiyoxfuuxlZzbjqmw5wiZm0etWYZv27
YzTdQVdtclcREoRgoZu3NpjjH6pxg0NeZtbrYJnTvB4xBRxJU6huZ+mxStZF2UVHI6C46piVjXkQ
klUNVJ/JWgHw7z5ihmQyz23XX5LYLup95vkgAzJLpRdGguTgtVoc6tFsslUHtH9ruTH30GlpZoh7
gAsbgIYzJJzQnSn9lEDKSuLIp6JIUZeHkbscYSWLgOpS/4VheXmB7R6UmEl9D/wVg4S0YYlbxCfz
oC2v/O5XM/RBpuyOP8EucgIYtvFk9m1/LXKrfaP4fTpm4GK4qvLAX7s2TSm1hdKfjYPJFcMQ1VmZ
U32pggiIdwL+LFxXeZV+FlXexgcBhuNBVDRU0EtVY/jLSJI89kHxqwXqZvN1Kfaa9sKr0SZEc6e8
r0hAui4MoJHsFHOl+UzKjsC6SOlK8ElGo4r3XnZO8Ur0dBna6qQStkgb7PrOtIqUVx9U15iEwsrE
YDSNWSjT8EDxUNsp3hqu8WYRTOfB1aiPPJE+iUJCGCyTUJHWQ7RV8KRljuW668JhJVyqIGfdAb3L
4HIPqzaVdL+bmbel1Tc+K0FfbpsN84/Ct7zdPI5Ft1wjSavKPobwnHtZcgRgon6OUVbdRW3GSWKQ
EnhsoKK/FO4yU2DOySm55ylOWsJqH5zeAt3gdeFBmEN5gImojmU/xQ1FnsX4ilQrzH2RehVdZUOI
ougn7I28Ob8rA4dYg922c/QmYSFwAZQaf8iXOvMvSVXPFWjW4n90gv1DnerPMtX/K7/Y3/QodqP/
WMx66TrQ/FnMbvy/07L4tX/TsqzfTEdAFP6CFy+S1R9alpS/udK2BKtySTqPTe3fFH/b+s1B8BdL
vyKrY2/xcf2xDvd/4z/4dJ9/ucyWX/UvKFl4r/+iZFk2ZmzLlagTCGQobn8v1tJxU7csZsU+St0i
30Og1fPadCuDkVW6n2oKcbVOXKabOqP9JJvRPohbeVycHQ5F7QJrDJRNMnrghhymPcS7+qWfy005
ENiVMnM3MTjso+QK/D1O+u5opomNtt5FRkJteckXa/Dd+Qhfx88IWiXmjRnb3pWwJR4EcjqELYcY
btnzU7AaiFep14+g1PTBKOv2Z4TIsu64zbLtLJJgkweWfw+APblESLrbSaRcZ2Xf7Aphg2PqimSr
utQ/p7YVrIN4bkke4vaJUzv4kRYeoTCX4R1TQOjsq6k3n4g0Jw9Z7TUkI1mUFgRoyPh2ej4BEhQb
ZjG1ExSk0ESVR0slnWg/wZLyg+oIxmPhN9zCIzBQeh07FO5Y4DwfdZ5GG6+pq+vgO/V3k3Zp4kPm
xZm9j44AKfCPlHM0P7B7oF1cnmd3eowNbNiu019Zvd5x06BgzJFwUFokbC9qj6CnwKJUhpfniAJF
jXVt1CRH6Sl47lBMKWzKhxCUqZPQ75ye22z04fsUzoZ0dIf+AiQDDPzEXqMLWnMAHCuqT+50093U
tuFHkI7uMYVnc52VxSE+C8N7zh3CasB/1GH0DJKvcZwTButsOq78LjNXYpH6vGKUh0E1RFSjfngZ
2BpYhO9c8DHjTE+8bVgXU/rGsRKN8bsia48A5wrMb57A70zs803nHnkj0etVEcVEwjxekS3WhORH
4pHDNvlUHhCfFtu0G5d7E7DKx+AK70FWPksgajO/t3X1rcOSTs58lnuuxtmt4O52ZZTwXitwTKs6
ic1LmTTykuZ9tGksL8bFO16w9kWXwRzLXdvYxiEwdbYPI0c88oBmBBiTogLcnfGJhqVGvUrYUxEY
w9canaWyC8DI2pIFnYhzW03QQVP52lFJJdbwW+Jj1STT05hE47HQyrpyieudbeTWw6ft+vrEssRZ
Y8pL90M2dx+adqZLyOx+wOBiPyvTN8g36UqTJk/bj5yrZbvO0lk1a3rlCV8HZoZZINSgozZkPQia
EQcEO64pVg816HZ6UUcIngZ/TOl6+jp4XvHqVAbXJWXwVjTZKGM4FKw6yfnb1ZlrP456NRQnmQoW
PQkNYBwXFo/+RCT3aczg4s8OJYTd3F0GLzCvPOmR5gRNhU/BXFknJ+sUI01jVb+bgYgezA5z/kpY
AJmHlggWVACzXdmWNM4FoWCmXEtXFn9omT6I2S7vwmHOrgp25LYLx3JLOjEnVO6MBykJCe87Q9eP
PjGwB186KGPkKNdD3TFsK+nbO4wS3AgDL08uIg3FTlaTd7FiNZ7Ntov3WJK6S2nW+i5GZf1wayZj
7mvcRNZieqlDpwrWLpf/Z6stxHdLzNU+1LhIcRy2T26JEJU4qMtJbiV7mVh8t6YlMxdGuX4kazU+
sgnTEIiqtiM0LyWTvbcl73cwGrM9yGqIL/BQTHrSXbKElAZcLS8orgn5k9fG8PQrxeDVT20ziK/w
LGBpnX3jSU69AFkm3FcrbAwXSKZOz4Q+6XruAIXiG+YjvRQ+llkIZtHS9asL029j1GP7msR9woeC
lMcqhzK8tS2osikuHCw5WbyDdwZsbo4UubuWAdlQInpyZEFvROzDsbN9PR0XXO0lKpJ5PwGS2cMP
9dklt/MmslLyMNDW3png5a5Ror81QRte+cfwWHdavieaFEIRtfGuwwpyLzy8GlRjl99RfoadY4ni
QwB3/Qj8orj23pDs2aUwi80sDrLUg/E0tDZCg0HTKTc1qsmbonDWbp7F8HRyIoGD02DM8dujM1vF
tcY3sk6z5HfRjj4KvDpRyMgZz1OtCKuP2p6bEf6EvEVNQqpnnI5+LKNnChOHn6Uy9cZr7XHfEXsD
9dMT7dh6E6DCFUUwRLhbR+udMdlLbWlr15daUto3Oya3yB4yRe5ji0VXLg8ube24rN2VY7+3U3ty
keTvrGqAxUgsRSbRHbJUe+Co3loTw3yR4iIL6gIFpGVXbo15WW9b0K5gDE3Xzk+Z3RH14z0pcLFS
yojWCkAk69L8iO1z+btYEWDOEXpb3LYfrNM4mftKNmtf2yNSvYlfqFXzxJwg5q1otLsrg2K4QWN1
6adkm3MYrRqfkU/iF1R4sNLpTc5LGKLo1RUhpv5e93bG1lXUyzKoOI01L0/JZx5Rq7D5xNbOHRZt
ezOhEqItltPZ0oKAyDwfvGGcWeaK/J3p9Ae3dn5bmixHqQ66wELgl8ahqxQSCVlSF4oOTr9qPTqG
fVNu1p+ctDKfnGlQ0IshMz3EspxIufsumQs3Np0NmwXqJfuEZJAwjV9j2HonCz7YK9+P5iL9uj/Y
87JbjvrqR9EVw8EXNT1+op7Za7oYIeLyGmZWu8pzxPFoKMIn3oCC11TAj2+y1v/0xUQ4STXxvRWN
6Yb/EViKGq19TRD+mtuleVF4dd/1YA7bIQY+szaNYah3WqTqILwOyY666eBXYRB/Dg0jQL7InIZt
WYvJKPJ1srV8wLN7j/rZY0niBy0ni5ItZTjDocSICyJDlV6+N4KyunG/SMq7PKI8fWMUOb54joF1
fDShDPgb0TSpfgjGsT3h7M5x0tnJz4ITZ6IokZ7OfGyQnoFgv9jModuU6+6amJn1rOSQ78A5zB3/
LEF2hnGys1MhYf8kWOWDRRH3RXIwi0Rse8nKBTXuAY7dqqxxvI+tOrbVWFEpC3XeN4E4d1wtGOAz
GruVHn/oZBx/6Vr8YP5rP2Q+fHr1wjNznah6CIzIO/RzDxlBJsm6rGx9kTaB2qY2B8riAFlUITKh
VHGx1jmPJ2X29slu/Gcx64KpTmdb0Rs+tdalgrABYy6vaQNwc7fcxapPzmlZwvezQqhilTawlBfd
XruWhxOy9FD9pvAHqxwcnC1GmDKebd6GvngGXuvdJbYfXc0iHvdqHrqdkRbW2otB80dUCV7skkfn
OhULf8rpcqp4hiA6TYYE7ycRGdpRNt8tlsxbTC3htUjQZ4iHUabMEbWqVOre9xWZayMP7W3UGHQY
5MDi19qnLzRGmAeknNvNloIFo4JqpCXcZjPepUBb6O+kq5z0YeWcpd8OW6sdob+OnvVEWSxNQrXp
3vWGACpAuyAgEm29IuRVq5otwiHzBn1M8rC6SnDU1qr32GRicTGSdxfY3qHRWX0zbbuD9IEy4CSl
XPk0er/yoGPi9lpaEGmXFFsHStkJHop/kGHXc7RAmvRL2g485cJBycoChlxpbhtTisOckRgPmsnZ
4f03j+VQWxuHHDaPmqkkBLYsYVG/x4syu0fUEMLHNR2Xck5xBrVvRlhtcDfF98MEpWGgPsKOKvfF
LvGIeH7bbpKKoaX2pFrXwhxPQJ+XLveSBSPgb41phG0LQ7wBikP1KGpFl+ubmbFRMJ3ZBRTQhfwN
WMdQAB/+kzir+C+mmr/OaX8x1RiwQlJtJvGBPR87MtvNNsYQSJbEPhF7NyXNX2rjpQnE+OxbVvA+
+UP9IGIwhP4kmm9holN2lVzwKdYQ0T7up/p5pD9lZ7oGoQqZsSdqA+NaDi0k38ZPBDQY3gGMlA5X
CSMUybtDNZXBpaYkwEiYdc9SwNmiX599Kkl/j0DrbmxjrB6MNFcHMHqvfaMWjkPtbsMmsN5F38tz
Z+EjThcmpFzWmmXmuvdOnpEKcGnD2dDBAVIwlvKDm3q0d8VAqDHVn2A2rnQtPjncUFZTVmYbAH4T
aLx4eoTxeaEWY74kSCjcwH1UKtNqkWOzIcbLChlw5tiOWveH6GgPZse4LEangkvhQs6u3mbQMWJT
Jz74mTb2hgs4kwlmNbddVgHCe6wqNTyofE5JOXAc3MFtFj9dzEM/6hAsS+0YcquRqW/VnOFDwuAL
Y9QjLgTLzjs7XW8cXJGFG5XOVbMWfp/MsGTM8eegxncKFxqWmG6yc9oiB7PYwOKk7n7lsTRY2e2c
kLhyfegvJHbgBbqsqfpqUFuyTsnDnJU8odF+TyHz6zUx25DQ5DgkN77owXEMRn2E0TkcZxYVOHUn
9auOO66Chdbjc1xoF7cD9wW99puyl2vfMqqLWO7Zw9eVO/+6fkOjMM48hbmUp7VWW15IsQPvCv7P
1HH8YC83efvrUg+RyTpZXzd9M6UluF/u/9rwu0uwzATZMh2A0KFcIx8E5S+R4T+oVFO/XgXquVgG
jPZr1vC4mXEYLSOI/TWN9Mtggpamr8XXtBIug4tuYx7WngbYFU9Bs7X7xgCLtrSOfI08/tf4Y8m2
rA9dI0cAaJ51GluX6I9Tw6dtMz64JMtSnL+W/GTDIFYBDb0rUQ7d1cE3tgebi4XDX+atuZmf6tbx
NrlR3wxocYfa4AWDaV7dSO446yrhprygpYxVxVX4JEfYJkPMkOa0YUdWOu3rdexzDVv5vA/rODKt
N/JY7rr3bUA9ICFfG94DQJ3LyJgtwyPxBOZIHADZXZx1KAUMmQ5h5DWoByZP72sKDZaBtCZgs2+W
IbVfxlWiRKTMmGDrZZRNlqG2WMZbfshl0GXkbZfhN1/GYJxGbO+W0dg1Iv9b6QAfY0nz3VsG6H4Z
pedlqAakVu79r0l7XobueBm/g2UQn75mcnAgNnUrDOoE3cS5W4b3cRnju6+Jvl2G+3IZ8+dl4E85
pIuw478OSzFp/6UMZItI0C9ygbsIBwLq9T+pP3L+6nW1HEGHsgUjgKZLnLUkOf/sUlTUzjEkNMZ+
AsB1KlFvOxH6dMCT56bcKkW3sN2r6SyGA7KTIJKS3t0PUBa+KQAf5bqtZPRjGnp9KnJnOhu+pa4+
at47F4Pq1fbrC51BatubwUwTkq1vbdHBgCUVkvGephDzJzllB7Nj6KRJIGUN7RGUPymfaOC2m/ip
7EAM3KzCufxs555yEJJSJP7n5SAjCM2Zln6db9CrOOucr3MvXo7AYDkM/yRu/ne+UmJBf+d5+/cn
EJdpschcJHj+/gULWlZTzjj5e/xBT/O7/d58Gu/NTd+rR0Lv5YOR/5M6sf9SpMifaJmkdJbMEEel
/MufqBFYEMeTcI/FJqR5RiUdSc90us/GhM4PbtL1uZ0a0mNWlMXfLXfutmCGs1/kI0cQgfBmdmWq
cd8JyY16O4c2z3BaXaS5h6JgvKmu9p5hafCoA3YEmotWZz8jFTO1h7GpmotdtNnJK+fxyE2G8wk5
ZeVJ/9aPs78nihkhNhQQARyr2U1Kk2KlXuMDE1h4VDrMj0Pj+nv4oMZLkej2ghUqIws+AD3KAcuc
0ezrpxhSErG2JM1wUox6k45J++pE9nJ+FSJ/+9+V9P8PW0//x3j3Kf5s/6FWz6/8m1YvfwtcH4+o
xCtKvBvoyR++U5uAmkmA2bYhd/1JqyfCLXzp8wsAq9DEu8j7f2j11m8B3xXc+RJAiOt5/5I7X1rL
He/PxmpyWyTgoGjw25EfsP9yBzQLM41CY5r3heUgW+cI4iVnE1hN2mjcHkSeG3pvfE3NfKNaL+Hb
oDI6oKOppTcMwwWm9bBuhidt6sCmZIDW8S43ijt/7Jf9ZtzdQBTQtGRVBKvxN+E+mPLkENOSdOYH
KjbkYfRBB9gc7yaUyfHiVWZ7riFZJg8uJiZKvjw7Tph3U4lpVUoltmlc5TdYwe6EZWua2C/K2Rbb
sTHLYF9JRiYQawlmNVwpLJz9NPUPZkA90AGQRHoberc50LIg6ZMYy3eydGOw7kMLG6NaYBO+CpeV
t90/S+WBW4DRTaWgphJir91apmsyq1jdNEzpnet4Ay5au5HVjpZWpwJlGCb3SWexu6AK3Sk2kaxn
Cg8yABgopiMyAPu6UB7ShWpzcED7l9uwdRLOWE97lNTGpfGB9TQI0Nan5FKFrEUb1IWLEhicV21V
yeQ8UoUwb/x86hBwbNl6uDTpmWOzGfrvka76b7nItMN6o6t+CvI+v2JHGsaaq3MNrCyZADpTRUAF
V6CaVQ+nFBG5HrODZQh9NWYDMAu59N/tIgarl6VxlG+nRhvvqnEmYxM2VBztHehTV0O4KC7CiXLM
Gwo9DyzFkD9Xdj5w3+jMrl2zgqDxEI6I9curzWBZJVj5t1l2drjrjQYMcshQtU+SNkFCqFkM0Bqb
zRTehEZwtqiE2Vk1RlTRqsWgZ9TXeEDBsruqucWpb943JLQNyHFpoTe56/pbqH31p6m68d4cUrtf
s9oXa45pYCwk1LeUOtNoNNaY0hKmmtU8gVvpnKbaVa417eIoo8hsCqc7MyrBD6DAv451lbxR0cf2
yJ59bram779zzZifrGocr2WExdHpMJFkVqAfUotTP8/oY3LqJrvr6ZfZ9fxerMPA7oYWfiallnp1
pzQX+6TY6rkF6Q3X9s5AEFsctuHJsrrqIIo42JW2V7KQj4vX1sL/Rw3Ki2ezBMLnDvYmoKpmOHOT
4JPPxmrCloZrKhiA3iYLVkb3pr9J/ESdyfSbmxBp76WOSmpI+n482R2Ik1jOw7oBYTOtvKkN1lbh
8PpnIoyulmvNj7YYMFqVqF981u19LVJZb2Iub798YO2PIP3EJu1d62mO9PyKydY75HJB/uq0kXAO
xrp8zZko3hw6NV6zqoMQFLfpqwSfTjdqf3AgOT6kJlPlWmWddyUt3nxr6Al5LAvH+tRB6FbrRsjg
SSQoUWWcJ+Y6LRhxVgFnSrYaUzvdantCGmb7+KnnlHKV2lDOixANmsGQZ5tWDwXpnlQ++Ci7HylX
+m1cuGG0oVQcPdKXeFRrkPrcgfMfUoXoVVVjCnDLhjs9pLLEVxaYaf1LAEJ6XT4Iz/Ys51+x1Lre
+NrMX2a0hcepGBejnTGsxrgr2jWbDM3fk6U7TFHf+mbbjBMwtMfS3QR5Ht4TpexPE2fELWRt87OI
s5Hd5DBOb1lQ5t1KcTQfbNJ/EWVHof0rayt8NYo8O0CKTHjP4CNwOvdMgbAN3Yi7YVR+eq3Dt59h
FgyAX+dXEzaoYD1QtlTX+OOFub3D8zcvXS91B4GRqi6IrfRqCJ+xjI0YvgUuRDvmAMweDlXXJ9Rc
KIZtzsizKa1+hg/tuw1abNwvt9Vcr2hkw5LuUUW39juhbpHIqfCsRrBBdBaopxTNeOt5gIQZ5ryz
7eXhLcod5xuaWXaiVTP8MLR6MutivKRRT3a/Nqf0kRLArDhUGvgw7neBD9EGaMCtldpWWA3iaGFX
v3iZ393lTRZjQSXSSZHDGNxDS2ECS2cDeG6VO/Oj9lSkDyLpuicsNPlzTKneh0hhGgxDJM+sWk3I
vak+JVwkL7lgL5VkfYEbq4dZm2Vj8FCUE3TqanRPDFEGaQ1qIooVhLDEwErYecYObwVFW8QGmju+
CuLFi1X1GDUpl7Vu8E5Y+4rPkS6LT0yF/R62Aj+ztu32h9V1BGurRDwPVuJDHKNl3W9iH5JfW/8e
hZH+JD3MZT2y3c5fZwbbrNU86Pbg0W5DA1CXY+q0yl+hqtoMpZpKc7xpeKuY4qaNcJV7ZMVVXVKd
2buqWV7RyU7o9NJutetA9B9jbv2PhnQMkgGmX9S7ZMx43vp1wPYPt3u2aiy3sFaxHjT73ByBIAbc
e4u7qf9lD2RJH6wMzC6fOycbeHpK9muJkyJKQP9uiynlyd6q9rGsZBGsFXM6bsVUOusMkRT8aN/w
8Bq87F6pMdrJuKhOsUvfCFuNVPyQGBvVymAkBJVo28k5cCcd7IQYzBdP5skrz2yYTG1Sd+xSgmpg
xjTcc5779R7mXfASxGTBmOAxm9KbEpXrTPQLhjecaa8bVPkMPpSqKVxe6XluKC47x+Vkv0F19MYN
pshjojwawmgFrE7Dck/v6HO4jaYvTk4QZ7tQmcba8oGjztWsr3OpeEECDt2VIbvuzQ0aCqf9YX4z
devRbduURzX7eHkATt2CsHEusrWZIiZPeW+daMEjd9rmOuRGjhuy+KpRg+M4uc/DJnurAsu748LW
OPsQxQWrpArySzD1/rdgJoQyJt67SRZyP3n0W9O/zcc5cuZN0NbOMyj+7BjjywR+hTmChSwWyBf2
X325rWmc2rOhyL+VkalfBUcnPUCirc8BJt9t3M2muQLeOh7EmMcnOlj64zQZAPk7evDC0NglVKQ1
K4gfFCcmeviYxATRKsko/8HLmn3zKRf9spH5hzY0gX/h5hWsyc3hZ+gqKFxjum65GG3NOrEBvqvP
Mqn9g9Z8/Hvm/7PV+c/OFII8BvxsyaF+a+Gn7AenBQwjB58TKx1ccz8aquJsyqP8KeFj8taM5kiv
/TAfCOcMxdayrYS4djCMJyz7Qbqu4AhHW5yXznuguul7DaM+gZ2TsJfSecCpnhbEv8lZ1GG8jmIu
OlQkoPbyNkMqB0pPpVxf59+SxtO8iAE2y4k2Y7kPF6f1HPfZNf2yXweLE7uaDOPqYc4mxy2v0eLX
Tr6s29Xi4u4d3W+sL2t3vbi868XvDcLFPqSLBzytonYXmVSG5clgP2vnGC6QlZnAPpxO904VJqKI
qZ2tLlrWJAG9fLKMiyMwcOzWeBKvyu9qyHXWvSwS6x5UUwhbwNSP4WJZzxbzOmYEfOydxTMW+v3i
b5eNlpthMb33i/3dYv1yiWhxyraGWkzyBaGhu3bmsrhqGWde3S9D/fxlrhdTaXhnwOsd9vbW8zf2
4sSHyAqNlT6IWy3ZXG3snlvizmrKHKqZAWh65S6+fjbAwb0mTnKN5GL7J+gw2Rxi43xi+dC8K8/y
XnyoSBcvl8QGnHLwXpVXuY8cdmxtisaMv/EFNnfUIJZcob/CB0sMQS6BhDpziYnwc4oNWot/EvzF
fwXeUGB90RFU+Yz75rGkLzCBZL+EHnDNKPNQL1kIWy2xiCKv7ZJTc7KMTa/YvK8iPP6Y7VjfEAOL
IuLEvZLJFu+AK3AvOsYnJZPqqYzC2V533Nk3NXbAh1nm/beKAkv6oIapvOt9ycLc97o1RUJccSZn
MB985eXfFCpGR3gM4taDKmOT4t0GjPzGjR2SFIER0ndtDSP0LbOM2bqMNXtOvhEBaYZBBG8h5Ihw
NcgQt06G7xbNDbm9Ohm5Y0DvKicaOLzZelMKtXvfeaZP9xWKLyunKHmpDL+YHgtoTf2OjanzS0El
qmDTFu20C80OeCN+nIjiP9JF8UNnO4wceV6R5vFja+ahlweaZ9V04ztDNaVdqJHmdiosWk5/WPHD
oaW85DySOH/jWHJvXsXjIEnD4FwOU/c0TplCw8/nNz1H0iBkk4zA0mFdrVtqEnBbNB7o3f9d9eP/
saER5cBd8K7/2ND4/DP/hBlZfv7FzvjHr/wPO6MtAH8Gjsfv98Xj+QPvIwH/kIslE/vvydz/NDRa
AdwDhLTAdTBtMWz9p0higaBFUkE+ATNmLyrJv2Jo5Hf8q0jiurYF+BXVMFhoBn/RdZOMwclONWUN
ZnfzABkcim5kmkRc2AVGoX8CPeGxDiLoQNRxglyXqx3AE7goMxJBUBHs3A7e4tTILe0+KvA4MNLC
8kijJJaKPBvv2at4dyx35dEIA65g2PV/tCKsdqBYU9bN3M6/qwSQ1V1qkmIGVckTHaZg/NrVpbpr
qrZqNz22aVq4GfbOEjkRRrkmJDFG8KoPaUp7RBaRk+17h7GEVkrq5Od2OxHo9SlEe/cIuazdqgah
yctBsfwAafXAwZwQuJnrbF20DoZAVaUEPTBArUsea/NK5CPgasPxjXJdUrvxwGIB90TqMLFvYiNg
60v7Y7kf0aBeiOEQizD9mSS9pHupDtLw2ewSGH3CzADF8aiM75cOPbJWBsRMchp28tDl+fAKkCfJ
tvSxmOfRJAEx6OnemqyBMgKlf69Mcj/cQxEzVK7UA2scjAk4aYb1lFvua2jSO9/ZtvEcZ9J8NyqK
I1aeLYcjZFX9OISLg4Xm2h/+hNK0jrxx+cHJiwFUIZgEDc2t/PZQYV+8mHQUc1fGJ/Mdgqh7BI7g
tIw2puCH9AMMO/jZ9xl0iwdRBHS9cJhOG2QcboO+QftA5Hp4jSjsI09rYR6K8U5xiTxVRN5wDwgc
97T1ogkn9BHSA2yBZZnLS0F1FVFD8iafEeW3Jz1JfccHqk9DFs61QbZmwOWXY/6K22AzjKoi2GcN
PMMYx6VRJK81O+fNPBrNmXVQTiOXhEHjj80Dm1Moc0U1oRBp+4HsornN/TQ6sKCmLsTBFSMMOp4L
gPMf9BLOp9iJwmvFkHQ3pXxQ20rL711WjjvTHtUxq8gQF6X/3DSaZHpbrXHyxlcmJwQ1rp0vZNPC
XdT7zmdi9dOZHaOzjmz6lTw24Qha6o1YxbeCVMbKkiM3p2Z4pQEasBJdZ6WzlYGbPBWjPrRjeq25
T/UxpL16F8kZ5a3kCUI3IN6ZHvONW6J6QcYT2GwxYyTPfA/knbIK74YdzqPMoxvTU0530LuSJtfJ
Lq2yTWVbtk+hmEd7Uz3aRbSCrD49CbJKh4zP1L3Jy0euFbs/j60gwfxgk5kuKs/5N+bOrLt1JLvS
f8XLz0YujBHAgx+aBDiJkihq1guWpCsF5nn+9f0xM9t1K11V7Wq77dJDrrwr85IiGECcOGfvbz9B
nLRvnNy1dgaeLYnxCAR6KMf4m7DCatOMuD4QOoXtB5hCdbkpXe9BFka1TjqqvpUS+HhXrJP5FNlx
dGfD3fQvKgWDdA00INVUK9OfOxWfJ5KVaPHMUY46RgyvVZxUN3FMuuOsF84NjMKYNCdrWHilrPaB
Xhlnz2QQ5i615dG+dYYH15vMxz6X405ABfrwsjh/mDsUTAiHEvuD9R1/M8O2rJXrGCh3itmM3o0w
s4lzgHlFE5jx+m1i412f9dx0VlaSW/UmJYt9OxIUA0uQLLZtBd75NqJofRhyUx3CxjHv07y1jmBi
0HtwUcQJQbcB/Uog70I3qextr/fqdhkT425olNgmY9wdCY7JPxOWMN9qaJlPbdl2xyxtLfI+l3rn
Iiy6MpLMvSmKnFgUcIoczaUV6lcirEhJqEd15RhDcqRNl4L3cOj6oe1Cf6QxCia+Q2QaiChD3oCf
z+/cRuln25zoAzH0tKJDtYzyUWW5bhFYOzefI4c87CE6wXY6818CyGp6a+4hqWfCpN2kJHgOgxlx
pFqZbi/moDZIYzc6WGj7aH8XN3rSIHk0MHz7lTWBFfE6YzcR43UnEuboDjdu0KJ52jb8Y2WMS3Hf
Dha+TFD4hP16twOJHtfplGPwsrz4GltUujHMcjnUgLuvlMjNnQRN8JEu9COHwaFqK8JuS/dLXrWk
cTCbVuIYejVDI+bJa55FxRUtjmRZl04/BjLPP0BBlwFcTFqvRIA/I0nYCLd/TgQnS259YkVwt0S1
iSIMkNoPu8SR3VYyEC3REhHK1fVQalTMQBhjza63Tu/Y+8KIbzmRSp9Rg3ZnaIXczcAm9koLDxeB
BcAVMemocbX5BTc5XYoQrtydGTJY8ZXS0CrC9FqK7AGt5LTJSVzZ4I18yXRaQqS/G8iD4o9EG8bs
YDKKpJvk9ak/Knv0Vnq/TJsutIezMdjJ9TRoFZS6qrtpTBMdk/PWT9WOkAgyl1oOnO3U9ut8nowb
tzSPht0tLkhtIOUr0XDqJ/OrxLJK2MqVaRUuCrdqmcF7OWG2jSOdf+1LO9/WVnJo0hDlfejQmPaX
SEdEaLjdnK/iciRyt8ne8znLDyIT/auFgAzWczTH18lM7jxIA3xKhUUuR91x0l3q0WXobnMukMPU
X+W0r3NCMhqgrzMd4aXXrC9Y2kMcsMUDJberLqKY0VS2rsY+xmNZtewDsdmWpPCg0yAJNEvEZ1HS
tGDOOd7GaURHr4BZJHEgrDyvJzfGMq/h8t7ysWgaKmdOHqxWr9EWet2Ib5lZx1MYRj88lvvr4gif
sufaifADpG19MXqF9RnJVkzWk5NbsDwp9wsLHAUzKaDrQ7y8aqrWA0XL/MAsgsMBRTxGgLGb15bX
AFxyU+ejZbLypnjjlTKYyLoeTpA81yRDmap5LCUuKCWyIGsl/Lgm709VEqqny3xgm2PL/GZKnCGa
tKsN7XOHvPQMG+su61SzGwvAbquhaio8DcWgIxG0ixN7wLjts3S4cR13ORBfYT/FC5OFqdWmQ226
SJbqWt9XudOxIUnnuEBqQ0pixpdcG66V43XLJ/IMfcdxqPUtZwk3MIcHhBSGs0XMskUs+kirhiOL
Qw6yM9brCuqr2Tq+1Dm+ueg/sM7nCNzG5suygUU5JUsxnURg6gJ0eF34eTfmvi00X5jznYai8FCW
9AXSanYAB4blu8PzbN3alBROm8NQdwt9U3XA6c3F7FZJg/EeNL9xVAQ2bfKqDa+By9C6wcCzqdAI
c/Bv0DAQLqOG/so052/DaGlhAtHTJ0wlgnjFDEURrgp6kJRaNx4ElE0BOeqqW1S01chZu6BZGVo0
xvDQhU33ONt9tp7iadiMBsMbBaJBYochzkkkfjhM5IKPygrSS8wsWhtvQ69xitaWNb3yl4ZjnMvl
g/yXKQgxvm/sSBVHvUqtixyGUGJb9OTQgpCSmypK7cBBY7grYjs6kDAo76qBvTzsK/2KFPP01nRk
djOTUHuH48mlf1KkR2Q3KUwAOgQn7lC0SMRrNUfOIfldoUzna9GBPtsE+t5ak2ncOL0pgAJnzpcX
hR6pnt6FiR/F91ZT1+jnhT2uoJLFr5qRd9c8NrN9vaSjj1LlE8mKt5NFkvnKTvqbzjbcV9vuiF1j
Zsiclo2eushKcOXMNXGqTM/ifZkrsnQjp5p5epBoqBY0Oxnz5Z3XSLHXHDmfQ4AQCwPD/lDGMvQL
BL0HPEjz04gZ4nbKo5dSyPCkw2h7HXW33lmyiqHYW4AiqcFnldQbGQsjyBvI0nNklDeNTNjpqlDB
dbRQZiPW9HtPYDnKU+cZdg1O+9iFlt3zwKN+LF+iInbemG2kB9TjLOCmtY+u0cG7XlRPn76NVXTH
6AAORi96ODLL9Bky6CHtmn0vdE3eeW4v0lb28YlgvKtS1o+iG9Szq4VUmbnQ/Z6CCB3tfiE1Jvcu
IbJ59j4NQJDYUVFEW5S8vu70MPx1zdexpDIRvAQ5V+NnHI/9Q4ow/pA048yyHoa9BcYd+VWfBWab
6v6Up+FujNy1p19GHnWW7GX2Awk2iCC3gr1Q8lKUsMSWj1nzOWvRfJUNQjEqjLN0Y4644kLyWQP4
ZuWmWEYunz3atxrUzy2ZVM1p7OlORaKsPnQWzE2fGsM+MbH8x0zgVhx9KCdqD/26nLvrnBHCelLx
fB+GcUu9kGTvjCMXPkqVBXmxRJ8cxkzgMo3hg7u2V4PX1Y94r8czTlRau3g5jNdCltpbLr1+U8d6
tXMmUDZkIGSVB54o59DTucapcfGrhgMTVDct8/XgeenGBXPHGHssxcJJbojXVcv3RVpV+jIX08jK
GsW21AqyPcP+2qKZKMA3yBJAiuhhXQyx++1R8A+dd5wKj9evuvU0FDSqkUtRnuqHVDQ6PNL8qx6n
3aigql+wJsIY4lPMlrhKs2ImdkiqzWw39R7lX7cn6697xX4/vC+DgbCMpJMnJKvescQs8KlRM4GV
6ot+PaDgQxqk7AB3gry2lqw6QtbKX6Ub9tRGjrMvdUra3tJwUXvzpAUGHmFMNYsDEL8g7eNYk1vJ
cCQGbY470GFAgheLUr90N2GTuFiTZmET0MAwZSZR880TmkDcTtzRU0WJdEmy8G6wAmYvNYLL7RzB
WBKmNb0L2rXsHWlhnLL+0oqzi+VOadpwSJ1lutPadiTdb0yHNf4LMwjRKe8XOhVnL/eadzWH8Ran
ePVSsb/xiG+tvZztPCCSsblmTKcTfIp4KeiRLuAHr8u7zmGIdVGFNl/6ooYHjUBOuWoHu70WiNGD
sScufkWkpPuatdbF52J+x2nhHYDkh9g45tg6oUnU0clb8RMPDvpwettHfqU5/fUkF/PQhCYAgHnO
X3o0tp8gBLNTwe1OolxW3oTN4NxkOJIZolzcI2VEx5UIRrM9pZg/bymuk+oiup53TWLyqKnZRM+q
rAkUI/Mv21cid7epsTT3SUUNC12GAWJO6o7vcYo5kkqP4SMr2kdBqgDBuVKSA52qJztx4y0DeMsl
OXJI9mMhTEY9+DNzyrMDRJ7xZVis4cGjCr3rzZHdZEmspxya18EbjORDyZ69KByXG2dx8CWkla6O
KM2M66Id6lVkQFF0kszZ69UAPwoFqAnRIxHO+2BrESSY1NLfsY6mNc2DZXpmhibptSReS+Ohs/U6
UF7ZX2lYGwKrdDnt1uQ5b6DdQH3AZfYaTSEhArJGsl/ZHAxc9JCza5a3SI5cRmSppFEOwMboB8fH
j5/f4FGlxEq6FsGyTOLhBfOY8B09iW5DKHPbBmOHXOFvEK9El2oUDYx+OqIMrgjapuqME1mutN6u
A1mHySmBbMlX675jmOMJhh92oWm10WfO4HwOY20S1zzQYxYhPq8V5oG0vbCLrFsj51syOvLSGi3L
H61Mh5rIVHAIcIWID2hOER6thHLJS4UAf6HVObgpg5DANYHjaz415a0mpvs4TLLrmHDItWNOBEZM
NjTI/97+7z+g+k3aF6Y5dBzTvgBgiUrF4v3Xm7x/mef+T/8LwLv//lcotn/xLX7rBpMthhjUxAVo
Ow4DAQOZ7e+w9wvQ1nAAMUKY/11K9xPQFmP7JXGMLo6NjelPkjkds7wteD0+zuUl/67UMcP6Yzf4
ApBE7MA0ELgKWxd6vp9VvixtOnJAI/C5PvZzee09GBu1QZ9MUNMlqf6Cat3o7dl6LJin9usleWzr
GFj0M+l5fsyN4w42hvf8zQtB60W7KMeOrG0wzWwHDhphm+8j92OeAElUCnRK/NyPbygVAm3GqKUv
95cm02jOtxaQHks7VO53Az1whyN7oBT/EeEeLJzjjNCsGK/Lpl+H4pvOyjptqFsRBxgCTiJePk83
boa88GfYhFk0b3ORwuCbiM5kTO9oW10kzSYxOsUkNLuZorfC45xbjB+6Vzy2nX6X1wsCcCVdhjVz
FbRI4+zis8tuhUtuYQ8TB58FcikCRDNmwMQxjtI8QSO7VxmQPKvhaWDuLsPoFKAMdJqjNZFg0VbV
bdujW6gVPW2IvyLRT3hxSURPEowq5ZeDbIr2s/2q81jhawqGUgWgRFZJOG7sNmXvn9dNR1q1aHza
QtdW3J06Yd0YofWZSnGaSn5XxocO/RyTjIuZ6dXCkdkLFIEzCPRslA1C5iuBgwpEX3xSecUGyUlk
ZbvxTQ2QPJmuf7pt/pIe2vijIPpy3+lS16UBzlkiIf/ztQXwoAXIiFx8WvJH+kHl2rbb0zQ4u4gB
uGOSVZJJcaDVss2qW4TsW8ewryAU9v6sI//O20srLvT2Is52qaYzfB83TQKrqg+tkzWU5Gk495bt
4LhIWr9GN1EXV3pvb5uquEL4ZjC5B9mHaX25c+hMgTkJGoN6hK8QMN633ThnJ32lvN4w3l7HxIaq
JCVJJlo3kI3r8ZIM0x7pgfsmHjzVaDvEj6fGaTaDZZ9m3TsKdqMJ/I434c2NuoekoqVtiO1C3WC8
CQfu8dIfmNTd6GSt4/pTbEdyilYeqxLOyaYa4P8W17LGiBg2K5qsH3k377JM36kRRWOvAfBN++W4
kKXmuuH7XDmbskAnzwuu8NegGzFm/Jn2s2mqm6R4MJvmuoFt0xrjQzG9LYkzXVXmfAnlNeQrkb84
nCIYSokVkCBMwglLZBT2Bn3Rrkauw4kPhFo+36oZZIQblmi6Oqu/qscaGdTy9reXiXkRqf8s2r2s
EviHFgJDog+8X41dP9GQ/xSNKcr0S2n9c8jlCxvjrW4iMgAajDLNmePrzdIPt6pt9sk4XRrCK4PG
ywa/CkZwL/HpzO2Zot9GJqHocXduXY+BTYcmIRq+K6f4v6xuum9/+L3BkwMF0XmAs8EY2Mn/fHW3
HI8qaqMwqGUjEZFYYAj4hZH1TT0lHmdkyHIR6naeixU2TA2nLCqj/p0kCeSD2zrKyLPTFmfV1CBF
KilZs8okDikmiSkh40JwWo+Hex6sWyubTnHS31ea8bhAjoBh/QP05n1uE5ZmuR3FZNOtsHjxxqIr
A7roPBoH81vvkdqortOQ6uOnTxboj1k1nqNhOKFTvKoEtW0sCiD5ISk2wnur5WKssH48CCO7HVCX
4WypvsEmRYFjVQ9jp317ZBWv3Vh8Y6u5J7H1JV/o5A4tzizju8qQ2NA08Ap+A1XvOQgTO+cx+3ae
UB1v8cF7K9l8jJG2n7F2l/kYtAbuyJGg4GhNzuBzUQEZw8pno9yj7XSNcfLUduwelY42xPV2mgET
Lurp1dJjQdDIc9x+WdL6UcXTbY/d1h963ORat7NoX9dK3zl1ce9E405Hy1J0yWeoV/dZ1B16Ey4i
fr4mccgick+q0PdlNZ5GG9dv5t7nholuNxc+NpXAA4gSgwZUkb7hqz/qBhxtkpDhzj5jAd4NEtaC
hFyH0rY8duEStDMKchTCmaTL3b4ky/0FvE6v3I/6K69K93Stn0klwEB1ib8lhmpTY+p00yWIUGTj
Zu6+04hTcCdOPV1V4G+vdU4IBHC4Ymea2a/ZfDXEF9k9J7m8Kxk6rTTA5gWiWaSkA0iEhCgwGyAB
5xk3R0njPdtthvyk/AElfAN2GSJIGR4L5pQrbyhPXZ3uQOttEhKwOeKeU5Vc2eY8+hj2VjX9Lyy1
Bn+/8ynaNxjT/FC1BTvTS2KOO2uadnlPSkhaxIgaO0reqHhRrXOcGusp69xy5YgXZ6kfJiITA1b1
vg7l92JaV2EfcQ7DPMpkWV3N8NzQRDFrJMgrCxx7OWJ7WkGRvMUD2Wxlo7/b7ULvYmzOpTW/pzVz
TfAML3pmRegFOYLHhFw0dvc4LO5hkGAHLD0OtHSfgoCABVQg/5nWZpQ8gHh76c3+Sp+mj3xC2K8V
0DIya6eNCOR0/ZQL5UOceKIPuXKbdN3Y3ln02rVKXznuoAsk7RpMYjvEdxbg05nVbiOsXWJwr1yx
afJQdFz6dvG27DBwGvU51D6GlBbBor9NxH0qc9oYvfeZ0P+n74ctwXHOofeVS7YML7C1m8a9qejB
WbdFf6ajfGq03O8tVCzWeZhhOyfuYz61SLZRe+E4J3eOdi8CueQrjWeQAQjJ2xfpPYwOkLLJXlkZ
/YnIN8zXXt1LhZnYbVaufYfeGYQYoSS9yXLRGNKfsfdUq2g56pgJOGgDqp53sbD3sCocjt3przRj
wf5wa4yf9Jlpb1gvHdhsMXNfp+aL650Yb0Iiu9MVLgaelaTPm+m6J4xMxR8jjKC8/56Scp1X3sdk
WdnGG9oPrRK7uFE7ZE4/hhHtS+9FyHlKj+DRVNF7Hn0UeKvOK919wix8hem3JdMzf4pnTQWTOds/
tMY0mFQD9LCkuxnL5Qrq80OkaukvifHgpdprOc/PZbo8kGB+WsJOQkJp4rVVWGTtdGkWMCsoGKMV
vT+MxWfZL1t3kbsOCxJoT4RyMBGoq6Z7xkBkpOtVMCJRynHldmjFeobiYgyZ6TI5XIT8yIfhANbm
y537BxjWpOEmJpKGWfklOl4yafI0COXFYgcDOhm6h8xaKO3obiz2sayQS+skyRhb1YkDs2zfKJtr
stF4+kKNqB2SALstpnvTt9EUb6A+4qwcGcUBYIkBejcafXKvQ9Cvzat/iZbQzGRPmVY53illALCi
AkOsl78AT2PUWTIJUm14tiLjwLWJA2TkAOEq8gFKKeGeFz2IQQ2cE260+/+q8+g/5EkTiwtJXJ4J
tI+DGyL3n2qhfxeoeXz/AR3tZy0RQSj//gV+VxWR/wXVzELoh48KPRBl1O/nSPMXBD065bVn8y/m
n0RFlvxFl0z1dOu3gOqLKYvOeBf96z9bJm4tSd1P4xqbpkPV9XdQ0pgE/VkxBAzepsLHgMgH/vn4
aGddCZm6i3bZKPOLl9YDXFbRyFy7Fd2rlQXt/0pqhUuTsWkPOpCtA3mP1CSD6AAMV+zRq8KdndxH
gAJhhIjmm9Zz5yfYth60JYC86AvSnMImZvme8ypp72Sq29NaJjm2W0tCAqMwZXTarCnIwqC19JAc
pqQ21cfgMgIFYFva11B/rAPI9vF9COfig3mJ0zJrTSp0IkVD4JIT4xHNhlbou3EW4q2ZU5wrVulN
83bG+QOpC+FOTXKtxrG3nlEm+n1lAPdKXBHfTZV01DpZmvrBkX1+j7BxAvrdDyGQzEa8mnOak8ts
zBo9YJO+ZpMsWbbh6RVd4pEi/bVOmEkgWtZ49HhpJ89TEQ/sllhhPxOHaZyX5PbB6JU6o/4ugguD
4B60Qf+soz04kT6an2VOcIjW2d4OffSyvRC5mNIz/jgOGObAyeBtsJADIUnAcL4ZiPzkyWX20aeH
mSvaaVkbeUFmioETRjouV5UmrO+RUdW9DhD1Kx7zHOmqqurXxUztW0anpN5EbcLwLLcT9SjtjFTU
vs+7U1R5pJISIscjbSLJBgPbPGzTDI4XaTDD+IjDT3vimYTrnl6s/gj4KZpxyNVzGsQ4tk+uiMyP
xBhriLZuvTbMjmf+pKv2RAfg0uOk+yuDvEIzieq7OyYFhKIVh5hiJ3FltHs7B6IEXLTo3nLoYw0k
kb79Unk4PThDSYXUMttic+g0dy3D3r0uq0YQIFkWWeZ3nm1u0zppvVsoqlmN5ziB7ofy2Y4IbshK
dAmLnOIVMZ2lHSQDzO8NRiP5VWBqoeGR1USRE89YLYGozcxYa16elExBwf5j9I9edBPaLDvIBI/c
mTgsctfM7Cljlo/IfCRFLBeWHkaMe5zrN4BiWVu8EfgsaKpnx4jqhqsv1Au6k/CbEZqcD01mhl8g
7bqdm9S98UkyHPpoZrUGB4k8ZEzJe3XlBkl+BF4vM40ju2rBqBBDwR43RPvZi2gKtKbqC1+Pc/7c
mq12NLS4TIOhJ8/ILpclOaFiFaTaTiHUu3HOH2sULj9mkOqvQD6Jg25gJFagTEDyG/DmNomupTZ0
/mLcV5HEQBNRuMLe1rCG+kCtMnetlykeHvoU/Wb2GGBRdMzulzc0gqSz1oNALzMHIuLUyTu9D9v9
IIYWRmres/tmXvvhNU77nCSRfmNPy7JhGNaVPowZwdS78Ya7iyr5eWwczl3OCKltwZpMmLgOyNRN
KthBQzgEdNUZNpIhQRAAQgGuRV4ijqZNWz3PeZteFUbqRLRyRGvRprFLMoEV+H86MgvGwwJ2FNaZ
EmQtGnFmbVKgGimHTw8BJFaWpJcciOYFaw/M8zNk8giVR1hWYZA587StleZsjSrT97JKaRuYfI2v
jZcuPyg5FFPxTueIkXfadS8jde1h6YPVVNryPOZVfD8MGjBVJnPGXh/FsrPbsDnH7gigA1QHrKex
0HxV9sXLJZQ1GBbSLtowDB+6nkfOGm3YsknSkfOp41XUy52Or2Sx3eQNIEJ5m2SNE7Q17g3gFdO+
D5vlx2V44q7niHCLbZpSaNFrmvnuiemLLKoPVb0S9pi+So6448FDi1bSwJYNtYbePfLtoInTZ2Xc
ckxt1wMOkvmgORMzoBESOT5YVEd+GGukreitNVas1aT8gIgiHjqbgSrY4t4z0RnWyZtR2tWLU4+c
M+u6uUSG9DZOXhsKT7Qu0wQsdydhhmzNSq+e2sRI0rPpAv7nK7F46CgdDpqlQbm4ipIZkNnA5V8C
FJ7aBHFkHrCHZCOlYaPPLXj+umquMZ0RgofEYk59qUzvpqll9jFFKvqOtKb0q1ZHp4fjk0FbZrHd
yCx1twn9V1D6qpRBOBsUgqqQMQIdNGK+VtbTwR5qekXWHGaHfhzg+ztDlrfrrOxKNFYm80pDgWMa
3HA6jVVtLb42a+l2yCN9b3RE5XIkzez1hBJj2tQk0R+txoBWY5adtdMJq9gO022DW1+tIhLPiVRs
h4XM96oK+jwvnJVe2zo50yJPPmSdFvDnratxYpS8gv/I3wKbUt9VqKuerQwSIzAIRGRq7jhhMFEG
TVMC5fEVAfAHbhunfM4hABJ40bU7KWiOQIxB+YB9FuAbYSkip35Ia89eRYWXHSJrBAICIA8ZV9yG
jk6UA8pRPoG2bQwMjtOdaZSgFHXAwxm7ARs1JPyMcv1KLeWFYBO6dHHb7syIdvi22Xy2lupAXHni
XTaj8BdyI3YLXqSd2bXtozU51g4hjuTWzdDjMxu2v+qYHgxA58E79Qbk1TQb+2kNnaM6GBxw4drF
PTA3tHorC9dv4wMrmI6LVYNIVKXue0MI6dLhQR4kY0EygjEx5VvbrqHhgxJGmK4jKDvbNpm9ZLXE
dbpfYlKyifrMDhNL7ei6HcYtL7av6Oe4NWkFffvisc781incT4GIpbg0QepbO8/cM1QiHNldVxgY
dkP0nJNm/vBYMH7YGsVdnTABr7MltgMsLfZOd7rqUS8I+hp7vv7Sq8nO4TCV05hPF+CIQunIVhN5
UxBi8mnEHRlwKJjKtWi6CuyyR7hmV3cPtUnO5KSM6iQ6MV0XUE/JqkwTddM6rWS0J6Pt6Pzas8RP
0lFzmfItX6xkXtOUnx6FHSM9djCifIVRHREjp1lHaDDIubKcu3A1IoBjAyV16XWwZxnIoXY5dFmo
mWo9VK9Sx6W+UvEwvWki0t7S3maQkXQJ+XXEZmwjt5K3l4bkwZvG9JvftzlJ1aIRXXqkQks1t5Rn
CGMRSjVu94AhJKe70o4O3h0Vu3SaSIm7c1XjbsgEGp8W0CkbSc/m3TMFpQae+xGZdxvSbEMAVDQM
Bi215asaj4biLOnLOGzu4sYSNeXLZUbRLRlPKrOcuiyocBHHMEO1vtz2Hc7xfdV0uvJRtIpskxmR
ccM8gVavHAe1MlvwMpt4yC+S6sZVFjKKxr1ihrHk69Ke2o7jqkcb1SX6FG2nWZNhGs5j8zp2cZP4
DSo+eiRLFl4jXbNKnxF5tGeFeKgkmdGgy5ZsaqPjGggqJNe/dXFurcg06HcmQTtPth3VZzqhbbpq
OA+dk9lGqW0MOEtNXV7FrePeGlOvf8VMqLMVq6AwA/bdi37V7Jnzpoxt74FPxiRzzJQEq7FpoyJQ
8YJEx9A4wpxcJx/IEx8ceyczs0QEntpMlrKhcOnPs1UM12aMaQ21R67UevJKuRXY6M5ZZla1v3ij
S3/Gy+zvJEfA7xckxD96jjaT9qHpP1w363t8uEgISMeDS0+xiiAJqXU9VcRYJQQ9tV0EmjhT3yb8
4nO3QEKavcrAShC35DAwQwkWWTZ3vQslrwGkdDSK1hWbmaot8e3JMAMvQkDp6n1KS0S04bs31uZZ
LygxAqpeT1s3uedkwVSJCbCCyrTvrM8XarS+2XsICQjdGTD0a2ExBY20uE1s9mWfld0bQZ3o5bvl
1ZV5YpCcBeEAFZI/TadSz4h7KKpyNFd61YTRilVlrslSi054Su29lbrqNsVu0FzMmdLgBGTSz2qs
ETCG5CXVYxLb/E4GCsSnapQukxZSc79LCFVnsslQw2Vg4H2cmz1CWW0hLXbiS24mZDxW0wUihMK6
RusNnnpWGPZVgeirX3TWYkW7d+XoqnqPMq25SqcFR/hkQLnUOgJCZluG8zbUUMJe41TRHgZt4FXc
CMevQi/JkYwz54WL2YeHkjX9OWfepfNrG+rMzl2R/mXG3hVDjAKIqk5m8DSV1lbXEL4OtUw2kj0k
UI1ZB3SB02lVJOhM7IT4Lk2nm+uVmEv6ue2v+aXtA1lf+gt1QB1AsicJyogtjZsmK7Eao6uje1rT
mKGT609J2p9Lm+nNKrcg86zCGjwRgQjxHaSLLDAqD1CR43rO1UVhHlDBhYEpwg/qVG+rc08GnOSR
G3qeejObvPuYdd2xVhr5ub6azRSRaCnv1GIAR+J0gH2i1LLtouX5eobd9jBN4Ym8BeOVMLjoDuwg
96U5SQZqwpkOLi6RnV1l6grXYMp1F/HBjTKPTrOMnW2Z6uZz3Sx0Hsu4FJcKHesPul7QcNK2L4Ej
KqGaTWP9w+ERs4spS4OUG6e9xqTSs4gsDscN81h6WHHSATFYsn1JsE68QvFdPpSKipcSTpyEmOx7
eykR8CCsPpUtMTAjiQ6kGCRieKi1ipYYT15zL5TrBpgnogduvfA1EibBfkiZIBV4CswamgpSrbJC
z2+Y+qFGDyNxGmxTNKsaVwHJMEJPrx3N6ncR2RM3sbmA9w6hhN02Wa1g5em55hMAJ/dhrmbAFn3S
3RPYET8S4TycwBk5n9y7xsnAkPJVE0i2abD8MFc1Z0bR2mgbz2ZXUtUbabJ3apFcMx7FtKQP9DLy
jucVSVaoUXs3T/ZZgXioL/J8G7o1PU1Pm/ZmJSowlfZ0pWV82FTyInTaC6LqOoVIycFa/9yw1UW8
GxA8ncm+H+tddk8Tz33ool7DZN1XwMQqhqybOk1AqVnmhLYZP8D6Urk4uDuj4sHIDQY+9pCcStv8
lhwGmSTWKeLUCXP9EZSVJKjWboIhTTFxA+oenwSbMt/lUiP/6oey+5ECvFr/C4fzrAoLK9tZM9HQ
qLinyWfeXmI6pRF+i6yHzmnmJTgK/qv6g/+/nYi/Z0RcunpB0cXdfNd/NfP5q+2z7t+yMi//9VTG
RfdQ/r/9T/+nKfeXX+ifvn595/9YQDPzyT9Tvfz6e/36S/+tl8ne+Wz9j69//WfT/UXQeaQ4Evqv
P8hosrJQv/9nshqISQD/5Rh4FfnBwcj7/XSZ/tqF+Nuf8bcr+rf/nz/7AJ+cW7vLN6HIuf+5u0pl
/h+7BH94hZ8uAV1TxwRea3DbXn7+cAm8X2j8ClqhF7vm/+AleP+Rx7DT266JP7ufLwGSavO374Xb
Q32V/7as/o51gFUVj6p+8aT+xYsgCJnFloDk6bcfms7/I+vgr14ECgLjj435v/dmMOxfJOg900Y7
9evPH1YCFwE3r4EB+LeL8NvK+++/Gf7qReAwov8Hb4c/vMafbgcLBZttGo5ncjl/fhQ4v8CNdAkZ
xtB8+fnH+/Qo8v6zn94Uv0CZuxio//Lz0OLi8NlB3v22Qv7hLoKFjJA5zn9uUxC/MO3636xdTW/b
MAz9K8YOO8d1PjoMK7C2QNt1yYKtwM6sLdRK7KaQYwzer9+jYqZV4qSZpWNi+5GiRD3KFimcRRJv
GrkzI+IwauSrY848/38/OMFZtjyL8x6LzDKsVlUXER+6QXhl/3rLKXfZlw9MHM6NTLgb2a8EfOG4
ieW9NxeFB62c9vG2gfuiHVnSKvnzVitDJs0be6Fp1ZxRCYrGJtXcUDQ3lKnK+bIYj8Zcw/FwuLAd
BUfxq4pKgWHL8Hc/+d0ZhZwEi93rZASGYVG2FdtkfbW9JdPsFmtIRlxZwRtZl5TmVHRaejhIEGr5
ivhGOFQ8+kjly+fonlB+XzsWArPwrOor5Z7MM0LUJQmUHe4bfvTGxjgtdoCH/NnaF/g7Laucsj9K
vQiYVXvyiXeY+qJPKcubbh8CfoDR/iPTUF8UtV6EeDFAZ87rrE5zZUzjgI+TGMGJr1nm9fOCHgXH
ar2JIHyBf9KC8PqMnFCdd8wHsMgvvVxqZ8JKBuejAH34QKUuohll9VuLJGfjMaJdX4vYc/O6ppaW
sH3xf6tqHV0qVLIpRFnuT2wtiQNoPyVM5piw1sYZ4+3Kw1f3m3oBdGdNM0Ege5YE4IublaMx46L2
uZioP72BlbeJIzOdrh7JRHcVSglllYCz/bFciOMQo/4rqvwdpie8ZkVN9xATpf67Mm44AOjBBPGw
NKu/zR5QyrB2R1ALHsB7u1N8RGnuCysLaTnyX/+GzAhuhq4WpBYdOUFJADNNuTpg7UYGA2Q6IaVI
BPZXfaqeEONQ43gFLMPwAYLJa1XkWrR8NcswgMcdTNTaaD8MwIdXfKypfiLjhtnWOiGc+CrPab3W
1Z6E9uTVAP1reeb4+aye64V3a8p74r9bkM0T/9Qdmp5iuuejPimHRxXpWm9uX9Dur0LlxWvXY+4S
m+9IC0Xm4h8AAAD//w==</cx:binary>
              </cx:geoCache>
            </cx:geography>
          </cx:layoutPr>
        </cx:series>
      </cx:plotAreaRegion>
    </cx:plotArea>
  </cx:chart>
  <cx: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00000000-F0D7-4C69-A3D5-64B9650528B3}">
          <cx:dataLabels>
            <cx:visibility seriesName="0" categoryName="1" value="1"/>
            <cx:separator>
</cx:separator>
          </cx:dataLabels>
          <cx:dataId val="0"/>
          <cx:layoutPr>
            <cx:parentLabelLayout val="overlapping"/>
          </cx:layoutPr>
        </cx:series>
      </cx:plotAreaRegion>
    </cx:plotArea>
  </cx:chart>
</cx: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9">
  <a:schemeClr val="accent6"/>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9">
  <a:schemeClr val="accent6"/>
</cs:colorStyle>
</file>

<file path=xl/charts/colors16.xml><?xml version="1.0" encoding="utf-8"?>
<cs:colorStyle xmlns:cs="http://schemas.microsoft.com/office/drawing/2012/chartStyle" xmlns:a="http://schemas.openxmlformats.org/drawingml/2006/main" meth="withinLinear" id="15">
  <a:schemeClr val="accent2"/>
</cs:colorStyle>
</file>

<file path=xl/charts/colors17.xml><?xml version="1.0" encoding="utf-8"?>
<cs:colorStyle xmlns:cs="http://schemas.microsoft.com/office/drawing/2012/chartStyle" xmlns:a="http://schemas.openxmlformats.org/drawingml/2006/main" meth="withinLinear" id="15">
  <a:schemeClr val="accent2"/>
</cs:colorStyle>
</file>

<file path=xl/charts/colors18.xml><?xml version="1.0" encoding="utf-8"?>
<cs:colorStyle xmlns:cs="http://schemas.microsoft.com/office/drawing/2012/chartStyle" xmlns:a="http://schemas.openxmlformats.org/drawingml/2006/main" meth="withinLinear" id="14">
  <a:schemeClr val="accent1"/>
</cs:colorStyle>
</file>

<file path=xl/charts/colors1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10" Type="http://schemas.microsoft.com/office/2014/relationships/chartEx" Target="../charts/chartEx2.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13" Type="http://schemas.openxmlformats.org/officeDocument/2006/relationships/chart" Target="../charts/chart13.xml"/><Relationship Id="rId3" Type="http://schemas.openxmlformats.org/officeDocument/2006/relationships/image" Target="../media/image3.png"/><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microsoft.com/office/2014/relationships/chartEx" Target="../charts/chartEx4.xml"/><Relationship Id="rId5" Type="http://schemas.openxmlformats.org/officeDocument/2006/relationships/image" Target="../media/image5.png"/><Relationship Id="rId15" Type="http://schemas.openxmlformats.org/officeDocument/2006/relationships/chart" Target="../charts/chart15.xml"/><Relationship Id="rId10" Type="http://schemas.openxmlformats.org/officeDocument/2006/relationships/chart" Target="../charts/chart11.xml"/><Relationship Id="rId4" Type="http://schemas.openxmlformats.org/officeDocument/2006/relationships/image" Target="../media/image4.svg"/><Relationship Id="rId9" Type="http://schemas.microsoft.com/office/2014/relationships/chartEx" Target="../charts/chartEx3.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18</xdr:row>
      <xdr:rowOff>137584</xdr:rowOff>
    </xdr:from>
    <xdr:to>
      <xdr:col>1</xdr:col>
      <xdr:colOff>861706</xdr:colOff>
      <xdr:row>23</xdr:row>
      <xdr:rowOff>148168</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91E7BA30-27B2-89B1-CE53-F93B50DFC726}"/>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3403298"/>
              <a:ext cx="1777920" cy="9177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30</xdr:row>
      <xdr:rowOff>21167</xdr:rowOff>
    </xdr:from>
    <xdr:to>
      <xdr:col>2</xdr:col>
      <xdr:colOff>827</xdr:colOff>
      <xdr:row>37</xdr:row>
      <xdr:rowOff>116417</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0574DCFA-37D0-41D8-C7C0-15B97368B9A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0" y="5464024"/>
              <a:ext cx="1833256" cy="1365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23284</xdr:colOff>
      <xdr:row>18</xdr:row>
      <xdr:rowOff>156633</xdr:rowOff>
    </xdr:from>
    <xdr:to>
      <xdr:col>3</xdr:col>
      <xdr:colOff>576284</xdr:colOff>
      <xdr:row>32</xdr:row>
      <xdr:rowOff>102659</xdr:rowOff>
    </xdr:to>
    <mc:AlternateContent xmlns:mc="http://schemas.openxmlformats.org/markup-compatibility/2006" xmlns:a14="http://schemas.microsoft.com/office/drawing/2010/main">
      <mc:Choice Requires="a14">
        <xdr:graphicFrame macro="">
          <xdr:nvGraphicFramePr>
            <xdr:cNvPr id="4" name="SubCategory">
              <a:extLst>
                <a:ext uri="{FF2B5EF4-FFF2-40B4-BE49-F238E27FC236}">
                  <a16:creationId xmlns:a16="http://schemas.microsoft.com/office/drawing/2014/main" id="{00A2AD25-BF42-B287-A17B-2C386EE342C7}"/>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973108" y="3518398"/>
              <a:ext cx="1834277" cy="25607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76200</xdr:colOff>
      <xdr:row>33</xdr:row>
      <xdr:rowOff>134408</xdr:rowOff>
    </xdr:from>
    <xdr:to>
      <xdr:col>3</xdr:col>
      <xdr:colOff>641130</xdr:colOff>
      <xdr:row>47</xdr:row>
      <xdr:rowOff>84666</xdr:rowOff>
    </xdr:to>
    <mc:AlternateContent xmlns:mc="http://schemas.openxmlformats.org/markup-compatibility/2006">
      <mc:Choice xmlns:a14="http://schemas.microsoft.com/office/drawing/2010/main" Requires="a14">
        <xdr:graphicFrame macro="">
          <xdr:nvGraphicFramePr>
            <xdr:cNvPr id="5" name="Brand">
              <a:extLst>
                <a:ext uri="{FF2B5EF4-FFF2-40B4-BE49-F238E27FC236}">
                  <a16:creationId xmlns:a16="http://schemas.microsoft.com/office/drawing/2014/main" id="{EE30540E-8859-220F-2711-4082B8009138}"/>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dr:sp macro="" textlink="">
          <xdr:nvSpPr>
            <xdr:cNvPr id="0" name=""/>
            <xdr:cNvSpPr>
              <a:spLocks noTextEdit="1"/>
            </xdr:cNvSpPr>
          </xdr:nvSpPr>
          <xdr:spPr>
            <a:xfrm>
              <a:off x="1908629" y="6121551"/>
              <a:ext cx="1844001" cy="24902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203200</xdr:colOff>
      <xdr:row>1</xdr:row>
      <xdr:rowOff>76778</xdr:rowOff>
    </xdr:from>
    <xdr:to>
      <xdr:col>3</xdr:col>
      <xdr:colOff>2039957</xdr:colOff>
      <xdr:row>15</xdr:row>
      <xdr:rowOff>17993</xdr:rowOff>
    </xdr:to>
    <mc:AlternateContent xmlns:mc="http://schemas.openxmlformats.org/markup-compatibility/2006">
      <mc:Choice xmlns:a14="http://schemas.microsoft.com/office/drawing/2010/main" Requires="a14">
        <xdr:graphicFrame macro="">
          <xdr:nvGraphicFramePr>
            <xdr:cNvPr id="6" name="PaymentMethod">
              <a:extLst>
                <a:ext uri="{FF2B5EF4-FFF2-40B4-BE49-F238E27FC236}">
                  <a16:creationId xmlns:a16="http://schemas.microsoft.com/office/drawing/2014/main" id="{BD49C937-D7BD-AA26-1D3E-8EDAE4E4793D}"/>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3314700" y="258207"/>
              <a:ext cx="1836757" cy="24812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112185</xdr:rowOff>
    </xdr:from>
    <xdr:to>
      <xdr:col>1</xdr:col>
      <xdr:colOff>878640</xdr:colOff>
      <xdr:row>29</xdr:row>
      <xdr:rowOff>137585</xdr:rowOff>
    </xdr:to>
    <mc:AlternateContent xmlns:mc="http://schemas.openxmlformats.org/markup-compatibility/2006">
      <mc:Choice xmlns:a14="http://schemas.microsoft.com/office/drawing/2010/main" Requires="a14">
        <xdr:graphicFrame macro="">
          <xdr:nvGraphicFramePr>
            <xdr:cNvPr id="7" name="OrderChannel">
              <a:extLst>
                <a:ext uri="{FF2B5EF4-FFF2-40B4-BE49-F238E27FC236}">
                  <a16:creationId xmlns:a16="http://schemas.microsoft.com/office/drawing/2014/main" id="{6E50C695-F42D-7E81-D978-4BECD6ADBA8C}"/>
                </a:ext>
              </a:extLst>
            </xdr:cNvPr>
            <xdr:cNvGraphicFramePr/>
          </xdr:nvGraphicFramePr>
          <xdr:xfrm>
            <a:off x="0" y="0"/>
            <a:ext cx="0" cy="0"/>
          </xdr:xfrm>
          <a:graphic>
            <a:graphicData uri="http://schemas.microsoft.com/office/drawing/2010/slicer">
              <sle:slicer xmlns:sle="http://schemas.microsoft.com/office/drawing/2010/slicer" name="OrderChannel"/>
            </a:graphicData>
          </a:graphic>
        </xdr:graphicFrame>
      </mc:Choice>
      <mc:Fallback>
        <xdr:sp macro="" textlink="">
          <xdr:nvSpPr>
            <xdr:cNvPr id="0" name=""/>
            <xdr:cNvSpPr>
              <a:spLocks noTextEdit="1"/>
            </xdr:cNvSpPr>
          </xdr:nvSpPr>
          <xdr:spPr>
            <a:xfrm>
              <a:off x="0" y="4466471"/>
              <a:ext cx="1794854" cy="932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694983</xdr:colOff>
      <xdr:row>17</xdr:row>
      <xdr:rowOff>79743</xdr:rowOff>
    </xdr:from>
    <xdr:to>
      <xdr:col>4</xdr:col>
      <xdr:colOff>453039</xdr:colOff>
      <xdr:row>31</xdr:row>
      <xdr:rowOff>33301</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892F09ED-B38C-44EA-9412-E7DC33D93E2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06483" y="3164029"/>
              <a:ext cx="1835413" cy="2493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38</xdr:row>
      <xdr:rowOff>87993</xdr:rowOff>
    </xdr:from>
    <xdr:to>
      <xdr:col>1</xdr:col>
      <xdr:colOff>881309</xdr:colOff>
      <xdr:row>43</xdr:row>
      <xdr:rowOff>146656</xdr:rowOff>
    </xdr:to>
    <mc:AlternateContent xmlns:mc="http://schemas.openxmlformats.org/markup-compatibility/2006">
      <mc:Choice xmlns:a14="http://schemas.microsoft.com/office/drawing/2010/main" Requires="a14">
        <xdr:graphicFrame macro="">
          <xdr:nvGraphicFramePr>
            <xdr:cNvPr id="9" name="ReturnStatus">
              <a:extLst>
                <a:ext uri="{FF2B5EF4-FFF2-40B4-BE49-F238E27FC236}">
                  <a16:creationId xmlns:a16="http://schemas.microsoft.com/office/drawing/2014/main" id="{F536020F-72E4-362A-AEFF-032D9787BAB6}"/>
                </a:ext>
              </a:extLst>
            </xdr:cNvPr>
            <xdr:cNvGraphicFramePr/>
          </xdr:nvGraphicFramePr>
          <xdr:xfrm>
            <a:off x="0" y="0"/>
            <a:ext cx="0" cy="0"/>
          </xdr:xfrm>
          <a:graphic>
            <a:graphicData uri="http://schemas.microsoft.com/office/drawing/2010/slicer">
              <sle:slicer xmlns:sle="http://schemas.microsoft.com/office/drawing/2010/slicer" name="ReturnStatus"/>
            </a:graphicData>
          </a:graphic>
        </xdr:graphicFrame>
      </mc:Choice>
      <mc:Fallback>
        <xdr:sp macro="" textlink="">
          <xdr:nvSpPr>
            <xdr:cNvPr id="0" name=""/>
            <xdr:cNvSpPr>
              <a:spLocks noTextEdit="1"/>
            </xdr:cNvSpPr>
          </xdr:nvSpPr>
          <xdr:spPr>
            <a:xfrm>
              <a:off x="0" y="6982279"/>
              <a:ext cx="1797523" cy="9658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671285</xdr:colOff>
      <xdr:row>33</xdr:row>
      <xdr:rowOff>32959</xdr:rowOff>
    </xdr:from>
    <xdr:to>
      <xdr:col>4</xdr:col>
      <xdr:colOff>417285</xdr:colOff>
      <xdr:row>41</xdr:row>
      <xdr:rowOff>90715</xdr:rowOff>
    </xdr:to>
    <mc:AlternateContent xmlns:mc="http://schemas.openxmlformats.org/markup-compatibility/2006">
      <mc:Choice xmlns:a14="http://schemas.microsoft.com/office/drawing/2010/main" Requires="a14">
        <xdr:graphicFrame macro="">
          <xdr:nvGraphicFramePr>
            <xdr:cNvPr id="10" name="Status">
              <a:extLst>
                <a:ext uri="{FF2B5EF4-FFF2-40B4-BE49-F238E27FC236}">
                  <a16:creationId xmlns:a16="http://schemas.microsoft.com/office/drawing/2014/main" id="{BA7BAFD5-818A-BA43-5B4C-D6A0F6E8324A}"/>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3782785" y="6020102"/>
              <a:ext cx="1823357" cy="15091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80682</xdr:rowOff>
    </xdr:from>
    <xdr:to>
      <xdr:col>3</xdr:col>
      <xdr:colOff>196786</xdr:colOff>
      <xdr:row>17</xdr:row>
      <xdr:rowOff>144929</xdr:rowOff>
    </xdr:to>
    <mc:AlternateContent xmlns:mc="http://schemas.openxmlformats.org/markup-compatibility/2006">
      <mc:Choice xmlns:tsle="http://schemas.microsoft.com/office/drawing/2012/timeslicer" Requires="tsle">
        <xdr:graphicFrame macro="">
          <xdr:nvGraphicFramePr>
            <xdr:cNvPr id="12" name="OrderDate">
              <a:extLst>
                <a:ext uri="{FF2B5EF4-FFF2-40B4-BE49-F238E27FC236}">
                  <a16:creationId xmlns:a16="http://schemas.microsoft.com/office/drawing/2014/main" id="{E7D09888-FA34-7824-9892-67E3F1EA6442}"/>
                </a:ext>
              </a:extLst>
            </xdr:cNvPr>
            <xdr:cNvGraphicFramePr/>
          </xdr:nvGraphicFramePr>
          <xdr:xfrm>
            <a:off x="0" y="0"/>
            <a:ext cx="0" cy="0"/>
          </xdr:xfrm>
          <a:graphic>
            <a:graphicData uri="http://schemas.microsoft.com/office/drawing/2012/timeslicer">
              <tsle:timeslicer xmlns:tsle="http://schemas.microsoft.com/office/drawing/2012/timeslicer" name="OrderDate"/>
            </a:graphicData>
          </a:graphic>
        </xdr:graphicFrame>
      </mc:Choice>
      <mc:Fallback>
        <xdr:sp macro="" textlink="">
          <xdr:nvSpPr>
            <xdr:cNvPr id="0" name=""/>
            <xdr:cNvSpPr>
              <a:spLocks noTextEdit="1"/>
            </xdr:cNvSpPr>
          </xdr:nvSpPr>
          <xdr:spPr>
            <a:xfrm>
              <a:off x="0" y="1894968"/>
              <a:ext cx="3308286" cy="133424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13</xdr:col>
      <xdr:colOff>307228</xdr:colOff>
      <xdr:row>33</xdr:row>
      <xdr:rowOff>61819</xdr:rowOff>
    </xdr:from>
    <xdr:to>
      <xdr:col>19</xdr:col>
      <xdr:colOff>53228</xdr:colOff>
      <xdr:row>48</xdr:row>
      <xdr:rowOff>3549</xdr:rowOff>
    </xdr:to>
    <mc:AlternateContent xmlns:mc="http://schemas.openxmlformats.org/markup-compatibility/2006">
      <mc:Choice xmlns:cx4="http://schemas.microsoft.com/office/drawing/2016/5/10/chartex" Requires="cx4">
        <xdr:graphicFrame macro="">
          <xdr:nvGraphicFramePr>
            <xdr:cNvPr id="13" name="Chart 12">
              <a:extLst>
                <a:ext uri="{FF2B5EF4-FFF2-40B4-BE49-F238E27FC236}">
                  <a16:creationId xmlns:a16="http://schemas.microsoft.com/office/drawing/2014/main" id="{24F2BC88-EE24-9DE8-5D44-81B3F740469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881228" y="6348319"/>
              <a:ext cx="3873500" cy="27992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184729</xdr:colOff>
      <xdr:row>62</xdr:row>
      <xdr:rowOff>145969</xdr:rowOff>
    </xdr:from>
    <xdr:to>
      <xdr:col>6</xdr:col>
      <xdr:colOff>196274</xdr:colOff>
      <xdr:row>82</xdr:row>
      <xdr:rowOff>122878</xdr:rowOff>
    </xdr:to>
    <xdr:graphicFrame macro="">
      <xdr:nvGraphicFramePr>
        <xdr:cNvPr id="14" name="Chart 13">
          <a:extLst>
            <a:ext uri="{FF2B5EF4-FFF2-40B4-BE49-F238E27FC236}">
              <a16:creationId xmlns:a16="http://schemas.microsoft.com/office/drawing/2014/main" id="{1B1F99A2-BC9B-D430-C550-8AE8EE20D9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417202</xdr:colOff>
      <xdr:row>68</xdr:row>
      <xdr:rowOff>93024</xdr:rowOff>
    </xdr:from>
    <xdr:to>
      <xdr:col>26</xdr:col>
      <xdr:colOff>157512</xdr:colOff>
      <xdr:row>86</xdr:row>
      <xdr:rowOff>148442</xdr:rowOff>
    </xdr:to>
    <xdr:graphicFrame macro="">
      <xdr:nvGraphicFramePr>
        <xdr:cNvPr id="15" name="Chart 14">
          <a:extLst>
            <a:ext uri="{FF2B5EF4-FFF2-40B4-BE49-F238E27FC236}">
              <a16:creationId xmlns:a16="http://schemas.microsoft.com/office/drawing/2014/main" id="{A013DC02-AF9E-22F5-A4B0-5D36A94A58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130546</xdr:colOff>
      <xdr:row>3</xdr:row>
      <xdr:rowOff>108856</xdr:rowOff>
    </xdr:from>
    <xdr:to>
      <xdr:col>9</xdr:col>
      <xdr:colOff>884464</xdr:colOff>
      <xdr:row>13</xdr:row>
      <xdr:rowOff>79828</xdr:rowOff>
    </xdr:to>
    <xdr:graphicFrame macro="">
      <xdr:nvGraphicFramePr>
        <xdr:cNvPr id="16" name="Chart 15">
          <a:extLst>
            <a:ext uri="{FF2B5EF4-FFF2-40B4-BE49-F238E27FC236}">
              <a16:creationId xmlns:a16="http://schemas.microsoft.com/office/drawing/2014/main" id="{B5950D91-BA11-99A2-AB78-4E9108493A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191634</xdr:colOff>
      <xdr:row>9</xdr:row>
      <xdr:rowOff>48078</xdr:rowOff>
    </xdr:from>
    <xdr:to>
      <xdr:col>23</xdr:col>
      <xdr:colOff>233588</xdr:colOff>
      <xdr:row>24</xdr:row>
      <xdr:rowOff>38553</xdr:rowOff>
    </xdr:to>
    <xdr:graphicFrame macro="">
      <xdr:nvGraphicFramePr>
        <xdr:cNvPr id="17" name="Chart 16">
          <a:extLst>
            <a:ext uri="{FF2B5EF4-FFF2-40B4-BE49-F238E27FC236}">
              <a16:creationId xmlns:a16="http://schemas.microsoft.com/office/drawing/2014/main" id="{5FD5DE20-ED59-8BDA-76D0-97F8BEA28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842509</xdr:colOff>
      <xdr:row>32</xdr:row>
      <xdr:rowOff>43544</xdr:rowOff>
    </xdr:from>
    <xdr:to>
      <xdr:col>10</xdr:col>
      <xdr:colOff>162152</xdr:colOff>
      <xdr:row>46</xdr:row>
      <xdr:rowOff>110672</xdr:rowOff>
    </xdr:to>
    <xdr:graphicFrame macro="">
      <xdr:nvGraphicFramePr>
        <xdr:cNvPr id="18" name="Chart 17">
          <a:extLst>
            <a:ext uri="{FF2B5EF4-FFF2-40B4-BE49-F238E27FC236}">
              <a16:creationId xmlns:a16="http://schemas.microsoft.com/office/drawing/2014/main" id="{EC7BAA8A-8E12-6A9E-9C02-CAD8C34A3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119064</xdr:colOff>
      <xdr:row>19</xdr:row>
      <xdr:rowOff>163739</xdr:rowOff>
    </xdr:from>
    <xdr:to>
      <xdr:col>18</xdr:col>
      <xdr:colOff>836839</xdr:colOff>
      <xdr:row>32</xdr:row>
      <xdr:rowOff>115661</xdr:rowOff>
    </xdr:to>
    <xdr:graphicFrame macro="">
      <xdr:nvGraphicFramePr>
        <xdr:cNvPr id="19" name="Chart 18">
          <a:extLst>
            <a:ext uri="{FF2B5EF4-FFF2-40B4-BE49-F238E27FC236}">
              <a16:creationId xmlns:a16="http://schemas.microsoft.com/office/drawing/2014/main" id="{17061004-EE1B-6B2D-8665-7F36BCB8EF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13</xdr:col>
      <xdr:colOff>475117</xdr:colOff>
      <xdr:row>8</xdr:row>
      <xdr:rowOff>61685</xdr:rowOff>
    </xdr:from>
    <xdr:to>
      <xdr:col>17</xdr:col>
      <xdr:colOff>401411</xdr:colOff>
      <xdr:row>19</xdr:row>
      <xdr:rowOff>68035</xdr:rowOff>
    </xdr:to>
    <xdr:graphicFrame macro="">
      <xdr:nvGraphicFramePr>
        <xdr:cNvPr id="20" name="Chart 19">
          <a:extLst>
            <a:ext uri="{FF2B5EF4-FFF2-40B4-BE49-F238E27FC236}">
              <a16:creationId xmlns:a16="http://schemas.microsoft.com/office/drawing/2014/main" id="{F889EFE5-A829-E32E-4E0B-05B092422A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25</xdr:col>
      <xdr:colOff>404813</xdr:colOff>
      <xdr:row>5</xdr:row>
      <xdr:rowOff>88900</xdr:rowOff>
    </xdr:from>
    <xdr:to>
      <xdr:col>33</xdr:col>
      <xdr:colOff>150813</xdr:colOff>
      <xdr:row>19</xdr:row>
      <xdr:rowOff>165100</xdr:rowOff>
    </xdr:to>
    <xdr:graphicFrame macro="">
      <xdr:nvGraphicFramePr>
        <xdr:cNvPr id="21" name="Chart 20">
          <a:extLst>
            <a:ext uri="{FF2B5EF4-FFF2-40B4-BE49-F238E27FC236}">
              <a16:creationId xmlns:a16="http://schemas.microsoft.com/office/drawing/2014/main" id="{A6B004B6-79F0-47D6-9605-DF82521EE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340179</xdr:colOff>
      <xdr:row>50</xdr:row>
      <xdr:rowOff>129721</xdr:rowOff>
    </xdr:from>
    <xdr:to>
      <xdr:col>18</xdr:col>
      <xdr:colOff>1056821</xdr:colOff>
      <xdr:row>65</xdr:row>
      <xdr:rowOff>151493</xdr:rowOff>
    </xdr:to>
    <mc:AlternateContent xmlns:mc="http://schemas.openxmlformats.org/markup-compatibility/2006">
      <mc:Choice xmlns:cx1="http://schemas.microsoft.com/office/drawing/2015/9/8/chartex" Requires="cx1">
        <xdr:graphicFrame macro="">
          <xdr:nvGraphicFramePr>
            <xdr:cNvPr id="25" name="Chart 24">
              <a:extLst>
                <a:ext uri="{FF2B5EF4-FFF2-40B4-BE49-F238E27FC236}">
                  <a16:creationId xmlns:a16="http://schemas.microsoft.com/office/drawing/2014/main" id="{EEF8DF11-B778-3C30-711F-41FE8FF6E1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3747750" y="92011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171450</xdr:colOff>
      <xdr:row>4</xdr:row>
      <xdr:rowOff>57150</xdr:rowOff>
    </xdr:to>
    <xdr:sp macro="" textlink="">
      <xdr:nvSpPr>
        <xdr:cNvPr id="2" name="Rectangle 1">
          <a:extLst>
            <a:ext uri="{FF2B5EF4-FFF2-40B4-BE49-F238E27FC236}">
              <a16:creationId xmlns:a16="http://schemas.microsoft.com/office/drawing/2014/main" id="{99950A5C-C04E-DC80-3F4C-F96420EAFBC8}"/>
            </a:ext>
          </a:extLst>
        </xdr:cNvPr>
        <xdr:cNvSpPr/>
      </xdr:nvSpPr>
      <xdr:spPr>
        <a:xfrm>
          <a:off x="0" y="0"/>
          <a:ext cx="3829050" cy="793750"/>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2800" b="1">
              <a:solidFill>
                <a:schemeClr val="tx1"/>
              </a:solidFill>
              <a:latin typeface="Adobe Gothic Std B" panose="020B0800000000000000" pitchFamily="34" charset="-128"/>
              <a:ea typeface="Adobe Gothic Std B" panose="020B0800000000000000" pitchFamily="34" charset="-128"/>
            </a:rPr>
            <a:t>Sales Dashboard 2026</a:t>
          </a:r>
        </a:p>
      </xdr:txBody>
    </xdr:sp>
    <xdr:clientData/>
  </xdr:twoCellAnchor>
  <xdr:twoCellAnchor editAs="oneCell">
    <xdr:from>
      <xdr:col>8</xdr:col>
      <xdr:colOff>241300</xdr:colOff>
      <xdr:row>7</xdr:row>
      <xdr:rowOff>130380</xdr:rowOff>
    </xdr:from>
    <xdr:to>
      <xdr:col>11</xdr:col>
      <xdr:colOff>387350</xdr:colOff>
      <xdr:row>11</xdr:row>
      <xdr:rowOff>44450</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28473EC8-7946-41EE-BC6E-1B26E173C861}"/>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5118100" y="1419430"/>
              <a:ext cx="1974850" cy="65067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171450</xdr:colOff>
      <xdr:row>4</xdr:row>
      <xdr:rowOff>82906</xdr:rowOff>
    </xdr:from>
    <xdr:to>
      <xdr:col>8</xdr:col>
      <xdr:colOff>254000</xdr:colOff>
      <xdr:row>11</xdr:row>
      <xdr:rowOff>38100</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9F38A56C-7B6D-4A74-8849-AC7DA08D016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3829050" y="819506"/>
              <a:ext cx="1301750" cy="12442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247650</xdr:colOff>
      <xdr:row>4</xdr:row>
      <xdr:rowOff>69603</xdr:rowOff>
    </xdr:from>
    <xdr:to>
      <xdr:col>11</xdr:col>
      <xdr:colOff>400050</xdr:colOff>
      <xdr:row>7</xdr:row>
      <xdr:rowOff>146050</xdr:rowOff>
    </xdr:to>
    <mc:AlternateContent xmlns:mc="http://schemas.openxmlformats.org/markup-compatibility/2006">
      <mc:Choice xmlns:a14="http://schemas.microsoft.com/office/drawing/2010/main" Requires="a14">
        <xdr:graphicFrame macro="">
          <xdr:nvGraphicFramePr>
            <xdr:cNvPr id="5" name="OrderChannel 1">
              <a:extLst>
                <a:ext uri="{FF2B5EF4-FFF2-40B4-BE49-F238E27FC236}">
                  <a16:creationId xmlns:a16="http://schemas.microsoft.com/office/drawing/2014/main" id="{EB5A4F57-428E-43F7-AB7F-8C4B194F0DD7}"/>
                </a:ext>
              </a:extLst>
            </xdr:cNvPr>
            <xdr:cNvGraphicFramePr/>
          </xdr:nvGraphicFramePr>
          <xdr:xfrm>
            <a:off x="0" y="0"/>
            <a:ext cx="0" cy="0"/>
          </xdr:xfrm>
          <a:graphic>
            <a:graphicData uri="http://schemas.microsoft.com/office/drawing/2010/slicer">
              <sle:slicer xmlns:sle="http://schemas.microsoft.com/office/drawing/2010/slicer" name="OrderChannel 1"/>
            </a:graphicData>
          </a:graphic>
        </xdr:graphicFrame>
      </mc:Choice>
      <mc:Fallback>
        <xdr:sp macro="" textlink="">
          <xdr:nvSpPr>
            <xdr:cNvPr id="0" name=""/>
            <xdr:cNvSpPr>
              <a:spLocks noTextEdit="1"/>
            </xdr:cNvSpPr>
          </xdr:nvSpPr>
          <xdr:spPr>
            <a:xfrm>
              <a:off x="5124450" y="806203"/>
              <a:ext cx="1981200" cy="6288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4</xdr:row>
      <xdr:rowOff>57150</xdr:rowOff>
    </xdr:from>
    <xdr:to>
      <xdr:col>6</xdr:col>
      <xdr:colOff>158750</xdr:colOff>
      <xdr:row>11</xdr:row>
      <xdr:rowOff>44450</xdr:rowOff>
    </xdr:to>
    <mc:AlternateContent xmlns:mc="http://schemas.openxmlformats.org/markup-compatibility/2006">
      <mc:Choice xmlns:tsle="http://schemas.microsoft.com/office/drawing/2012/timeslicer" Requires="tsle">
        <xdr:graphicFrame macro="">
          <xdr:nvGraphicFramePr>
            <xdr:cNvPr id="6" name="OrderDate 1">
              <a:extLst>
                <a:ext uri="{FF2B5EF4-FFF2-40B4-BE49-F238E27FC236}">
                  <a16:creationId xmlns:a16="http://schemas.microsoft.com/office/drawing/2014/main" id="{33BFAC7D-1227-48C1-92D0-45DEFED45971}"/>
                </a:ext>
              </a:extLst>
            </xdr:cNvPr>
            <xdr:cNvGraphicFramePr/>
          </xdr:nvGraphicFramePr>
          <xdr:xfrm>
            <a:off x="0" y="0"/>
            <a:ext cx="0" cy="0"/>
          </xdr:xfrm>
          <a:graphic>
            <a:graphicData uri="http://schemas.microsoft.com/office/drawing/2012/timeslicer">
              <tsle:timeslicer xmlns:tsle="http://schemas.microsoft.com/office/drawing/2012/timeslicer" name="OrderDate 1"/>
            </a:graphicData>
          </a:graphic>
        </xdr:graphicFrame>
      </mc:Choice>
      <mc:Fallback>
        <xdr:sp macro="" textlink="">
          <xdr:nvSpPr>
            <xdr:cNvPr id="0" name=""/>
            <xdr:cNvSpPr>
              <a:spLocks noTextEdit="1"/>
            </xdr:cNvSpPr>
          </xdr:nvSpPr>
          <xdr:spPr>
            <a:xfrm>
              <a:off x="12700" y="793750"/>
              <a:ext cx="3803650" cy="12763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152400</xdr:colOff>
      <xdr:row>0</xdr:row>
      <xdr:rowOff>0</xdr:rowOff>
    </xdr:from>
    <xdr:to>
      <xdr:col>19</xdr:col>
      <xdr:colOff>488950</xdr:colOff>
      <xdr:row>4</xdr:row>
      <xdr:rowOff>76200</xdr:rowOff>
    </xdr:to>
    <xdr:sp macro="" textlink="">
      <xdr:nvSpPr>
        <xdr:cNvPr id="7" name="Rectangle 6">
          <a:extLst>
            <a:ext uri="{FF2B5EF4-FFF2-40B4-BE49-F238E27FC236}">
              <a16:creationId xmlns:a16="http://schemas.microsoft.com/office/drawing/2014/main" id="{EB3E4475-4438-1255-EB94-ACBDA56A16B1}"/>
            </a:ext>
          </a:extLst>
        </xdr:cNvPr>
        <xdr:cNvSpPr/>
      </xdr:nvSpPr>
      <xdr:spPr>
        <a:xfrm>
          <a:off x="3810000" y="0"/>
          <a:ext cx="8261350" cy="812800"/>
        </a:xfrm>
        <a:prstGeom prst="rect">
          <a:avLst/>
        </a:prstGeom>
      </xdr:spPr>
      <xdr:style>
        <a:lnRef idx="3">
          <a:schemeClr val="lt1"/>
        </a:lnRef>
        <a:fillRef idx="1">
          <a:schemeClr val="accent6"/>
        </a:fillRef>
        <a:effectRef idx="1">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225409</xdr:colOff>
      <xdr:row>1</xdr:row>
      <xdr:rowOff>125990</xdr:rowOff>
    </xdr:from>
    <xdr:to>
      <xdr:col>10</xdr:col>
      <xdr:colOff>302186</xdr:colOff>
      <xdr:row>3</xdr:row>
      <xdr:rowOff>135072</xdr:rowOff>
    </xdr:to>
    <xdr:sp macro="" textlink="kpi!O4">
      <xdr:nvSpPr>
        <xdr:cNvPr id="10" name="TextBox 9">
          <a:extLst>
            <a:ext uri="{FF2B5EF4-FFF2-40B4-BE49-F238E27FC236}">
              <a16:creationId xmlns:a16="http://schemas.microsoft.com/office/drawing/2014/main" id="{6A06F822-B382-4919-AC1B-1834AD688A19}"/>
            </a:ext>
          </a:extLst>
        </xdr:cNvPr>
        <xdr:cNvSpPr txBox="1"/>
      </xdr:nvSpPr>
      <xdr:spPr>
        <a:xfrm>
          <a:off x="4492609" y="310140"/>
          <a:ext cx="1905577" cy="377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2A9B85F-31BB-4F19-8335-2E61A2D29D51}" type="TxLink">
            <a:rPr lang="en-US" sz="1800" b="1" i="0" u="none" strike="noStrike">
              <a:solidFill>
                <a:srgbClr val="000000"/>
              </a:solidFill>
              <a:latin typeface="Calibri"/>
              <a:ea typeface="Calibri"/>
              <a:cs typeface="Calibri"/>
            </a:rPr>
            <a:t>8119400.52</a:t>
          </a:fld>
          <a:endParaRPr lang="en-IN" sz="1800" b="1">
            <a:solidFill>
              <a:schemeClr val="tx1"/>
            </a:solidFill>
          </a:endParaRPr>
        </a:p>
      </xdr:txBody>
    </xdr:sp>
    <xdr:clientData/>
  </xdr:twoCellAnchor>
  <xdr:twoCellAnchor>
    <xdr:from>
      <xdr:col>11</xdr:col>
      <xdr:colOff>602271</xdr:colOff>
      <xdr:row>1</xdr:row>
      <xdr:rowOff>87890</xdr:rowOff>
    </xdr:from>
    <xdr:to>
      <xdr:col>15</xdr:col>
      <xdr:colOff>247650</xdr:colOff>
      <xdr:row>3</xdr:row>
      <xdr:rowOff>96972</xdr:rowOff>
    </xdr:to>
    <xdr:sp macro="" textlink="kpi!S5">
      <xdr:nvSpPr>
        <xdr:cNvPr id="11" name="TextBox 10">
          <a:extLst>
            <a:ext uri="{FF2B5EF4-FFF2-40B4-BE49-F238E27FC236}">
              <a16:creationId xmlns:a16="http://schemas.microsoft.com/office/drawing/2014/main" id="{81BCBBB7-4F02-443D-99FA-119D4CD494A5}"/>
            </a:ext>
          </a:extLst>
        </xdr:cNvPr>
        <xdr:cNvSpPr txBox="1"/>
      </xdr:nvSpPr>
      <xdr:spPr>
        <a:xfrm>
          <a:off x="7307871" y="272040"/>
          <a:ext cx="2083779" cy="377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A41DD2-683C-4B64-AAA1-A54872C930C9}" type="TxLink">
            <a:rPr lang="en-US" sz="1800" b="1" i="0" u="none" strike="noStrike">
              <a:solidFill>
                <a:srgbClr val="000000"/>
              </a:solidFill>
              <a:latin typeface="Calibri"/>
              <a:ea typeface="Calibri"/>
              <a:cs typeface="Calibri"/>
            </a:rPr>
            <a:t>5 Days</a:t>
          </a:fld>
          <a:endParaRPr lang="en-IN" sz="1800" b="1">
            <a:solidFill>
              <a:schemeClr val="tx1"/>
            </a:solidFill>
          </a:endParaRPr>
        </a:p>
      </xdr:txBody>
    </xdr:sp>
    <xdr:clientData/>
  </xdr:twoCellAnchor>
  <xdr:twoCellAnchor>
    <xdr:from>
      <xdr:col>16</xdr:col>
      <xdr:colOff>268227</xdr:colOff>
      <xdr:row>1</xdr:row>
      <xdr:rowOff>106940</xdr:rowOff>
    </xdr:from>
    <xdr:to>
      <xdr:col>19</xdr:col>
      <xdr:colOff>346283</xdr:colOff>
      <xdr:row>3</xdr:row>
      <xdr:rowOff>116022</xdr:rowOff>
    </xdr:to>
    <xdr:sp macro="" textlink="kpi!W5">
      <xdr:nvSpPr>
        <xdr:cNvPr id="12" name="TextBox 11">
          <a:extLst>
            <a:ext uri="{FF2B5EF4-FFF2-40B4-BE49-F238E27FC236}">
              <a16:creationId xmlns:a16="http://schemas.microsoft.com/office/drawing/2014/main" id="{6DCF94DA-8577-41B4-9E51-5332DC286CD2}"/>
            </a:ext>
          </a:extLst>
        </xdr:cNvPr>
        <xdr:cNvSpPr txBox="1"/>
      </xdr:nvSpPr>
      <xdr:spPr>
        <a:xfrm>
          <a:off x="10021827" y="291090"/>
          <a:ext cx="1906856" cy="3773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45842C-1644-4130-AFD8-6E85825969D7}" type="TxLink">
            <a:rPr lang="en-US" sz="1800" b="1" i="0" u="none" strike="noStrike">
              <a:solidFill>
                <a:srgbClr val="000000"/>
              </a:solidFill>
              <a:latin typeface="Calibri"/>
              <a:ea typeface="Calibri"/>
              <a:cs typeface="Calibri"/>
            </a:rPr>
            <a:t>3.2</a:t>
          </a:fld>
          <a:endParaRPr lang="en-IN" sz="1800" b="1">
            <a:solidFill>
              <a:schemeClr val="tx1"/>
            </a:solidFill>
          </a:endParaRPr>
        </a:p>
      </xdr:txBody>
    </xdr:sp>
    <xdr:clientData/>
  </xdr:twoCellAnchor>
  <xdr:twoCellAnchor>
    <xdr:from>
      <xdr:col>7</xdr:col>
      <xdr:colOff>263509</xdr:colOff>
      <xdr:row>0</xdr:row>
      <xdr:rowOff>69850</xdr:rowOff>
    </xdr:from>
    <xdr:to>
      <xdr:col>10</xdr:col>
      <xdr:colOff>257736</xdr:colOff>
      <xdr:row>1</xdr:row>
      <xdr:rowOff>134505</xdr:rowOff>
    </xdr:to>
    <xdr:sp macro="" textlink="">
      <xdr:nvSpPr>
        <xdr:cNvPr id="13" name="Rectangle 12">
          <a:extLst>
            <a:ext uri="{FF2B5EF4-FFF2-40B4-BE49-F238E27FC236}">
              <a16:creationId xmlns:a16="http://schemas.microsoft.com/office/drawing/2014/main" id="{6DE9A733-44BF-4FB1-9215-C8FF81BB2DC5}"/>
            </a:ext>
          </a:extLst>
        </xdr:cNvPr>
        <xdr:cNvSpPr/>
      </xdr:nvSpPr>
      <xdr:spPr>
        <a:xfrm>
          <a:off x="4530709" y="69850"/>
          <a:ext cx="1823027" cy="248805"/>
        </a:xfrm>
        <a:prstGeom prst="rect">
          <a:avLst/>
        </a:prstGeom>
        <a:ln/>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IN" sz="1400" b="1">
              <a:solidFill>
                <a:schemeClr val="bg1"/>
              </a:solidFill>
            </a:rPr>
            <a:t>Total Sales</a:t>
          </a:r>
        </a:p>
      </xdr:txBody>
    </xdr:sp>
    <xdr:clientData/>
  </xdr:twoCellAnchor>
  <xdr:twoCellAnchor>
    <xdr:from>
      <xdr:col>12</xdr:col>
      <xdr:colOff>33755</xdr:colOff>
      <xdr:row>0</xdr:row>
      <xdr:rowOff>69851</xdr:rowOff>
    </xdr:from>
    <xdr:to>
      <xdr:col>15</xdr:col>
      <xdr:colOff>177800</xdr:colOff>
      <xdr:row>1</xdr:row>
      <xdr:rowOff>133351</xdr:rowOff>
    </xdr:to>
    <xdr:sp macro="" textlink="">
      <xdr:nvSpPr>
        <xdr:cNvPr id="14" name="Rectangle 13">
          <a:extLst>
            <a:ext uri="{FF2B5EF4-FFF2-40B4-BE49-F238E27FC236}">
              <a16:creationId xmlns:a16="http://schemas.microsoft.com/office/drawing/2014/main" id="{76ECD351-908A-4B0A-BB1A-66D1CC9ED50A}"/>
            </a:ext>
          </a:extLst>
        </xdr:cNvPr>
        <xdr:cNvSpPr/>
      </xdr:nvSpPr>
      <xdr:spPr>
        <a:xfrm>
          <a:off x="7348955" y="69851"/>
          <a:ext cx="1972845" cy="247650"/>
        </a:xfrm>
        <a:prstGeom prst="rect">
          <a:avLst/>
        </a:prstGeom>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a:solidFill>
                <a:schemeClr val="bg1"/>
              </a:solidFill>
            </a:rPr>
            <a:t>Average</a:t>
          </a:r>
          <a:r>
            <a:rPr lang="en-IN" sz="1400" b="1" baseline="0">
              <a:solidFill>
                <a:schemeClr val="bg1"/>
              </a:solidFill>
            </a:rPr>
            <a:t> Delivery Days</a:t>
          </a:r>
          <a:endParaRPr lang="en-IN" sz="1400" b="1">
            <a:solidFill>
              <a:schemeClr val="bg1"/>
            </a:solidFill>
          </a:endParaRPr>
        </a:p>
      </xdr:txBody>
    </xdr:sp>
    <xdr:clientData/>
  </xdr:twoCellAnchor>
  <xdr:twoCellAnchor>
    <xdr:from>
      <xdr:col>16</xdr:col>
      <xdr:colOff>303341</xdr:colOff>
      <xdr:row>0</xdr:row>
      <xdr:rowOff>82550</xdr:rowOff>
    </xdr:from>
    <xdr:to>
      <xdr:col>19</xdr:col>
      <xdr:colOff>297568</xdr:colOff>
      <xdr:row>1</xdr:row>
      <xdr:rowOff>147205</xdr:rowOff>
    </xdr:to>
    <xdr:sp macro="" textlink="">
      <xdr:nvSpPr>
        <xdr:cNvPr id="15" name="Rectangle 14">
          <a:extLst>
            <a:ext uri="{FF2B5EF4-FFF2-40B4-BE49-F238E27FC236}">
              <a16:creationId xmlns:a16="http://schemas.microsoft.com/office/drawing/2014/main" id="{35717CF4-B3D7-4365-B2A6-4C694EE22148}"/>
            </a:ext>
          </a:extLst>
        </xdr:cNvPr>
        <xdr:cNvSpPr/>
      </xdr:nvSpPr>
      <xdr:spPr>
        <a:xfrm>
          <a:off x="10056941" y="82550"/>
          <a:ext cx="1823027" cy="248805"/>
        </a:xfrm>
        <a:prstGeom prst="rect">
          <a:avLst/>
        </a:prstGeom>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ctr"/>
        <a:lstStyle/>
        <a:p>
          <a:pPr algn="ctr"/>
          <a:r>
            <a:rPr lang="en-IN" sz="1400" b="1">
              <a:solidFill>
                <a:schemeClr val="bg1"/>
              </a:solidFill>
            </a:rPr>
            <a:t>Average</a:t>
          </a:r>
          <a:r>
            <a:rPr lang="en-IN" sz="1400" b="1" baseline="0">
              <a:solidFill>
                <a:schemeClr val="bg1"/>
              </a:solidFill>
            </a:rPr>
            <a:t> Rating</a:t>
          </a:r>
          <a:endParaRPr lang="en-IN" sz="1400" b="1">
            <a:solidFill>
              <a:schemeClr val="bg1"/>
            </a:solidFill>
          </a:endParaRPr>
        </a:p>
      </xdr:txBody>
    </xdr:sp>
    <xdr:clientData/>
  </xdr:twoCellAnchor>
  <xdr:twoCellAnchor editAs="oneCell">
    <xdr:from>
      <xdr:col>15</xdr:col>
      <xdr:colOff>288332</xdr:colOff>
      <xdr:row>0</xdr:row>
      <xdr:rowOff>89477</xdr:rowOff>
    </xdr:from>
    <xdr:to>
      <xdr:col>16</xdr:col>
      <xdr:colOff>285841</xdr:colOff>
      <xdr:row>3</xdr:row>
      <xdr:rowOff>143559</xdr:rowOff>
    </xdr:to>
    <xdr:pic>
      <xdr:nvPicPr>
        <xdr:cNvPr id="16" name="Graphic 15" descr="Rating with solid fill">
          <a:extLst>
            <a:ext uri="{FF2B5EF4-FFF2-40B4-BE49-F238E27FC236}">
              <a16:creationId xmlns:a16="http://schemas.microsoft.com/office/drawing/2014/main" id="{EE2BA1DB-CFC2-445F-B23D-57B80531CB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9432332" y="89477"/>
          <a:ext cx="607109" cy="606532"/>
        </a:xfrm>
        <a:prstGeom prst="rect">
          <a:avLst/>
        </a:prstGeom>
      </xdr:spPr>
    </xdr:pic>
    <xdr:clientData/>
  </xdr:twoCellAnchor>
  <xdr:twoCellAnchor editAs="oneCell">
    <xdr:from>
      <xdr:col>10</xdr:col>
      <xdr:colOff>553786</xdr:colOff>
      <xdr:row>0</xdr:row>
      <xdr:rowOff>10877</xdr:rowOff>
    </xdr:from>
    <xdr:to>
      <xdr:col>11</xdr:col>
      <xdr:colOff>551296</xdr:colOff>
      <xdr:row>3</xdr:row>
      <xdr:rowOff>64959</xdr:rowOff>
    </xdr:to>
    <xdr:pic>
      <xdr:nvPicPr>
        <xdr:cNvPr id="17" name="Graphic 16" descr="Delivery with solid fill">
          <a:extLst>
            <a:ext uri="{FF2B5EF4-FFF2-40B4-BE49-F238E27FC236}">
              <a16:creationId xmlns:a16="http://schemas.microsoft.com/office/drawing/2014/main" id="{4BB618F1-1B88-4E37-BD6F-4F97A61EE25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649786" y="10877"/>
          <a:ext cx="607110" cy="606532"/>
        </a:xfrm>
        <a:prstGeom prst="rect">
          <a:avLst/>
        </a:prstGeom>
      </xdr:spPr>
    </xdr:pic>
    <xdr:clientData/>
  </xdr:twoCellAnchor>
  <xdr:twoCellAnchor editAs="oneCell">
    <xdr:from>
      <xdr:col>6</xdr:col>
      <xdr:colOff>215900</xdr:colOff>
      <xdr:row>0</xdr:row>
      <xdr:rowOff>44177</xdr:rowOff>
    </xdr:from>
    <xdr:to>
      <xdr:col>7</xdr:col>
      <xdr:colOff>212709</xdr:colOff>
      <xdr:row>3</xdr:row>
      <xdr:rowOff>97559</xdr:rowOff>
    </xdr:to>
    <xdr:pic>
      <xdr:nvPicPr>
        <xdr:cNvPr id="18" name="Graphic 17" descr="Bar graph with upward trend with solid fill">
          <a:extLst>
            <a:ext uri="{FF2B5EF4-FFF2-40B4-BE49-F238E27FC236}">
              <a16:creationId xmlns:a16="http://schemas.microsoft.com/office/drawing/2014/main" id="{DD93F1AB-5085-4617-9C29-B3FB505E0FDC}"/>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873500" y="44177"/>
          <a:ext cx="606409" cy="605832"/>
        </a:xfrm>
        <a:prstGeom prst="rect">
          <a:avLst/>
        </a:prstGeom>
      </xdr:spPr>
    </xdr:pic>
    <xdr:clientData/>
  </xdr:twoCellAnchor>
  <xdr:twoCellAnchor editAs="oneCell">
    <xdr:from>
      <xdr:col>11</xdr:col>
      <xdr:colOff>393700</xdr:colOff>
      <xdr:row>4</xdr:row>
      <xdr:rowOff>76201</xdr:rowOff>
    </xdr:from>
    <xdr:to>
      <xdr:col>14</xdr:col>
      <xdr:colOff>273050</xdr:colOff>
      <xdr:row>11</xdr:row>
      <xdr:rowOff>38100</xdr:rowOff>
    </xdr:to>
    <mc:AlternateContent xmlns:mc="http://schemas.openxmlformats.org/markup-compatibility/2006">
      <mc:Choice xmlns:a14="http://schemas.microsoft.com/office/drawing/2010/main" Requires="a14">
        <xdr:graphicFrame macro="">
          <xdr:nvGraphicFramePr>
            <xdr:cNvPr id="19" name="PaymentMethod 1">
              <a:extLst>
                <a:ext uri="{FF2B5EF4-FFF2-40B4-BE49-F238E27FC236}">
                  <a16:creationId xmlns:a16="http://schemas.microsoft.com/office/drawing/2014/main" id="{7A6F08EA-AA9E-4897-90CD-36151CB88671}"/>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7099300" y="812801"/>
              <a:ext cx="1708150" cy="1250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239597</xdr:colOff>
      <xdr:row>4</xdr:row>
      <xdr:rowOff>80072</xdr:rowOff>
    </xdr:from>
    <xdr:to>
      <xdr:col>16</xdr:col>
      <xdr:colOff>419100</xdr:colOff>
      <xdr:row>11</xdr:row>
      <xdr:rowOff>31750</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C52C481B-D0F4-4816-887D-AFF668F119A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8773997" y="816672"/>
              <a:ext cx="1398703" cy="12407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406400</xdr:colOff>
      <xdr:row>4</xdr:row>
      <xdr:rowOff>69850</xdr:rowOff>
    </xdr:from>
    <xdr:to>
      <xdr:col>19</xdr:col>
      <xdr:colOff>469900</xdr:colOff>
      <xdr:row>11</xdr:row>
      <xdr:rowOff>12700</xdr:rowOff>
    </xdr:to>
    <mc:AlternateContent xmlns:mc="http://schemas.openxmlformats.org/markup-compatibility/2006">
      <mc:Choice xmlns:a14="http://schemas.microsoft.com/office/drawing/2010/main" Requires="a14">
        <xdr:graphicFrame macro="">
          <xdr:nvGraphicFramePr>
            <xdr:cNvPr id="21" name="Brand 1">
              <a:extLst>
                <a:ext uri="{FF2B5EF4-FFF2-40B4-BE49-F238E27FC236}">
                  <a16:creationId xmlns:a16="http://schemas.microsoft.com/office/drawing/2014/main" id="{0615E1B5-F12B-457A-BE55-6828F2D9E6A0}"/>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dr:sp macro="" textlink="">
          <xdr:nvSpPr>
            <xdr:cNvPr id="0" name=""/>
            <xdr:cNvSpPr>
              <a:spLocks noTextEdit="1"/>
            </xdr:cNvSpPr>
          </xdr:nvSpPr>
          <xdr:spPr>
            <a:xfrm>
              <a:off x="10160000" y="806450"/>
              <a:ext cx="1892300" cy="1231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520700</xdr:colOff>
      <xdr:row>11</xdr:row>
      <xdr:rowOff>50800</xdr:rowOff>
    </xdr:from>
    <xdr:to>
      <xdr:col>11</xdr:col>
      <xdr:colOff>25400</xdr:colOff>
      <xdr:row>24</xdr:row>
      <xdr:rowOff>152400</xdr:rowOff>
    </xdr:to>
    <xdr:graphicFrame macro="">
      <xdr:nvGraphicFramePr>
        <xdr:cNvPr id="24" name="Chart 23">
          <a:extLst>
            <a:ext uri="{FF2B5EF4-FFF2-40B4-BE49-F238E27FC236}">
              <a16:creationId xmlns:a16="http://schemas.microsoft.com/office/drawing/2014/main" id="{96A2E63F-20A1-47A2-BB2D-DFE08BD0B5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38100</xdr:colOff>
      <xdr:row>11</xdr:row>
      <xdr:rowOff>38100</xdr:rowOff>
    </xdr:from>
    <xdr:to>
      <xdr:col>15</xdr:col>
      <xdr:colOff>400050</xdr:colOff>
      <xdr:row>24</xdr:row>
      <xdr:rowOff>171450</xdr:rowOff>
    </xdr:to>
    <xdr:graphicFrame macro="">
      <xdr:nvGraphicFramePr>
        <xdr:cNvPr id="25" name="Chart 24">
          <a:extLst>
            <a:ext uri="{FF2B5EF4-FFF2-40B4-BE49-F238E27FC236}">
              <a16:creationId xmlns:a16="http://schemas.microsoft.com/office/drawing/2014/main" id="{FB75394C-4D34-459A-8974-4584693A23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38100</xdr:colOff>
      <xdr:row>19</xdr:row>
      <xdr:rowOff>38100</xdr:rowOff>
    </xdr:from>
    <xdr:to>
      <xdr:col>4</xdr:col>
      <xdr:colOff>12700</xdr:colOff>
      <xdr:row>34</xdr:row>
      <xdr:rowOff>101600</xdr:rowOff>
    </xdr:to>
    <mc:AlternateContent xmlns:mc="http://schemas.openxmlformats.org/markup-compatibility/2006">
      <mc:Choice xmlns:cx4="http://schemas.microsoft.com/office/drawing/2016/5/10/chartex" Requires="cx4">
        <xdr:graphicFrame macro="">
          <xdr:nvGraphicFramePr>
            <xdr:cNvPr id="26" name="Chart 25">
              <a:extLst>
                <a:ext uri="{FF2B5EF4-FFF2-40B4-BE49-F238E27FC236}">
                  <a16:creationId xmlns:a16="http://schemas.microsoft.com/office/drawing/2014/main" id="{2FE08DFB-8D7B-441B-BF22-AF15BE8B0FE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38100" y="3536950"/>
              <a:ext cx="2413000" cy="2825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133351</xdr:colOff>
      <xdr:row>24</xdr:row>
      <xdr:rowOff>165100</xdr:rowOff>
    </xdr:from>
    <xdr:to>
      <xdr:col>19</xdr:col>
      <xdr:colOff>400050</xdr:colOff>
      <xdr:row>34</xdr:row>
      <xdr:rowOff>88982</xdr:rowOff>
    </xdr:to>
    <xdr:graphicFrame macro="">
      <xdr:nvGraphicFramePr>
        <xdr:cNvPr id="27" name="Chart 26">
          <a:extLst>
            <a:ext uri="{FF2B5EF4-FFF2-40B4-BE49-F238E27FC236}">
              <a16:creationId xmlns:a16="http://schemas.microsoft.com/office/drawing/2014/main" id="{9DAA0F89-E949-479C-835E-C2B20EF6B3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6350</xdr:colOff>
      <xdr:row>11</xdr:row>
      <xdr:rowOff>44450</xdr:rowOff>
    </xdr:from>
    <xdr:to>
      <xdr:col>6</xdr:col>
      <xdr:colOff>508000</xdr:colOff>
      <xdr:row>19</xdr:row>
      <xdr:rowOff>44450</xdr:rowOff>
    </xdr:to>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2AB1C788-8983-4174-A8FA-A6A7769B250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6350" y="2070100"/>
              <a:ext cx="4159250" cy="147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368300</xdr:colOff>
      <xdr:row>11</xdr:row>
      <xdr:rowOff>44450</xdr:rowOff>
    </xdr:from>
    <xdr:to>
      <xdr:col>19</xdr:col>
      <xdr:colOff>365578</xdr:colOff>
      <xdr:row>24</xdr:row>
      <xdr:rowOff>165100</xdr:rowOff>
    </xdr:to>
    <xdr:graphicFrame macro="">
      <xdr:nvGraphicFramePr>
        <xdr:cNvPr id="29" name="Chart 28">
          <a:extLst>
            <a:ext uri="{FF2B5EF4-FFF2-40B4-BE49-F238E27FC236}">
              <a16:creationId xmlns:a16="http://schemas.microsoft.com/office/drawing/2014/main" id="{9632C38F-5F8B-4463-BE58-2A82A48F13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25400</xdr:colOff>
      <xdr:row>19</xdr:row>
      <xdr:rowOff>44450</xdr:rowOff>
    </xdr:from>
    <xdr:to>
      <xdr:col>6</xdr:col>
      <xdr:colOff>508000</xdr:colOff>
      <xdr:row>27</xdr:row>
      <xdr:rowOff>63500</xdr:rowOff>
    </xdr:to>
    <xdr:graphicFrame macro="">
      <xdr:nvGraphicFramePr>
        <xdr:cNvPr id="31" name="Chart 30">
          <a:extLst>
            <a:ext uri="{FF2B5EF4-FFF2-40B4-BE49-F238E27FC236}">
              <a16:creationId xmlns:a16="http://schemas.microsoft.com/office/drawing/2014/main" id="{F2AAD423-9673-4E94-A442-A223CBB025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25400</xdr:colOff>
      <xdr:row>27</xdr:row>
      <xdr:rowOff>69851</xdr:rowOff>
    </xdr:from>
    <xdr:to>
      <xdr:col>6</xdr:col>
      <xdr:colOff>508000</xdr:colOff>
      <xdr:row>34</xdr:row>
      <xdr:rowOff>101600</xdr:rowOff>
    </xdr:to>
    <xdr:graphicFrame macro="">
      <xdr:nvGraphicFramePr>
        <xdr:cNvPr id="32" name="Chart 31">
          <a:extLst>
            <a:ext uri="{FF2B5EF4-FFF2-40B4-BE49-F238E27FC236}">
              <a16:creationId xmlns:a16="http://schemas.microsoft.com/office/drawing/2014/main" id="{593167FE-0B7C-4FF5-9743-9730E05A87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6</xdr:col>
      <xdr:colOff>520700</xdr:colOff>
      <xdr:row>24</xdr:row>
      <xdr:rowOff>158750</xdr:rowOff>
    </xdr:from>
    <xdr:to>
      <xdr:col>10</xdr:col>
      <xdr:colOff>152399</xdr:colOff>
      <xdr:row>34</xdr:row>
      <xdr:rowOff>88900</xdr:rowOff>
    </xdr:to>
    <xdr:graphicFrame macro="">
      <xdr:nvGraphicFramePr>
        <xdr:cNvPr id="33" name="Chart 32">
          <a:extLst>
            <a:ext uri="{FF2B5EF4-FFF2-40B4-BE49-F238E27FC236}">
              <a16:creationId xmlns:a16="http://schemas.microsoft.com/office/drawing/2014/main" id="{ABDE398F-BE74-4DAF-BE77-E2AAAF53C4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nendu Bir" refreshedDate="46281.663780902774" createdVersion="8" refreshedVersion="8" minRefreshableVersion="3" recordCount="1001" xr:uid="{99DB9D6E-1788-4E2D-90B0-5C26D12EEBF3}">
  <cacheSource type="worksheet">
    <worksheetSource ref="A1:AA1002" sheet="mian data"/>
  </cacheSource>
  <cacheFields count="30">
    <cacheField name="OrderID" numFmtId="0">
      <sharedItems/>
    </cacheField>
    <cacheField name="OrderDate" numFmtId="15">
      <sharedItems containsSemiMixedTypes="0" containsNonDate="0" containsDate="1" containsString="0" minDate="2025-04-10T00:00:00" maxDate="2026-04-10T00:00:00" count="339">
        <d v="2025-07-16T00:00:00"/>
        <d v="2025-05-14T00:00:00"/>
        <d v="2025-08-28T00:00:00"/>
        <d v="2025-07-12T00:00:00"/>
        <d v="2025-09-29T00:00:00"/>
        <d v="2026-02-05T00:00:00"/>
        <d v="2025-12-18T00:00:00"/>
        <d v="2025-05-04T00:00:00"/>
        <d v="2025-05-01T00:00:00"/>
        <d v="2025-07-25T00:00:00"/>
        <d v="2025-06-24T00:00:00"/>
        <d v="2026-01-11T00:00:00"/>
        <d v="2025-11-09T00:00:00"/>
        <d v="2025-10-30T00:00:00"/>
        <d v="2026-03-13T00:00:00"/>
        <d v="2025-12-10T00:00:00"/>
        <d v="2025-05-31T00:00:00"/>
        <d v="2025-05-07T00:00:00"/>
        <d v="2025-11-26T00:00:00"/>
        <d v="2025-08-26T00:00:00"/>
        <d v="2025-12-28T00:00:00"/>
        <d v="2025-12-23T00:00:00"/>
        <d v="2026-02-26T00:00:00"/>
        <d v="2025-09-30T00:00:00"/>
        <d v="2026-03-26T00:00:00"/>
        <d v="2026-01-27T00:00:00"/>
        <d v="2026-04-04T00:00:00"/>
        <d v="2025-08-12T00:00:00"/>
        <d v="2025-06-14T00:00:00"/>
        <d v="2025-12-13T00:00:00"/>
        <d v="2025-10-10T00:00:00"/>
        <d v="2026-02-15T00:00:00"/>
        <d v="2025-05-30T00:00:00"/>
        <d v="2025-08-05T00:00:00"/>
        <d v="2025-11-21T00:00:00"/>
        <d v="2026-01-04T00:00:00"/>
        <d v="2025-06-13T00:00:00"/>
        <d v="2025-09-11T00:00:00"/>
        <d v="2025-09-13T00:00:00"/>
        <d v="2026-04-08T00:00:00"/>
        <d v="2025-04-29T00:00:00"/>
        <d v="2026-02-08T00:00:00"/>
        <d v="2025-11-19T00:00:00"/>
        <d v="2025-06-18T00:00:00"/>
        <d v="2025-09-04T00:00:00"/>
        <d v="2025-09-20T00:00:00"/>
        <d v="2025-06-22T00:00:00"/>
        <d v="2025-08-31T00:00:00"/>
        <d v="2025-09-22T00:00:00"/>
        <d v="2026-03-06T00:00:00"/>
        <d v="2025-06-11T00:00:00"/>
        <d v="2025-07-22T00:00:00"/>
        <d v="2025-06-09T00:00:00"/>
        <d v="2026-01-15T00:00:00"/>
        <d v="2026-01-10T00:00:00"/>
        <d v="2025-12-06T00:00:00"/>
        <d v="2025-09-27T00:00:00"/>
        <d v="2025-05-24T00:00:00"/>
        <d v="2025-08-17T00:00:00"/>
        <d v="2025-09-18T00:00:00"/>
        <d v="2025-09-09T00:00:00"/>
        <d v="2025-09-05T00:00:00"/>
        <d v="2025-07-08T00:00:00"/>
        <d v="2025-11-14T00:00:00"/>
        <d v="2025-10-23T00:00:00"/>
        <d v="2026-01-12T00:00:00"/>
        <d v="2025-08-04T00:00:00"/>
        <d v="2025-10-13T00:00:00"/>
        <d v="2025-08-10T00:00:00"/>
        <d v="2025-07-09T00:00:00"/>
        <d v="2025-05-27T00:00:00"/>
        <d v="2025-11-04T00:00:00"/>
        <d v="2025-07-19T00:00:00"/>
        <d v="2026-04-02T00:00:00"/>
        <d v="2025-09-08T00:00:00"/>
        <d v="2025-06-01T00:00:00"/>
        <d v="2025-04-14T00:00:00"/>
        <d v="2026-01-31T00:00:00"/>
        <d v="2025-11-07T00:00:00"/>
        <d v="2025-07-29T00:00:00"/>
        <d v="2025-07-27T00:00:00"/>
        <d v="2026-01-09T00:00:00"/>
        <d v="2025-04-15T00:00:00"/>
        <d v="2025-06-04T00:00:00"/>
        <d v="2025-08-22T00:00:00"/>
        <d v="2026-03-27T00:00:00"/>
        <d v="2025-05-16T00:00:00"/>
        <d v="2026-01-01T00:00:00"/>
        <d v="2025-04-18T00:00:00"/>
        <d v="2025-07-18T00:00:00"/>
        <d v="2025-10-18T00:00:00"/>
        <d v="2025-10-20T00:00:00"/>
        <d v="2025-10-05T00:00:00"/>
        <d v="2026-01-17T00:00:00"/>
        <d v="2025-07-07T00:00:00"/>
        <d v="2025-12-02T00:00:00"/>
        <d v="2025-11-22T00:00:00"/>
        <d v="2026-03-14T00:00:00"/>
        <d v="2025-06-26T00:00:00"/>
        <d v="2026-02-27T00:00:00"/>
        <d v="2025-11-24T00:00:00"/>
        <d v="2025-12-11T00:00:00"/>
        <d v="2025-08-29T00:00:00"/>
        <d v="2025-09-07T00:00:00"/>
        <d v="2025-08-01T00:00:00"/>
        <d v="2025-12-26T00:00:00"/>
        <d v="2025-08-30T00:00:00"/>
        <d v="2026-03-31T00:00:00"/>
        <d v="2025-05-23T00:00:00"/>
        <d v="2025-07-14T00:00:00"/>
        <d v="2025-04-24T00:00:00"/>
        <d v="2025-09-10T00:00:00"/>
        <d v="2025-07-06T00:00:00"/>
        <d v="2025-12-30T00:00:00"/>
        <d v="2025-07-31T00:00:00"/>
        <d v="2025-10-11T00:00:00"/>
        <d v="2025-06-23T00:00:00"/>
        <d v="2025-05-09T00:00:00"/>
        <d v="2025-10-09T00:00:00"/>
        <d v="2025-10-17T00:00:00"/>
        <d v="2025-06-02T00:00:00"/>
        <d v="2025-09-03T00:00:00"/>
        <d v="2025-08-21T00:00:00"/>
        <d v="2025-04-25T00:00:00"/>
        <d v="2025-06-20T00:00:00"/>
        <d v="2025-11-13T00:00:00"/>
        <d v="2026-02-11T00:00:00"/>
        <d v="2025-07-15T00:00:00"/>
        <d v="2026-01-21T00:00:00"/>
        <d v="2025-10-19T00:00:00"/>
        <d v="2025-09-23T00:00:00"/>
        <d v="2026-02-06T00:00:00"/>
        <d v="2025-06-29T00:00:00"/>
        <d v="2026-03-04T00:00:00"/>
        <d v="2025-10-26T00:00:00"/>
        <d v="2025-10-01T00:00:00"/>
        <d v="2025-10-08T00:00:00"/>
        <d v="2025-07-30T00:00:00"/>
        <d v="2025-09-25T00:00:00"/>
        <d v="2025-07-04T00:00:00"/>
        <d v="2025-12-20T00:00:00"/>
        <d v="2026-03-20T00:00:00"/>
        <d v="2026-01-06T00:00:00"/>
        <d v="2025-10-24T00:00:00"/>
        <d v="2025-11-29T00:00:00"/>
        <d v="2026-02-22T00:00:00"/>
        <d v="2025-07-11T00:00:00"/>
        <d v="2025-07-02T00:00:00"/>
        <d v="2025-12-03T00:00:00"/>
        <d v="2025-06-06T00:00:00"/>
        <d v="2025-05-25T00:00:00"/>
        <d v="2025-12-16T00:00:00"/>
        <d v="2025-12-14T00:00:00"/>
        <d v="2026-03-18T00:00:00"/>
        <d v="2025-07-24T00:00:00"/>
        <d v="2026-02-19T00:00:00"/>
        <d v="2025-05-29T00:00:00"/>
        <d v="2025-09-26T00:00:00"/>
        <d v="2025-05-20T00:00:00"/>
        <d v="2025-09-12T00:00:00"/>
        <d v="2025-12-29T00:00:00"/>
        <d v="2025-06-28T00:00:00"/>
        <d v="2025-12-22T00:00:00"/>
        <d v="2026-03-05T00:00:00"/>
        <d v="2026-02-03T00:00:00"/>
        <d v="2025-12-15T00:00:00"/>
        <d v="2025-05-03T00:00:00"/>
        <d v="2025-11-12T00:00:00"/>
        <d v="2025-12-12T00:00:00"/>
        <d v="2025-10-15T00:00:00"/>
        <d v="2026-04-05T00:00:00"/>
        <d v="2026-01-05T00:00:00"/>
        <d v="2026-03-11T00:00:00"/>
        <d v="2026-02-17T00:00:00"/>
        <d v="2026-03-03T00:00:00"/>
        <d v="2025-08-16T00:00:00"/>
        <d v="2026-02-12T00:00:00"/>
        <d v="2025-05-13T00:00:00"/>
        <d v="2026-04-09T00:00:00"/>
        <d v="2025-08-07T00:00:00"/>
        <d v="2025-10-04T00:00:00"/>
        <d v="2025-10-07T00:00:00"/>
        <d v="2025-12-24T00:00:00"/>
        <d v="2025-08-02T00:00:00"/>
        <d v="2025-08-08T00:00:00"/>
        <d v="2025-11-17T00:00:00"/>
        <d v="2025-08-03T00:00:00"/>
        <d v="2025-04-26T00:00:00"/>
        <d v="2026-01-20T00:00:00"/>
        <d v="2026-04-03T00:00:00"/>
        <d v="2026-03-12T00:00:00"/>
        <d v="2026-03-10T00:00:00"/>
        <d v="2025-06-08T00:00:00"/>
        <d v="2026-03-22T00:00:00"/>
        <d v="2025-05-10T00:00:00"/>
        <d v="2025-04-12T00:00:00"/>
        <d v="2026-01-14T00:00:00"/>
        <d v="2025-12-31T00:00:00"/>
        <d v="2026-01-02T00:00:00"/>
        <d v="2025-06-16T00:00:00"/>
        <d v="2026-03-23T00:00:00"/>
        <d v="2025-06-03T00:00:00"/>
        <d v="2025-06-27T00:00:00"/>
        <d v="2025-08-27T00:00:00"/>
        <d v="2025-11-02T00:00:00"/>
        <d v="2025-05-17T00:00:00"/>
        <d v="2025-08-23T00:00:00"/>
        <d v="2025-05-19T00:00:00"/>
        <d v="2025-12-27T00:00:00"/>
        <d v="2026-01-22T00:00:00"/>
        <d v="2025-04-16T00:00:00"/>
        <d v="2026-03-30T00:00:00"/>
        <d v="2025-07-10T00:00:00"/>
        <d v="2025-06-12T00:00:00"/>
        <d v="2026-04-06T00:00:00"/>
        <d v="2026-01-16T00:00:00"/>
        <d v="2026-01-23T00:00:00"/>
        <d v="2025-04-19T00:00:00"/>
        <d v="2026-01-03T00:00:00"/>
        <d v="2025-11-25T00:00:00"/>
        <d v="2025-12-19T00:00:00"/>
        <d v="2026-01-29T00:00:00"/>
        <d v="2026-02-28T00:00:00"/>
        <d v="2026-01-07T00:00:00"/>
        <d v="2025-10-27T00:00:00"/>
        <d v="2025-05-12T00:00:00"/>
        <d v="2025-08-11T00:00:00"/>
        <d v="2025-08-09T00:00:00"/>
        <d v="2025-09-17T00:00:00"/>
        <d v="2025-10-29T00:00:00"/>
        <d v="2025-05-28T00:00:00"/>
        <d v="2026-02-04T00:00:00"/>
        <d v="2025-12-17T00:00:00"/>
        <d v="2025-05-26T00:00:00"/>
        <d v="2025-09-16T00:00:00"/>
        <d v="2025-05-22T00:00:00"/>
        <d v="2025-05-15T00:00:00"/>
        <d v="2026-03-07T00:00:00"/>
        <d v="2026-03-01T00:00:00"/>
        <d v="2025-08-24T00:00:00"/>
        <d v="2026-02-18T00:00:00"/>
        <d v="2025-12-08T00:00:00"/>
        <d v="2025-09-14T00:00:00"/>
        <d v="2025-05-21T00:00:00"/>
        <d v="2025-11-08T00:00:00"/>
        <d v="2025-11-01T00:00:00"/>
        <d v="2025-10-06T00:00:00"/>
        <d v="2025-04-22T00:00:00"/>
        <d v="2025-07-05T00:00:00"/>
        <d v="2025-04-21T00:00:00"/>
        <d v="2025-10-25T00:00:00"/>
        <d v="2025-08-20T00:00:00"/>
        <d v="2025-12-21T00:00:00"/>
        <d v="2025-04-11T00:00:00"/>
        <d v="2025-09-28T00:00:00"/>
        <d v="2025-11-27T00:00:00"/>
        <d v="2026-02-14T00:00:00"/>
        <d v="2026-03-02T00:00:00"/>
        <d v="2025-12-04T00:00:00"/>
        <d v="2025-11-03T00:00:00"/>
        <d v="2025-10-31T00:00:00"/>
        <d v="2025-12-07T00:00:00"/>
        <d v="2026-01-25T00:00:00"/>
        <d v="2025-09-24T00:00:00"/>
        <d v="2025-05-18T00:00:00"/>
        <d v="2025-07-26T00:00:00"/>
        <d v="2026-03-28T00:00:00"/>
        <d v="2025-12-09T00:00:00"/>
        <d v="2026-02-09T00:00:00"/>
        <d v="2026-03-08T00:00:00"/>
        <d v="2025-09-21T00:00:00"/>
        <d v="2025-04-23T00:00:00"/>
        <d v="2026-03-25T00:00:00"/>
        <d v="2025-12-25T00:00:00"/>
        <d v="2025-11-05T00:00:00"/>
        <d v="2026-02-21T00:00:00"/>
        <d v="2025-10-22T00:00:00"/>
        <d v="2025-08-13T00:00:00"/>
        <d v="2026-03-15T00:00:00"/>
        <d v="2025-11-28T00:00:00"/>
        <d v="2026-04-01T00:00:00"/>
        <d v="2025-06-05T00:00:00"/>
        <d v="2025-06-21T00:00:00"/>
        <d v="2025-09-01T00:00:00"/>
        <d v="2025-10-21T00:00:00"/>
        <d v="2026-02-13T00:00:00"/>
        <d v="2025-09-02T00:00:00"/>
        <d v="2026-01-19T00:00:00"/>
        <d v="2025-04-17T00:00:00"/>
        <d v="2025-08-06T00:00:00"/>
        <d v="2026-03-24T00:00:00"/>
        <d v="2025-08-18T00:00:00"/>
        <d v="2025-07-03T00:00:00"/>
        <d v="2025-06-19T00:00:00"/>
        <d v="2026-02-10T00:00:00"/>
        <d v="2025-11-06T00:00:00"/>
        <d v="2025-11-11T00:00:00"/>
        <d v="2025-08-15T00:00:00"/>
        <d v="2025-09-06T00:00:00"/>
        <d v="2025-04-20T00:00:00"/>
        <d v="2025-12-05T00:00:00"/>
        <d v="2026-03-09T00:00:00"/>
        <d v="2025-06-30T00:00:00"/>
        <d v="2025-10-03T00:00:00"/>
        <d v="2026-04-07T00:00:00"/>
        <d v="2025-07-01T00:00:00"/>
        <d v="2025-07-20T00:00:00"/>
        <d v="2025-05-06T00:00:00"/>
        <d v="2025-11-20T00:00:00"/>
        <d v="2025-07-21T00:00:00"/>
        <d v="2025-04-27T00:00:00"/>
        <d v="2025-04-30T00:00:00"/>
        <d v="2026-01-24T00:00:00"/>
        <d v="2025-06-10T00:00:00"/>
        <d v="2025-05-11T00:00:00"/>
        <d v="2026-01-08T00:00:00"/>
        <d v="2026-02-24T00:00:00"/>
        <d v="2026-02-25T00:00:00"/>
        <d v="2025-04-28T00:00:00"/>
        <d v="2025-05-05T00:00:00"/>
        <d v="2025-07-28T00:00:00"/>
        <d v="2026-02-01T00:00:00"/>
        <d v="2025-04-10T00:00:00"/>
        <d v="2026-01-30T00:00:00"/>
        <d v="2025-08-19T00:00:00"/>
        <d v="2026-01-13T00:00:00"/>
        <d v="2025-11-16T00:00:00"/>
        <d v="2025-06-17T00:00:00"/>
        <d v="2025-10-12T00:00:00"/>
        <d v="2025-08-25T00:00:00"/>
        <d v="2025-10-28T00:00:00"/>
        <d v="2026-02-02T00:00:00"/>
        <d v="2025-11-23T00:00:00"/>
        <d v="2025-06-15T00:00:00"/>
        <d v="2025-10-16T00:00:00"/>
        <d v="2026-02-20T00:00:00"/>
        <d v="2025-11-15T00:00:00"/>
        <d v="2025-11-10T00:00:00"/>
        <d v="2025-07-17T00:00:00"/>
      </sharedItems>
      <fieldGroup par="29"/>
    </cacheField>
    <cacheField name="CustomerID" numFmtId="0">
      <sharedItems/>
    </cacheField>
    <cacheField name="CustomerName" numFmtId="0">
      <sharedItems/>
    </cacheField>
    <cacheField name="Gender" numFmtId="0">
      <sharedItems count="2">
        <s v="Female"/>
        <s v="Male"/>
      </sharedItems>
    </cacheField>
    <cacheField name="Age" numFmtId="0">
      <sharedItems containsSemiMixedTypes="0" containsString="0" containsNumber="1" containsInteger="1" minValue="18" maxValue="60" count="43">
        <n v="35"/>
        <n v="45"/>
        <n v="29"/>
        <n v="18"/>
        <n v="22"/>
        <n v="42"/>
        <n v="28"/>
        <n v="52"/>
        <n v="32"/>
        <n v="58"/>
        <n v="25"/>
        <n v="19"/>
        <n v="51"/>
        <n v="31"/>
        <n v="55"/>
        <n v="36"/>
        <n v="54"/>
        <n v="56"/>
        <n v="30"/>
        <n v="48"/>
        <n v="43"/>
        <n v="44"/>
        <n v="59"/>
        <n v="60"/>
        <n v="57"/>
        <n v="47"/>
        <n v="37"/>
        <n v="53"/>
        <n v="50"/>
        <n v="27"/>
        <n v="33"/>
        <n v="20"/>
        <n v="40"/>
        <n v="26"/>
        <n v="49"/>
        <n v="24"/>
        <n v="34"/>
        <n v="23"/>
        <n v="39"/>
        <n v="41"/>
        <n v="46"/>
        <n v="38"/>
        <n v="21"/>
      </sharedItems>
    </cacheField>
    <cacheField name="Product" numFmtId="0">
      <sharedItems count="10">
        <s v="Headphones"/>
        <s v="Keyboard"/>
        <s v="Shoes"/>
        <s v="Backpack"/>
        <s v="Laptop"/>
        <s v="Camera"/>
        <s v="Phone"/>
        <s v="Watch"/>
        <s v="Tablet"/>
        <s v="Mouse"/>
      </sharedItems>
    </cacheField>
    <cacheField name="Category" numFmtId="0">
      <sharedItems count="3">
        <s v="Electronics"/>
        <s v="Fashion"/>
        <s v="Accessories"/>
      </sharedItems>
    </cacheField>
    <cacheField name="SubCategory" numFmtId="0">
      <sharedItems count="12">
        <s v="Headphones"/>
        <s v="Keyboard"/>
        <s v="Shoes"/>
        <s v="Backpack"/>
        <s v="Laptop"/>
        <s v="Camera"/>
        <s v="Phone"/>
        <s v="Watch"/>
        <s v="Tablet"/>
        <s v="Mouse"/>
        <s v="USB"/>
        <s v="USB Cable"/>
      </sharedItems>
    </cacheField>
    <cacheField name="Brand" numFmtId="0">
      <sharedItems count="10">
        <s v="Sony"/>
        <s v="Boat"/>
        <s v="Dell"/>
        <s v="HP"/>
        <s v="Lenovo"/>
        <s v="Samsung"/>
        <s v="Nike"/>
        <s v="Apple"/>
        <s v="Noise"/>
        <s v="Adidas"/>
      </sharedItems>
    </cacheField>
    <cacheField name="Quantity" numFmtId="0">
      <sharedItems containsSemiMixedTypes="0" containsString="0" containsNumber="1" containsInteger="1" minValue="1" maxValue="5"/>
    </cacheField>
    <cacheField name="UnitPrice" numFmtId="0">
      <sharedItems containsSemiMixedTypes="0" containsString="0" containsNumber="1" containsInteger="1" minValue="528" maxValue="49982"/>
    </cacheField>
    <cacheField name="Discount" numFmtId="0">
      <sharedItems containsSemiMixedTypes="0" containsString="0" containsNumber="1" containsInteger="1" minValue="0" maxValue="20"/>
    </cacheField>
    <cacheField name="DiscountAmount" numFmtId="0">
      <sharedItems containsSemiMixedTypes="0" containsString="0" containsNumber="1" minValue="0" maxValue="49241"/>
    </cacheField>
    <cacheField name="Tax" numFmtId="0">
      <sharedItems containsSemiMixedTypes="0" containsString="0" containsNumber="1" minValue="104.58" maxValue="44473.5"/>
    </cacheField>
    <cacheField name="ShippingCost" numFmtId="0">
      <sharedItems containsSemiMixedTypes="0" containsString="0" containsNumber="1" containsInteger="1" minValue="0" maxValue="499"/>
    </cacheField>
    <cacheField name="TotalAmountEWTShipping" numFmtId="0">
      <sharedItems containsSemiMixedTypes="0" containsString="0" containsNumber="1" minValue="685.58" maxValue="291548.5"/>
    </cacheField>
    <cacheField name="TotalAmount" numFmtId="0">
      <sharedItems containsSemiMixedTypes="0" containsString="0" containsNumber="1" minValue="704.58" maxValue="291645.5"/>
    </cacheField>
    <cacheField name="PaymentMethod" numFmtId="0">
      <sharedItems count="4">
        <s v="Net Banking"/>
        <s v="Cash on Delivery"/>
        <s v="UPI"/>
        <s v="Card"/>
      </sharedItems>
    </cacheField>
    <cacheField name="OrderChannel" numFmtId="0">
      <sharedItems count="2">
        <s v="Website"/>
        <s v="Mobile App"/>
      </sharedItems>
    </cacheField>
    <cacheField name="City" numFmtId="0">
      <sharedItems/>
    </cacheField>
    <cacheField name="State" numFmtId="0">
      <sharedItems count="6">
        <s v="Maharashtra"/>
        <s v="Punjab"/>
        <s v="Rajasthan"/>
        <s v="Karnataka"/>
        <s v="Uttar Pradesh"/>
        <s v="Delhi"/>
      </sharedItems>
    </cacheField>
    <cacheField name="Region" numFmtId="0">
      <sharedItems count="3">
        <s v="West"/>
        <s v="North"/>
        <s v="South"/>
      </sharedItems>
    </cacheField>
    <cacheField name="DeliveryDays" numFmtId="0">
      <sharedItems containsSemiMixedTypes="0" containsString="0" containsNumber="1" containsInteger="1" minValue="1" maxValue="10"/>
    </cacheField>
    <cacheField name="ReturnStatus" numFmtId="0">
      <sharedItems count="2">
        <s v="No Return"/>
        <s v="Returned"/>
      </sharedItems>
    </cacheField>
    <cacheField name="Rating" numFmtId="0">
      <sharedItems containsSemiMixedTypes="0" containsString="0" containsNumber="1" containsInteger="1" minValue="1" maxValue="5"/>
    </cacheField>
    <cacheField name="Status" numFmtId="0">
      <sharedItems count="4">
        <s v="Delivered"/>
        <s v="Returned"/>
        <s v="Cancelled"/>
        <s v="Shipped"/>
      </sharedItems>
    </cacheField>
    <cacheField name="Months (OrderDate)" numFmtId="0" databaseField="0">
      <fieldGroup base="1">
        <rangePr groupBy="months" startDate="2025-04-10T00:00:00" endDate="2026-04-10T00:00:00"/>
        <groupItems count="14">
          <s v="&lt;10-04-2025"/>
          <s v="Jan"/>
          <s v="Feb"/>
          <s v="Mar"/>
          <s v="Apr"/>
          <s v="May"/>
          <s v="Jun"/>
          <s v="Jul"/>
          <s v="Aug"/>
          <s v="Sep"/>
          <s v="Oct"/>
          <s v="Nov"/>
          <s v="Dec"/>
          <s v="&gt;10-04-2026"/>
        </groupItems>
      </fieldGroup>
    </cacheField>
    <cacheField name="Quarters (OrderDate)" numFmtId="0" databaseField="0">
      <fieldGroup base="1">
        <rangePr groupBy="quarters" startDate="2025-04-10T00:00:00" endDate="2026-04-10T00:00:00"/>
        <groupItems count="6">
          <s v="&lt;10-04-2025"/>
          <s v="Qtr1"/>
          <s v="Qtr2"/>
          <s v="Qtr3"/>
          <s v="Qtr4"/>
          <s v="&gt;10-04-2026"/>
        </groupItems>
      </fieldGroup>
    </cacheField>
    <cacheField name="Years (OrderDate)" numFmtId="0" databaseField="0">
      <fieldGroup base="1">
        <rangePr groupBy="years" startDate="2025-04-10T00:00:00" endDate="2026-04-10T00:00:00"/>
        <groupItems count="4">
          <s v="&lt;10-04-2025"/>
          <s v="2025"/>
          <s v="2026"/>
          <s v="&gt;10-04-2026"/>
        </groupItems>
      </fieldGroup>
    </cacheField>
  </cacheFields>
  <extLst>
    <ext xmlns:x14="http://schemas.microsoft.com/office/spreadsheetml/2009/9/main" uri="{725AE2AE-9491-48be-B2B4-4EB974FC3084}">
      <x14:pivotCacheDefinition pivotCacheId="6783228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ORD00001"/>
    <x v="0"/>
    <s v="CUST883"/>
    <s v="Rahul"/>
    <x v="0"/>
    <x v="0"/>
    <x v="0"/>
    <x v="0"/>
    <x v="0"/>
    <x v="0"/>
    <n v="2"/>
    <n v="24446"/>
    <n v="5"/>
    <n v="2444.6"/>
    <n v="8360.5300000000007"/>
    <n v="310"/>
    <n v="54807.93"/>
    <n v="55117.93"/>
    <x v="0"/>
    <x v="0"/>
    <s v="Mumbai"/>
    <x v="0"/>
    <x v="0"/>
    <n v="1"/>
    <x v="0"/>
    <n v="1"/>
    <x v="0"/>
  </r>
  <r>
    <s v="ORD00002"/>
    <x v="1"/>
    <s v="CUST657"/>
    <s v="Neha"/>
    <x v="1"/>
    <x v="1"/>
    <x v="1"/>
    <x v="0"/>
    <x v="1"/>
    <x v="0"/>
    <n v="2"/>
    <n v="18047"/>
    <n v="20"/>
    <n v="7218.8"/>
    <n v="5197.54"/>
    <n v="363"/>
    <n v="34072.74"/>
    <n v="34435.74"/>
    <x v="1"/>
    <x v="0"/>
    <s v="Pune"/>
    <x v="0"/>
    <x v="0"/>
    <n v="4"/>
    <x v="0"/>
    <n v="1"/>
    <x v="1"/>
  </r>
  <r>
    <s v="ORD00003"/>
    <x v="2"/>
    <s v="CUST546"/>
    <s v="Arjun"/>
    <x v="0"/>
    <x v="2"/>
    <x v="2"/>
    <x v="1"/>
    <x v="2"/>
    <x v="1"/>
    <n v="2"/>
    <n v="15876"/>
    <n v="5"/>
    <n v="1587.6"/>
    <n v="5429.59"/>
    <n v="156"/>
    <n v="35593.99"/>
    <n v="35749.99"/>
    <x v="2"/>
    <x v="0"/>
    <s v="Chandigarh"/>
    <x v="1"/>
    <x v="1"/>
    <n v="3"/>
    <x v="0"/>
    <n v="4"/>
    <x v="2"/>
  </r>
  <r>
    <s v="ORD00004"/>
    <x v="3"/>
    <s v="CUST355"/>
    <s v="Priya"/>
    <x v="0"/>
    <x v="3"/>
    <x v="1"/>
    <x v="0"/>
    <x v="1"/>
    <x v="2"/>
    <n v="4"/>
    <n v="22930"/>
    <n v="15"/>
    <n v="13758"/>
    <n v="14033.16"/>
    <n v="264"/>
    <n v="91995.16"/>
    <n v="92259.16"/>
    <x v="1"/>
    <x v="1"/>
    <s v="Chandigarh"/>
    <x v="1"/>
    <x v="1"/>
    <n v="10"/>
    <x v="0"/>
    <n v="2"/>
    <x v="0"/>
  </r>
  <r>
    <s v="ORD00005"/>
    <x v="4"/>
    <s v="CUST595"/>
    <s v="Vikas"/>
    <x v="1"/>
    <x v="4"/>
    <x v="3"/>
    <x v="2"/>
    <x v="3"/>
    <x v="3"/>
    <n v="3"/>
    <n v="28947"/>
    <n v="10"/>
    <n v="8684.1"/>
    <n v="14068.24"/>
    <n v="398"/>
    <n v="92225.14"/>
    <n v="92623.14"/>
    <x v="0"/>
    <x v="1"/>
    <s v="Patiala"/>
    <x v="1"/>
    <x v="1"/>
    <n v="6"/>
    <x v="0"/>
    <n v="2"/>
    <x v="0"/>
  </r>
  <r>
    <s v="ORD00006"/>
    <x v="5"/>
    <s v="CUST587"/>
    <s v="Sneha"/>
    <x v="1"/>
    <x v="1"/>
    <x v="4"/>
    <x v="0"/>
    <x v="4"/>
    <x v="4"/>
    <n v="5"/>
    <n v="5222"/>
    <n v="10"/>
    <n v="2611"/>
    <n v="4229.82"/>
    <n v="392"/>
    <n v="27728.82"/>
    <n v="28120.82"/>
    <x v="0"/>
    <x v="1"/>
    <s v="Jaipur"/>
    <x v="2"/>
    <x v="1"/>
    <n v="6"/>
    <x v="0"/>
    <n v="3"/>
    <x v="0"/>
  </r>
  <r>
    <s v="ORD00007"/>
    <x v="6"/>
    <s v="CUST842"/>
    <s v="Amit"/>
    <x v="0"/>
    <x v="5"/>
    <x v="0"/>
    <x v="0"/>
    <x v="0"/>
    <x v="2"/>
    <n v="3"/>
    <n v="47976"/>
    <n v="10"/>
    <n v="14392.8"/>
    <n v="23316.34"/>
    <n v="272"/>
    <n v="152851.54"/>
    <n v="153123.54"/>
    <x v="1"/>
    <x v="1"/>
    <s v="Mumbai"/>
    <x v="0"/>
    <x v="0"/>
    <n v="7"/>
    <x v="1"/>
    <n v="1"/>
    <x v="1"/>
  </r>
  <r>
    <s v="ORD00008"/>
    <x v="7"/>
    <s v="CUST666"/>
    <s v="Arjun"/>
    <x v="1"/>
    <x v="6"/>
    <x v="1"/>
    <x v="0"/>
    <x v="1"/>
    <x v="3"/>
    <n v="1"/>
    <n v="15216"/>
    <n v="10"/>
    <n v="1521.6"/>
    <n v="2464.9899999999998"/>
    <n v="366"/>
    <n v="16159.39"/>
    <n v="16525.39"/>
    <x v="3"/>
    <x v="0"/>
    <s v="Bangalore"/>
    <x v="3"/>
    <x v="2"/>
    <n v="3"/>
    <x v="0"/>
    <n v="4"/>
    <x v="1"/>
  </r>
  <r>
    <s v="ORD00009"/>
    <x v="8"/>
    <s v="CUST794"/>
    <s v="Karan"/>
    <x v="1"/>
    <x v="7"/>
    <x v="5"/>
    <x v="0"/>
    <x v="5"/>
    <x v="4"/>
    <n v="3"/>
    <n v="39902"/>
    <n v="0"/>
    <n v="0"/>
    <n v="21547.08"/>
    <n v="82"/>
    <n v="141253.07999999999"/>
    <n v="141335.07999999999"/>
    <x v="2"/>
    <x v="0"/>
    <s v="Bangalore"/>
    <x v="3"/>
    <x v="2"/>
    <n v="8"/>
    <x v="0"/>
    <n v="4"/>
    <x v="3"/>
  </r>
  <r>
    <s v="ORD00010"/>
    <x v="9"/>
    <s v="CUST126"/>
    <s v="Karan"/>
    <x v="0"/>
    <x v="8"/>
    <x v="6"/>
    <x v="0"/>
    <x v="6"/>
    <x v="0"/>
    <n v="5"/>
    <n v="20474"/>
    <n v="5"/>
    <n v="5118.5"/>
    <n v="17505.27"/>
    <n v="217"/>
    <n v="114756.77"/>
    <n v="114973.77"/>
    <x v="3"/>
    <x v="1"/>
    <s v="Lucknow"/>
    <x v="4"/>
    <x v="1"/>
    <n v="7"/>
    <x v="0"/>
    <n v="5"/>
    <x v="3"/>
  </r>
  <r>
    <s v="ORD00011"/>
    <x v="10"/>
    <s v="CUST244"/>
    <s v="Amit"/>
    <x v="1"/>
    <x v="4"/>
    <x v="7"/>
    <x v="1"/>
    <x v="7"/>
    <x v="2"/>
    <n v="5"/>
    <n v="33495"/>
    <n v="0"/>
    <n v="0"/>
    <n v="30145.5"/>
    <n v="336"/>
    <n v="197620.5"/>
    <n v="197956.5"/>
    <x v="3"/>
    <x v="0"/>
    <s v="Bangalore"/>
    <x v="3"/>
    <x v="2"/>
    <n v="10"/>
    <x v="0"/>
    <n v="4"/>
    <x v="1"/>
  </r>
  <r>
    <s v="ORD00012"/>
    <x v="11"/>
    <s v="CUST221"/>
    <s v="Arjun"/>
    <x v="0"/>
    <x v="9"/>
    <x v="0"/>
    <x v="0"/>
    <x v="0"/>
    <x v="5"/>
    <n v="5"/>
    <n v="28508"/>
    <n v="0"/>
    <n v="0"/>
    <n v="25657.200000000001"/>
    <n v="8"/>
    <n v="168197.2"/>
    <n v="168205.2"/>
    <x v="0"/>
    <x v="0"/>
    <s v="Delhi"/>
    <x v="5"/>
    <x v="1"/>
    <n v="4"/>
    <x v="1"/>
    <n v="1"/>
    <x v="1"/>
  </r>
  <r>
    <s v="ORD00013"/>
    <x v="12"/>
    <s v="CUST100"/>
    <s v="Vikas"/>
    <x v="0"/>
    <x v="10"/>
    <x v="6"/>
    <x v="0"/>
    <x v="6"/>
    <x v="3"/>
    <n v="3"/>
    <n v="25199"/>
    <n v="10"/>
    <n v="7559.7"/>
    <n v="12246.71"/>
    <n v="373"/>
    <n v="80284.009999999995"/>
    <n v="80657.009999999995"/>
    <x v="2"/>
    <x v="1"/>
    <s v="Lucknow"/>
    <x v="4"/>
    <x v="1"/>
    <n v="6"/>
    <x v="0"/>
    <n v="4"/>
    <x v="1"/>
  </r>
  <r>
    <s v="ORD00014"/>
    <x v="13"/>
    <s v="CUST256"/>
    <s v="Anjali"/>
    <x v="0"/>
    <x v="4"/>
    <x v="2"/>
    <x v="1"/>
    <x v="2"/>
    <x v="2"/>
    <n v="3"/>
    <n v="528"/>
    <n v="5"/>
    <n v="79.2"/>
    <n v="270.86"/>
    <n v="489"/>
    <n v="1775.6599999999999"/>
    <n v="2264.66"/>
    <x v="3"/>
    <x v="1"/>
    <s v="Jaipur"/>
    <x v="2"/>
    <x v="1"/>
    <n v="7"/>
    <x v="1"/>
    <n v="5"/>
    <x v="0"/>
  </r>
  <r>
    <s v="ORD00015"/>
    <x v="14"/>
    <s v="CUST217"/>
    <s v="Riya"/>
    <x v="1"/>
    <x v="11"/>
    <x v="0"/>
    <x v="0"/>
    <x v="0"/>
    <x v="6"/>
    <n v="2"/>
    <n v="4978"/>
    <n v="10"/>
    <n v="995.6"/>
    <n v="1612.87"/>
    <n v="228"/>
    <n v="10573.27"/>
    <n v="10801.27"/>
    <x v="0"/>
    <x v="1"/>
    <s v="Jaipur"/>
    <x v="2"/>
    <x v="1"/>
    <n v="8"/>
    <x v="1"/>
    <n v="3"/>
    <x v="3"/>
  </r>
  <r>
    <s v="ORD00016"/>
    <x v="15"/>
    <s v="CUST814"/>
    <s v="Anjali"/>
    <x v="1"/>
    <x v="12"/>
    <x v="4"/>
    <x v="0"/>
    <x v="4"/>
    <x v="5"/>
    <n v="5"/>
    <n v="46989"/>
    <n v="10"/>
    <n v="23494.5"/>
    <n v="38061.089999999997"/>
    <n v="201"/>
    <n v="249511.59"/>
    <n v="249712.59"/>
    <x v="2"/>
    <x v="0"/>
    <s v="Bangalore"/>
    <x v="3"/>
    <x v="2"/>
    <n v="9"/>
    <x v="1"/>
    <n v="4"/>
    <x v="0"/>
  </r>
  <r>
    <s v="ORD00017"/>
    <x v="16"/>
    <s v="CUST829"/>
    <s v="Riya"/>
    <x v="0"/>
    <x v="13"/>
    <x v="3"/>
    <x v="2"/>
    <x v="3"/>
    <x v="3"/>
    <n v="1"/>
    <n v="48667"/>
    <n v="5"/>
    <n v="2433.35"/>
    <n v="8322.06"/>
    <n v="58"/>
    <n v="54555.71"/>
    <n v="54613.71"/>
    <x v="3"/>
    <x v="1"/>
    <s v="Bangalore"/>
    <x v="3"/>
    <x v="2"/>
    <n v="1"/>
    <x v="1"/>
    <n v="2"/>
    <x v="3"/>
  </r>
  <r>
    <s v="ORD00018"/>
    <x v="17"/>
    <s v="CUST196"/>
    <s v="Vikas"/>
    <x v="0"/>
    <x v="13"/>
    <x v="6"/>
    <x v="0"/>
    <x v="6"/>
    <x v="1"/>
    <n v="3"/>
    <n v="33636"/>
    <n v="10"/>
    <n v="10090.799999999999"/>
    <n v="16347.1"/>
    <n v="272"/>
    <n v="107164.3"/>
    <n v="107436.3"/>
    <x v="3"/>
    <x v="0"/>
    <s v="Jaipur"/>
    <x v="2"/>
    <x v="1"/>
    <n v="1"/>
    <x v="0"/>
    <n v="3"/>
    <x v="0"/>
  </r>
  <r>
    <s v="ORD00019"/>
    <x v="18"/>
    <s v="CUST776"/>
    <s v="Vikas"/>
    <x v="1"/>
    <x v="14"/>
    <x v="2"/>
    <x v="1"/>
    <x v="2"/>
    <x v="1"/>
    <n v="3"/>
    <n v="40213"/>
    <n v="15"/>
    <n v="18095.849999999999"/>
    <n v="18457.77"/>
    <n v="371"/>
    <n v="121000.92"/>
    <n v="121371.92"/>
    <x v="0"/>
    <x v="0"/>
    <s v="Chandigarh"/>
    <x v="1"/>
    <x v="1"/>
    <n v="6"/>
    <x v="1"/>
    <n v="4"/>
    <x v="1"/>
  </r>
  <r>
    <s v="ORD00020"/>
    <x v="19"/>
    <s v="CUST822"/>
    <s v="Riya"/>
    <x v="0"/>
    <x v="15"/>
    <x v="2"/>
    <x v="1"/>
    <x v="2"/>
    <x v="5"/>
    <n v="4"/>
    <n v="7214"/>
    <n v="5"/>
    <n v="1442.8"/>
    <n v="4934.38"/>
    <n v="443"/>
    <n v="32347.58"/>
    <n v="32790.58"/>
    <x v="0"/>
    <x v="1"/>
    <s v="Lucknow"/>
    <x v="4"/>
    <x v="1"/>
    <n v="9"/>
    <x v="0"/>
    <n v="5"/>
    <x v="1"/>
  </r>
  <r>
    <s v="ORD00021"/>
    <x v="20"/>
    <s v="CUST383"/>
    <s v="Riya"/>
    <x v="1"/>
    <x v="16"/>
    <x v="0"/>
    <x v="0"/>
    <x v="0"/>
    <x v="7"/>
    <n v="2"/>
    <n v="33517"/>
    <n v="0"/>
    <n v="0"/>
    <n v="12066.12"/>
    <n v="341"/>
    <n v="79100.12"/>
    <n v="79441.119999999995"/>
    <x v="3"/>
    <x v="1"/>
    <s v="Jaipur"/>
    <x v="2"/>
    <x v="1"/>
    <n v="5"/>
    <x v="1"/>
    <n v="3"/>
    <x v="2"/>
  </r>
  <r>
    <s v="ORD00022"/>
    <x v="21"/>
    <s v="CUST330"/>
    <s v="Priya"/>
    <x v="0"/>
    <x v="1"/>
    <x v="3"/>
    <x v="2"/>
    <x v="3"/>
    <x v="5"/>
    <n v="1"/>
    <n v="29256"/>
    <n v="15"/>
    <n v="4388.3999999999996"/>
    <n v="4476.17"/>
    <n v="37"/>
    <n v="29343.77"/>
    <n v="29380.77"/>
    <x v="3"/>
    <x v="1"/>
    <s v="Lucknow"/>
    <x v="4"/>
    <x v="1"/>
    <n v="9"/>
    <x v="0"/>
    <n v="4"/>
    <x v="2"/>
  </r>
  <r>
    <s v="ORD00023"/>
    <x v="22"/>
    <s v="CUST478"/>
    <s v="Vikas"/>
    <x v="0"/>
    <x v="13"/>
    <x v="1"/>
    <x v="0"/>
    <x v="1"/>
    <x v="3"/>
    <n v="1"/>
    <n v="36299"/>
    <n v="10"/>
    <n v="3629.9"/>
    <n v="5880.44"/>
    <n v="385"/>
    <n v="38549.54"/>
    <n v="38934.54"/>
    <x v="2"/>
    <x v="0"/>
    <s v="Pune"/>
    <x v="0"/>
    <x v="0"/>
    <n v="1"/>
    <x v="0"/>
    <n v="1"/>
    <x v="2"/>
  </r>
  <r>
    <s v="ORD00024"/>
    <x v="23"/>
    <s v="CUST158"/>
    <s v="Amit"/>
    <x v="1"/>
    <x v="17"/>
    <x v="4"/>
    <x v="0"/>
    <x v="4"/>
    <x v="1"/>
    <n v="3"/>
    <n v="24675"/>
    <n v="15"/>
    <n v="11103.75"/>
    <n v="11325.82"/>
    <n v="294"/>
    <n v="74247.070000000007"/>
    <n v="74541.070000000007"/>
    <x v="3"/>
    <x v="1"/>
    <s v="Lucknow"/>
    <x v="4"/>
    <x v="1"/>
    <n v="4"/>
    <x v="0"/>
    <n v="4"/>
    <x v="0"/>
  </r>
  <r>
    <s v="ORD00025"/>
    <x v="24"/>
    <s v="CUST442"/>
    <s v="Anjali"/>
    <x v="0"/>
    <x v="18"/>
    <x v="8"/>
    <x v="0"/>
    <x v="8"/>
    <x v="7"/>
    <n v="5"/>
    <n v="1082"/>
    <n v="20"/>
    <n v="1082"/>
    <n v="779.04"/>
    <n v="274"/>
    <n v="5107.04"/>
    <n v="5381.04"/>
    <x v="1"/>
    <x v="0"/>
    <s v="Mumbai"/>
    <x v="0"/>
    <x v="0"/>
    <n v="2"/>
    <x v="0"/>
    <n v="2"/>
    <x v="3"/>
  </r>
  <r>
    <s v="ORD00026"/>
    <x v="25"/>
    <s v="CUST924"/>
    <s v="Sneha"/>
    <x v="1"/>
    <x v="19"/>
    <x v="0"/>
    <x v="0"/>
    <x v="0"/>
    <x v="5"/>
    <n v="2"/>
    <n v="971"/>
    <n v="20"/>
    <n v="388.4"/>
    <n v="279.64999999999998"/>
    <n v="249"/>
    <n v="1833.25"/>
    <n v="2082.25"/>
    <x v="3"/>
    <x v="1"/>
    <s v="Mumbai"/>
    <x v="0"/>
    <x v="0"/>
    <n v="7"/>
    <x v="0"/>
    <n v="2"/>
    <x v="0"/>
  </r>
  <r>
    <s v="ORD00027"/>
    <x v="26"/>
    <s v="CUST380"/>
    <s v="Riya"/>
    <x v="0"/>
    <x v="20"/>
    <x v="9"/>
    <x v="0"/>
    <x v="9"/>
    <x v="1"/>
    <n v="2"/>
    <n v="12340"/>
    <n v="10"/>
    <n v="2468"/>
    <n v="3998.16"/>
    <n v="380"/>
    <n v="26210.16"/>
    <n v="26590.16"/>
    <x v="2"/>
    <x v="1"/>
    <s v="Jaipur"/>
    <x v="2"/>
    <x v="1"/>
    <n v="3"/>
    <x v="0"/>
    <n v="1"/>
    <x v="0"/>
  </r>
  <r>
    <s v="ORD00028"/>
    <x v="27"/>
    <s v="CUST512"/>
    <s v="Arjun"/>
    <x v="0"/>
    <x v="21"/>
    <x v="6"/>
    <x v="0"/>
    <x v="6"/>
    <x v="7"/>
    <n v="4"/>
    <n v="3291"/>
    <n v="5"/>
    <n v="658.2"/>
    <n v="2251.04"/>
    <n v="242"/>
    <n v="14756.84"/>
    <n v="14998.84"/>
    <x v="0"/>
    <x v="1"/>
    <s v="Jaipur"/>
    <x v="2"/>
    <x v="1"/>
    <n v="1"/>
    <x v="0"/>
    <n v="3"/>
    <x v="1"/>
  </r>
  <r>
    <s v="ORD00029"/>
    <x v="28"/>
    <s v="CUST349"/>
    <s v="Rahul"/>
    <x v="1"/>
    <x v="11"/>
    <x v="8"/>
    <x v="0"/>
    <x v="8"/>
    <x v="7"/>
    <n v="3"/>
    <n v="44392"/>
    <n v="0"/>
    <n v="0"/>
    <n v="23971.68"/>
    <n v="464"/>
    <n v="157147.68"/>
    <n v="157611.68"/>
    <x v="0"/>
    <x v="0"/>
    <s v="Pune"/>
    <x v="0"/>
    <x v="0"/>
    <n v="9"/>
    <x v="1"/>
    <n v="2"/>
    <x v="2"/>
  </r>
  <r>
    <s v="ORD00030"/>
    <x v="29"/>
    <s v="CUST583"/>
    <s v="Riya"/>
    <x v="1"/>
    <x v="22"/>
    <x v="6"/>
    <x v="0"/>
    <x v="6"/>
    <x v="3"/>
    <n v="2"/>
    <n v="40547"/>
    <n v="20"/>
    <n v="16218.8"/>
    <n v="11677.54"/>
    <n v="177"/>
    <n v="76552.740000000005"/>
    <n v="76729.740000000005"/>
    <x v="1"/>
    <x v="0"/>
    <s v="Lucknow"/>
    <x v="4"/>
    <x v="1"/>
    <n v="2"/>
    <x v="1"/>
    <n v="3"/>
    <x v="2"/>
  </r>
  <r>
    <s v="ORD00031"/>
    <x v="30"/>
    <s v="CUST279"/>
    <s v="Karan"/>
    <x v="0"/>
    <x v="23"/>
    <x v="0"/>
    <x v="0"/>
    <x v="0"/>
    <x v="1"/>
    <n v="5"/>
    <n v="31394"/>
    <n v="0"/>
    <n v="0"/>
    <n v="28254.6"/>
    <n v="446"/>
    <n v="185224.6"/>
    <n v="185670.6"/>
    <x v="1"/>
    <x v="0"/>
    <s v="Bangalore"/>
    <x v="3"/>
    <x v="2"/>
    <n v="3"/>
    <x v="0"/>
    <n v="2"/>
    <x v="2"/>
  </r>
  <r>
    <s v="ORD00032"/>
    <x v="31"/>
    <s v="CUST354"/>
    <s v="Karan"/>
    <x v="0"/>
    <x v="24"/>
    <x v="5"/>
    <x v="0"/>
    <x v="5"/>
    <x v="8"/>
    <n v="2"/>
    <n v="35379"/>
    <n v="0"/>
    <n v="0"/>
    <n v="12736.44"/>
    <n v="53"/>
    <n v="83494.44"/>
    <n v="83547.44"/>
    <x v="2"/>
    <x v="1"/>
    <s v="Pune"/>
    <x v="0"/>
    <x v="0"/>
    <n v="4"/>
    <x v="0"/>
    <n v="4"/>
    <x v="2"/>
  </r>
  <r>
    <s v="ORD00033"/>
    <x v="32"/>
    <s v="CUST837"/>
    <s v="Karan"/>
    <x v="0"/>
    <x v="16"/>
    <x v="2"/>
    <x v="1"/>
    <x v="2"/>
    <x v="2"/>
    <n v="1"/>
    <n v="35566"/>
    <n v="20"/>
    <n v="7113.2"/>
    <n v="5121.5"/>
    <n v="467"/>
    <n v="33574.300000000003"/>
    <n v="34041.300000000003"/>
    <x v="1"/>
    <x v="0"/>
    <s v="Bangalore"/>
    <x v="3"/>
    <x v="2"/>
    <n v="5"/>
    <x v="0"/>
    <n v="2"/>
    <x v="0"/>
  </r>
  <r>
    <s v="ORD00034"/>
    <x v="33"/>
    <s v="CUST450"/>
    <s v="Vikas"/>
    <x v="1"/>
    <x v="25"/>
    <x v="5"/>
    <x v="0"/>
    <x v="5"/>
    <x v="8"/>
    <n v="1"/>
    <n v="20264"/>
    <n v="15"/>
    <n v="3039.6"/>
    <n v="3100.39"/>
    <n v="365"/>
    <n v="20324.79"/>
    <n v="20689.79"/>
    <x v="0"/>
    <x v="0"/>
    <s v="Delhi"/>
    <x v="5"/>
    <x v="1"/>
    <n v="10"/>
    <x v="1"/>
    <n v="2"/>
    <x v="3"/>
  </r>
  <r>
    <s v="ORD00035"/>
    <x v="34"/>
    <s v="CUST697"/>
    <s v="Priya"/>
    <x v="1"/>
    <x v="26"/>
    <x v="1"/>
    <x v="0"/>
    <x v="1"/>
    <x v="7"/>
    <n v="3"/>
    <n v="32124"/>
    <n v="5"/>
    <n v="4818.6000000000004"/>
    <n v="16479.61"/>
    <n v="285"/>
    <n v="108033.01"/>
    <n v="108318.01"/>
    <x v="0"/>
    <x v="0"/>
    <s v="Delhi"/>
    <x v="5"/>
    <x v="1"/>
    <n v="9"/>
    <x v="0"/>
    <n v="2"/>
    <x v="3"/>
  </r>
  <r>
    <s v="ORD00036"/>
    <x v="35"/>
    <s v="CUST292"/>
    <s v="Karan"/>
    <x v="0"/>
    <x v="27"/>
    <x v="2"/>
    <x v="1"/>
    <x v="2"/>
    <x v="8"/>
    <n v="5"/>
    <n v="18427"/>
    <n v="5"/>
    <n v="4606.75"/>
    <n v="15755.08"/>
    <n v="210"/>
    <n v="103283.33"/>
    <n v="103493.33"/>
    <x v="2"/>
    <x v="0"/>
    <s v="Bangalore"/>
    <x v="3"/>
    <x v="2"/>
    <n v="9"/>
    <x v="1"/>
    <n v="2"/>
    <x v="1"/>
  </r>
  <r>
    <s v="ORD00037"/>
    <x v="36"/>
    <s v="CUST537"/>
    <s v="Rahul"/>
    <x v="1"/>
    <x v="24"/>
    <x v="7"/>
    <x v="1"/>
    <x v="7"/>
    <x v="6"/>
    <n v="5"/>
    <n v="43320"/>
    <n v="10"/>
    <n v="21660"/>
    <n v="35089.199999999997"/>
    <n v="103"/>
    <n v="230029.2"/>
    <n v="230132.2"/>
    <x v="2"/>
    <x v="1"/>
    <s v="Jaipur"/>
    <x v="2"/>
    <x v="1"/>
    <n v="5"/>
    <x v="0"/>
    <n v="5"/>
    <x v="1"/>
  </r>
  <r>
    <s v="ORD00038"/>
    <x v="37"/>
    <s v="CUST800"/>
    <s v="Riya"/>
    <x v="0"/>
    <x v="7"/>
    <x v="0"/>
    <x v="0"/>
    <x v="0"/>
    <x v="8"/>
    <n v="2"/>
    <n v="2134"/>
    <n v="0"/>
    <n v="0"/>
    <n v="768.24"/>
    <n v="266"/>
    <n v="5036.24"/>
    <n v="5302.24"/>
    <x v="3"/>
    <x v="1"/>
    <s v="Mumbai"/>
    <x v="0"/>
    <x v="0"/>
    <n v="10"/>
    <x v="0"/>
    <n v="2"/>
    <x v="2"/>
  </r>
  <r>
    <s v="ORD00039"/>
    <x v="38"/>
    <s v="CUST563"/>
    <s v="Amit"/>
    <x v="0"/>
    <x v="28"/>
    <x v="2"/>
    <x v="1"/>
    <x v="2"/>
    <x v="5"/>
    <n v="2"/>
    <n v="46564"/>
    <n v="0"/>
    <n v="0"/>
    <n v="16763.04"/>
    <n v="299"/>
    <n v="109891.04"/>
    <n v="110190.04"/>
    <x v="2"/>
    <x v="0"/>
    <s v="Pune"/>
    <x v="0"/>
    <x v="0"/>
    <n v="10"/>
    <x v="0"/>
    <n v="3"/>
    <x v="2"/>
  </r>
  <r>
    <s v="ORD00040"/>
    <x v="39"/>
    <s v="CUST723"/>
    <s v="Vikas"/>
    <x v="0"/>
    <x v="28"/>
    <x v="1"/>
    <x v="0"/>
    <x v="1"/>
    <x v="3"/>
    <n v="1"/>
    <n v="18376"/>
    <n v="15"/>
    <n v="2756.4"/>
    <n v="2811.53"/>
    <n v="486"/>
    <n v="18431.13"/>
    <n v="18917.13"/>
    <x v="0"/>
    <x v="0"/>
    <s v="Patiala"/>
    <x v="1"/>
    <x v="1"/>
    <n v="4"/>
    <x v="0"/>
    <n v="2"/>
    <x v="3"/>
  </r>
  <r>
    <s v="ORD00041"/>
    <x v="40"/>
    <s v="CUST427"/>
    <s v="Priya"/>
    <x v="0"/>
    <x v="13"/>
    <x v="4"/>
    <x v="0"/>
    <x v="4"/>
    <x v="7"/>
    <n v="4"/>
    <n v="27754"/>
    <n v="20"/>
    <n v="22203.200000000001"/>
    <n v="15986.3"/>
    <n v="275"/>
    <n v="104799.1"/>
    <n v="105074.1"/>
    <x v="1"/>
    <x v="0"/>
    <s v="Jaipur"/>
    <x v="2"/>
    <x v="1"/>
    <n v="9"/>
    <x v="0"/>
    <n v="3"/>
    <x v="2"/>
  </r>
  <r>
    <s v="ORD00042"/>
    <x v="41"/>
    <s v="CUST496"/>
    <s v="Anjali"/>
    <x v="0"/>
    <x v="19"/>
    <x v="2"/>
    <x v="1"/>
    <x v="2"/>
    <x v="2"/>
    <n v="1"/>
    <n v="13832"/>
    <n v="5"/>
    <n v="691.6"/>
    <n v="2365.27"/>
    <n v="391"/>
    <n v="15505.67"/>
    <n v="15896.67"/>
    <x v="2"/>
    <x v="0"/>
    <s v="Chandigarh"/>
    <x v="1"/>
    <x v="1"/>
    <n v="7"/>
    <x v="0"/>
    <n v="2"/>
    <x v="0"/>
  </r>
  <r>
    <s v="ORD00043"/>
    <x v="42"/>
    <s v="CUST930"/>
    <s v="Priya"/>
    <x v="1"/>
    <x v="24"/>
    <x v="9"/>
    <x v="0"/>
    <x v="9"/>
    <x v="6"/>
    <n v="2"/>
    <n v="48320"/>
    <n v="0"/>
    <n v="0"/>
    <n v="17395.2"/>
    <n v="415"/>
    <n v="114035.2"/>
    <n v="114450.2"/>
    <x v="3"/>
    <x v="0"/>
    <s v="Chandigarh"/>
    <x v="1"/>
    <x v="1"/>
    <n v="1"/>
    <x v="1"/>
    <n v="4"/>
    <x v="0"/>
  </r>
  <r>
    <s v="ORD00044"/>
    <x v="20"/>
    <s v="CUST320"/>
    <s v="Arjun"/>
    <x v="1"/>
    <x v="0"/>
    <x v="5"/>
    <x v="0"/>
    <x v="5"/>
    <x v="5"/>
    <n v="1"/>
    <n v="2598"/>
    <n v="5"/>
    <n v="129.9"/>
    <n v="444.26"/>
    <n v="414"/>
    <n v="2912.36"/>
    <n v="3326.36"/>
    <x v="1"/>
    <x v="0"/>
    <s v="Lucknow"/>
    <x v="4"/>
    <x v="1"/>
    <n v="7"/>
    <x v="1"/>
    <n v="2"/>
    <x v="3"/>
  </r>
  <r>
    <s v="ORD00045"/>
    <x v="16"/>
    <s v="CUST558"/>
    <s v="Rahul"/>
    <x v="0"/>
    <x v="29"/>
    <x v="1"/>
    <x v="0"/>
    <x v="1"/>
    <x v="1"/>
    <n v="4"/>
    <n v="46065"/>
    <n v="10"/>
    <n v="18426"/>
    <n v="29850.12"/>
    <n v="96"/>
    <n v="195684.12"/>
    <n v="195780.12"/>
    <x v="2"/>
    <x v="1"/>
    <s v="Chandigarh"/>
    <x v="1"/>
    <x v="1"/>
    <n v="5"/>
    <x v="1"/>
    <n v="1"/>
    <x v="3"/>
  </r>
  <r>
    <s v="ORD00046"/>
    <x v="43"/>
    <s v="CUST991"/>
    <s v="Vikas"/>
    <x v="1"/>
    <x v="24"/>
    <x v="7"/>
    <x v="1"/>
    <x v="7"/>
    <x v="0"/>
    <n v="2"/>
    <n v="33957"/>
    <n v="15"/>
    <n v="10187.1"/>
    <n v="10390.84"/>
    <n v="493"/>
    <n v="68117.740000000005"/>
    <n v="68610.740000000005"/>
    <x v="3"/>
    <x v="1"/>
    <s v="Mumbai"/>
    <x v="0"/>
    <x v="0"/>
    <n v="9"/>
    <x v="0"/>
    <n v="1"/>
    <x v="0"/>
  </r>
  <r>
    <s v="ORD00047"/>
    <x v="44"/>
    <s v="CUST863"/>
    <s v="Anjali"/>
    <x v="1"/>
    <x v="13"/>
    <x v="6"/>
    <x v="0"/>
    <x v="6"/>
    <x v="1"/>
    <n v="4"/>
    <n v="34160"/>
    <n v="10"/>
    <n v="13664"/>
    <n v="22135.68"/>
    <n v="174"/>
    <n v="145111.67999999999"/>
    <n v="145285.68"/>
    <x v="2"/>
    <x v="1"/>
    <s v="Pune"/>
    <x v="0"/>
    <x v="0"/>
    <n v="6"/>
    <x v="0"/>
    <n v="3"/>
    <x v="1"/>
  </r>
  <r>
    <s v="ORD00048"/>
    <x v="2"/>
    <s v="CUST846"/>
    <s v="Priya"/>
    <x v="1"/>
    <x v="26"/>
    <x v="6"/>
    <x v="0"/>
    <x v="6"/>
    <x v="3"/>
    <n v="2"/>
    <n v="18482"/>
    <n v="15"/>
    <n v="5544.6"/>
    <n v="5655.49"/>
    <n v="78"/>
    <n v="37074.89"/>
    <n v="37152.89"/>
    <x v="0"/>
    <x v="0"/>
    <s v="Lucknow"/>
    <x v="4"/>
    <x v="1"/>
    <n v="5"/>
    <x v="0"/>
    <n v="3"/>
    <x v="3"/>
  </r>
  <r>
    <s v="ORD00049"/>
    <x v="45"/>
    <s v="CUST434"/>
    <s v="Neha"/>
    <x v="1"/>
    <x v="14"/>
    <x v="1"/>
    <x v="0"/>
    <x v="1"/>
    <x v="5"/>
    <n v="2"/>
    <n v="40666"/>
    <n v="10"/>
    <n v="8133.2"/>
    <n v="13175.78"/>
    <n v="334"/>
    <n v="86374.58"/>
    <n v="86708.58"/>
    <x v="1"/>
    <x v="1"/>
    <s v="Patiala"/>
    <x v="1"/>
    <x v="1"/>
    <n v="8"/>
    <x v="1"/>
    <n v="5"/>
    <x v="1"/>
  </r>
  <r>
    <s v="ORD00050"/>
    <x v="46"/>
    <s v="CUST837"/>
    <s v="Amit"/>
    <x v="1"/>
    <x v="5"/>
    <x v="4"/>
    <x v="0"/>
    <x v="4"/>
    <x v="7"/>
    <n v="4"/>
    <n v="2535"/>
    <n v="5"/>
    <n v="507"/>
    <n v="1733.94"/>
    <n v="49"/>
    <n v="11366.94"/>
    <n v="11415.94"/>
    <x v="2"/>
    <x v="0"/>
    <s v="Jaipur"/>
    <x v="2"/>
    <x v="1"/>
    <n v="3"/>
    <x v="1"/>
    <n v="1"/>
    <x v="0"/>
  </r>
  <r>
    <s v="ORD00051"/>
    <x v="47"/>
    <s v="CUST678"/>
    <s v="Vikas"/>
    <x v="0"/>
    <x v="0"/>
    <x v="5"/>
    <x v="0"/>
    <x v="5"/>
    <x v="8"/>
    <n v="3"/>
    <n v="41574"/>
    <n v="20"/>
    <n v="24944.400000000001"/>
    <n v="17959.97"/>
    <n v="206"/>
    <n v="117737.57"/>
    <n v="117943.57"/>
    <x v="1"/>
    <x v="0"/>
    <s v="Mumbai"/>
    <x v="0"/>
    <x v="0"/>
    <n v="10"/>
    <x v="0"/>
    <n v="3"/>
    <x v="1"/>
  </r>
  <r>
    <s v="ORD00052"/>
    <x v="9"/>
    <s v="CUST809"/>
    <s v="Neha"/>
    <x v="1"/>
    <x v="6"/>
    <x v="4"/>
    <x v="0"/>
    <x v="4"/>
    <x v="5"/>
    <n v="3"/>
    <n v="33177"/>
    <n v="5"/>
    <n v="4976.55"/>
    <n v="17019.8"/>
    <n v="56"/>
    <n v="111574.25"/>
    <n v="111630.25"/>
    <x v="3"/>
    <x v="1"/>
    <s v="Mumbai"/>
    <x v="0"/>
    <x v="0"/>
    <n v="3"/>
    <x v="1"/>
    <n v="3"/>
    <x v="2"/>
  </r>
  <r>
    <s v="ORD00053"/>
    <x v="20"/>
    <s v="CUST615"/>
    <s v="Neha"/>
    <x v="1"/>
    <x v="25"/>
    <x v="4"/>
    <x v="0"/>
    <x v="4"/>
    <x v="8"/>
    <n v="5"/>
    <n v="1762"/>
    <n v="20"/>
    <n v="1762"/>
    <n v="1268.6400000000001"/>
    <n v="27"/>
    <n v="8316.64"/>
    <n v="8343.64"/>
    <x v="0"/>
    <x v="1"/>
    <s v="Chandigarh"/>
    <x v="1"/>
    <x v="1"/>
    <n v="4"/>
    <x v="0"/>
    <n v="3"/>
    <x v="1"/>
  </r>
  <r>
    <s v="ORD00054"/>
    <x v="48"/>
    <s v="CUST986"/>
    <s v="Sneha"/>
    <x v="1"/>
    <x v="25"/>
    <x v="6"/>
    <x v="0"/>
    <x v="10"/>
    <x v="2"/>
    <n v="2"/>
    <n v="16428"/>
    <n v="20"/>
    <n v="6571.2"/>
    <n v="4731.26"/>
    <n v="94"/>
    <n v="31016.06"/>
    <n v="31110.06"/>
    <x v="1"/>
    <x v="1"/>
    <s v="Delhi"/>
    <x v="5"/>
    <x v="1"/>
    <n v="1"/>
    <x v="0"/>
    <n v="4"/>
    <x v="0"/>
  </r>
  <r>
    <s v="ORD00055"/>
    <x v="49"/>
    <s v="CUST622"/>
    <s v="Arjun"/>
    <x v="0"/>
    <x v="29"/>
    <x v="6"/>
    <x v="0"/>
    <x v="6"/>
    <x v="6"/>
    <n v="3"/>
    <n v="17615"/>
    <n v="0"/>
    <n v="0"/>
    <n v="9512.1"/>
    <n v="128"/>
    <n v="62357.1"/>
    <n v="62485.1"/>
    <x v="0"/>
    <x v="0"/>
    <s v="Patiala"/>
    <x v="1"/>
    <x v="1"/>
    <n v="5"/>
    <x v="0"/>
    <n v="4"/>
    <x v="2"/>
  </r>
  <r>
    <s v="ORD00056"/>
    <x v="50"/>
    <s v="CUST279"/>
    <s v="Amit"/>
    <x v="0"/>
    <x v="28"/>
    <x v="7"/>
    <x v="1"/>
    <x v="7"/>
    <x v="0"/>
    <n v="2"/>
    <n v="18078"/>
    <n v="10"/>
    <n v="3615.6"/>
    <n v="5857.27"/>
    <n v="92"/>
    <n v="38397.67"/>
    <n v="38489.67"/>
    <x v="0"/>
    <x v="1"/>
    <s v="Jaipur"/>
    <x v="2"/>
    <x v="1"/>
    <n v="9"/>
    <x v="0"/>
    <n v="2"/>
    <x v="1"/>
  </r>
  <r>
    <s v="ORD00057"/>
    <x v="51"/>
    <s v="CUST665"/>
    <s v="Priya"/>
    <x v="1"/>
    <x v="30"/>
    <x v="5"/>
    <x v="0"/>
    <x v="5"/>
    <x v="5"/>
    <n v="1"/>
    <n v="4209"/>
    <n v="20"/>
    <n v="841.8"/>
    <n v="606.1"/>
    <n v="108"/>
    <n v="3973.3"/>
    <n v="4081.3"/>
    <x v="0"/>
    <x v="0"/>
    <s v="Jaipur"/>
    <x v="2"/>
    <x v="1"/>
    <n v="8"/>
    <x v="0"/>
    <n v="5"/>
    <x v="3"/>
  </r>
  <r>
    <s v="ORD00058"/>
    <x v="52"/>
    <s v="CUST777"/>
    <s v="Vikas"/>
    <x v="0"/>
    <x v="31"/>
    <x v="5"/>
    <x v="0"/>
    <x v="5"/>
    <x v="9"/>
    <n v="5"/>
    <n v="32244"/>
    <n v="5"/>
    <n v="8061"/>
    <n v="27568.62"/>
    <n v="248"/>
    <n v="180727.62"/>
    <n v="180975.62"/>
    <x v="0"/>
    <x v="0"/>
    <s v="Pune"/>
    <x v="0"/>
    <x v="0"/>
    <n v="6"/>
    <x v="0"/>
    <n v="2"/>
    <x v="2"/>
  </r>
  <r>
    <s v="ORD00059"/>
    <x v="53"/>
    <s v="CUST228"/>
    <s v="Neha"/>
    <x v="1"/>
    <x v="32"/>
    <x v="3"/>
    <x v="2"/>
    <x v="3"/>
    <x v="8"/>
    <n v="2"/>
    <n v="17758"/>
    <n v="10"/>
    <n v="3551.6"/>
    <n v="5753.59"/>
    <n v="218"/>
    <n v="37717.99"/>
    <n v="37935.99"/>
    <x v="1"/>
    <x v="1"/>
    <s v="Pune"/>
    <x v="0"/>
    <x v="0"/>
    <n v="9"/>
    <x v="1"/>
    <n v="4"/>
    <x v="2"/>
  </r>
  <r>
    <s v="ORD00060"/>
    <x v="54"/>
    <s v="CUST993"/>
    <s v="Anjali"/>
    <x v="1"/>
    <x v="33"/>
    <x v="9"/>
    <x v="0"/>
    <x v="9"/>
    <x v="5"/>
    <n v="3"/>
    <n v="49447"/>
    <n v="0"/>
    <n v="0"/>
    <n v="26701.38"/>
    <n v="5"/>
    <n v="175042.38"/>
    <n v="175047.38"/>
    <x v="0"/>
    <x v="0"/>
    <s v="Jaipur"/>
    <x v="2"/>
    <x v="1"/>
    <n v="3"/>
    <x v="0"/>
    <n v="1"/>
    <x v="2"/>
  </r>
  <r>
    <s v="ORD00061"/>
    <x v="55"/>
    <s v="CUST778"/>
    <s v="Anjali"/>
    <x v="0"/>
    <x v="14"/>
    <x v="6"/>
    <x v="0"/>
    <x v="6"/>
    <x v="1"/>
    <n v="4"/>
    <n v="44629"/>
    <n v="0"/>
    <n v="0"/>
    <n v="32132.880000000001"/>
    <n v="182"/>
    <n v="210648.88"/>
    <n v="210830.88"/>
    <x v="3"/>
    <x v="0"/>
    <s v="Lucknow"/>
    <x v="4"/>
    <x v="1"/>
    <n v="6"/>
    <x v="1"/>
    <n v="2"/>
    <x v="1"/>
  </r>
  <r>
    <s v="ORD00062"/>
    <x v="56"/>
    <s v="CUST287"/>
    <s v="Priya"/>
    <x v="0"/>
    <x v="20"/>
    <x v="8"/>
    <x v="0"/>
    <x v="8"/>
    <x v="3"/>
    <n v="2"/>
    <n v="35049"/>
    <n v="10"/>
    <n v="7009.8"/>
    <n v="11355.88"/>
    <n v="249"/>
    <n v="74444.08"/>
    <n v="74693.08"/>
    <x v="0"/>
    <x v="0"/>
    <s v="Mumbai"/>
    <x v="0"/>
    <x v="0"/>
    <n v="1"/>
    <x v="1"/>
    <n v="1"/>
    <x v="2"/>
  </r>
  <r>
    <s v="ORD00063"/>
    <x v="27"/>
    <s v="CUST955"/>
    <s v="Arjun"/>
    <x v="1"/>
    <x v="34"/>
    <x v="1"/>
    <x v="0"/>
    <x v="1"/>
    <x v="0"/>
    <n v="4"/>
    <n v="15260"/>
    <n v="5"/>
    <n v="3052"/>
    <n v="10437.84"/>
    <n v="466"/>
    <n v="68425.84"/>
    <n v="68891.839999999997"/>
    <x v="2"/>
    <x v="0"/>
    <s v="Mumbai"/>
    <x v="0"/>
    <x v="0"/>
    <n v="2"/>
    <x v="1"/>
    <n v="2"/>
    <x v="0"/>
  </r>
  <r>
    <s v="ORD00064"/>
    <x v="14"/>
    <s v="CUST551"/>
    <s v="Amit"/>
    <x v="0"/>
    <x v="35"/>
    <x v="9"/>
    <x v="0"/>
    <x v="9"/>
    <x v="7"/>
    <n v="4"/>
    <n v="45316"/>
    <n v="15"/>
    <n v="27189.599999999999"/>
    <n v="27733.39"/>
    <n v="203"/>
    <n v="181807.79"/>
    <n v="182010.79"/>
    <x v="0"/>
    <x v="0"/>
    <s v="Lucknow"/>
    <x v="4"/>
    <x v="1"/>
    <n v="5"/>
    <x v="0"/>
    <n v="4"/>
    <x v="0"/>
  </r>
  <r>
    <s v="ORD00065"/>
    <x v="57"/>
    <s v="CUST193"/>
    <s v="Sneha"/>
    <x v="1"/>
    <x v="36"/>
    <x v="4"/>
    <x v="0"/>
    <x v="4"/>
    <x v="4"/>
    <n v="3"/>
    <n v="1028"/>
    <n v="5"/>
    <n v="154.19999999999999"/>
    <n v="527.36"/>
    <n v="194"/>
    <n v="3457.16"/>
    <n v="3651.16"/>
    <x v="3"/>
    <x v="1"/>
    <s v="Pune"/>
    <x v="0"/>
    <x v="0"/>
    <n v="2"/>
    <x v="1"/>
    <n v="2"/>
    <x v="2"/>
  </r>
  <r>
    <s v="ORD00066"/>
    <x v="58"/>
    <s v="CUST783"/>
    <s v="Neha"/>
    <x v="1"/>
    <x v="17"/>
    <x v="1"/>
    <x v="0"/>
    <x v="1"/>
    <x v="4"/>
    <n v="1"/>
    <n v="32156"/>
    <n v="10"/>
    <n v="3215.6"/>
    <n v="5209.2700000000004"/>
    <n v="312"/>
    <n v="34149.67"/>
    <n v="34461.67"/>
    <x v="1"/>
    <x v="0"/>
    <s v="Lucknow"/>
    <x v="4"/>
    <x v="1"/>
    <n v="9"/>
    <x v="0"/>
    <n v="4"/>
    <x v="1"/>
  </r>
  <r>
    <s v="ORD00067"/>
    <x v="20"/>
    <s v="CUST284"/>
    <s v="Amit"/>
    <x v="1"/>
    <x v="37"/>
    <x v="9"/>
    <x v="0"/>
    <x v="9"/>
    <x v="0"/>
    <n v="1"/>
    <n v="33064"/>
    <n v="0"/>
    <n v="0"/>
    <n v="5951.52"/>
    <n v="426"/>
    <n v="39015.519999999997"/>
    <n v="39441.519999999997"/>
    <x v="0"/>
    <x v="0"/>
    <s v="Chandigarh"/>
    <x v="1"/>
    <x v="1"/>
    <n v="9"/>
    <x v="0"/>
    <n v="4"/>
    <x v="2"/>
  </r>
  <r>
    <s v="ORD00068"/>
    <x v="59"/>
    <s v="CUST714"/>
    <s v="Amit"/>
    <x v="0"/>
    <x v="15"/>
    <x v="2"/>
    <x v="1"/>
    <x v="2"/>
    <x v="2"/>
    <n v="1"/>
    <n v="1059"/>
    <n v="0"/>
    <n v="0"/>
    <n v="190.62"/>
    <n v="48"/>
    <n v="1249.6199999999999"/>
    <n v="1297.6199999999999"/>
    <x v="2"/>
    <x v="1"/>
    <s v="Lucknow"/>
    <x v="4"/>
    <x v="1"/>
    <n v="5"/>
    <x v="0"/>
    <n v="2"/>
    <x v="1"/>
  </r>
  <r>
    <s v="ORD00069"/>
    <x v="60"/>
    <s v="CUST307"/>
    <s v="Arjun"/>
    <x v="0"/>
    <x v="18"/>
    <x v="7"/>
    <x v="1"/>
    <x v="7"/>
    <x v="7"/>
    <n v="4"/>
    <n v="7089"/>
    <n v="20"/>
    <n v="5671.2"/>
    <n v="4083.26"/>
    <n v="403"/>
    <n v="26768.06"/>
    <n v="27171.06"/>
    <x v="0"/>
    <x v="1"/>
    <s v="Delhi"/>
    <x v="5"/>
    <x v="1"/>
    <n v="9"/>
    <x v="1"/>
    <n v="2"/>
    <x v="0"/>
  </r>
  <r>
    <s v="ORD00070"/>
    <x v="61"/>
    <s v="CUST979"/>
    <s v="Vikas"/>
    <x v="0"/>
    <x v="14"/>
    <x v="8"/>
    <x v="0"/>
    <x v="8"/>
    <x v="9"/>
    <n v="4"/>
    <n v="11996"/>
    <n v="5"/>
    <n v="2399.1999999999998"/>
    <n v="8205.26"/>
    <n v="466"/>
    <n v="53790.06"/>
    <n v="54256.06"/>
    <x v="1"/>
    <x v="0"/>
    <s v="Chandigarh"/>
    <x v="1"/>
    <x v="1"/>
    <n v="4"/>
    <x v="1"/>
    <n v="4"/>
    <x v="1"/>
  </r>
  <r>
    <s v="ORD00071"/>
    <x v="62"/>
    <s v="CUST660"/>
    <s v="Karan"/>
    <x v="1"/>
    <x v="11"/>
    <x v="2"/>
    <x v="1"/>
    <x v="2"/>
    <x v="2"/>
    <n v="1"/>
    <n v="15786"/>
    <n v="20"/>
    <n v="3157.2"/>
    <n v="2273.1799999999998"/>
    <n v="268"/>
    <n v="14901.98"/>
    <n v="15169.98"/>
    <x v="1"/>
    <x v="0"/>
    <s v="Patiala"/>
    <x v="1"/>
    <x v="1"/>
    <n v="10"/>
    <x v="0"/>
    <n v="5"/>
    <x v="0"/>
  </r>
  <r>
    <s v="ORD00072"/>
    <x v="41"/>
    <s v="CUST948"/>
    <s v="Sneha"/>
    <x v="1"/>
    <x v="33"/>
    <x v="3"/>
    <x v="2"/>
    <x v="3"/>
    <x v="3"/>
    <n v="1"/>
    <n v="16943"/>
    <n v="15"/>
    <n v="2541.4499999999998"/>
    <n v="2592.2800000000002"/>
    <n v="242"/>
    <n v="16993.830000000002"/>
    <n v="17235.830000000002"/>
    <x v="3"/>
    <x v="0"/>
    <s v="Bangalore"/>
    <x v="3"/>
    <x v="2"/>
    <n v="5"/>
    <x v="0"/>
    <n v="2"/>
    <x v="0"/>
  </r>
  <r>
    <s v="ORD00073"/>
    <x v="63"/>
    <s v="CUST325"/>
    <s v="Arjun"/>
    <x v="0"/>
    <x v="13"/>
    <x v="2"/>
    <x v="1"/>
    <x v="2"/>
    <x v="7"/>
    <n v="3"/>
    <n v="810"/>
    <n v="10"/>
    <n v="243"/>
    <n v="393.66"/>
    <n v="202"/>
    <n v="2580.66"/>
    <n v="2782.66"/>
    <x v="1"/>
    <x v="0"/>
    <s v="Mumbai"/>
    <x v="0"/>
    <x v="0"/>
    <n v="6"/>
    <x v="0"/>
    <n v="5"/>
    <x v="2"/>
  </r>
  <r>
    <s v="ORD00074"/>
    <x v="64"/>
    <s v="CUST456"/>
    <s v="Rahul"/>
    <x v="1"/>
    <x v="33"/>
    <x v="5"/>
    <x v="0"/>
    <x v="5"/>
    <x v="2"/>
    <n v="3"/>
    <n v="22771"/>
    <n v="15"/>
    <n v="10246.950000000001"/>
    <n v="10451.89"/>
    <n v="196"/>
    <n v="68517.94"/>
    <n v="68713.94"/>
    <x v="3"/>
    <x v="0"/>
    <s v="Mumbai"/>
    <x v="0"/>
    <x v="0"/>
    <n v="1"/>
    <x v="1"/>
    <n v="2"/>
    <x v="1"/>
  </r>
  <r>
    <s v="ORD00075"/>
    <x v="65"/>
    <s v="CUST838"/>
    <s v="Vikas"/>
    <x v="1"/>
    <x v="29"/>
    <x v="9"/>
    <x v="0"/>
    <x v="9"/>
    <x v="4"/>
    <n v="1"/>
    <n v="49814"/>
    <n v="15"/>
    <n v="7472.1"/>
    <n v="7621.54"/>
    <n v="331"/>
    <n v="49963.44"/>
    <n v="50294.44"/>
    <x v="1"/>
    <x v="1"/>
    <s v="Delhi"/>
    <x v="5"/>
    <x v="1"/>
    <n v="10"/>
    <x v="1"/>
    <n v="4"/>
    <x v="1"/>
  </r>
  <r>
    <s v="ORD00076"/>
    <x v="66"/>
    <s v="CUST806"/>
    <s v="Rahul"/>
    <x v="0"/>
    <x v="35"/>
    <x v="2"/>
    <x v="1"/>
    <x v="2"/>
    <x v="4"/>
    <n v="2"/>
    <n v="17710"/>
    <n v="20"/>
    <n v="7084"/>
    <n v="5100.4799999999996"/>
    <n v="267"/>
    <n v="33436.480000000003"/>
    <n v="33703.480000000003"/>
    <x v="0"/>
    <x v="0"/>
    <s v="Pune"/>
    <x v="0"/>
    <x v="0"/>
    <n v="1"/>
    <x v="0"/>
    <n v="1"/>
    <x v="2"/>
  </r>
  <r>
    <s v="ORD00077"/>
    <x v="67"/>
    <s v="CUST580"/>
    <s v="Anjali"/>
    <x v="0"/>
    <x v="1"/>
    <x v="1"/>
    <x v="0"/>
    <x v="1"/>
    <x v="3"/>
    <n v="5"/>
    <n v="24572"/>
    <n v="10"/>
    <n v="12286"/>
    <n v="19903.32"/>
    <n v="152"/>
    <n v="130477.32"/>
    <n v="130629.32"/>
    <x v="3"/>
    <x v="0"/>
    <s v="Lucknow"/>
    <x v="4"/>
    <x v="1"/>
    <n v="5"/>
    <x v="1"/>
    <n v="5"/>
    <x v="3"/>
  </r>
  <r>
    <s v="ORD00078"/>
    <x v="68"/>
    <s v="CUST731"/>
    <s v="Vikas"/>
    <x v="0"/>
    <x v="25"/>
    <x v="1"/>
    <x v="0"/>
    <x v="1"/>
    <x v="2"/>
    <n v="3"/>
    <n v="49144"/>
    <n v="15"/>
    <n v="22114.799999999999"/>
    <n v="22557.1"/>
    <n v="324"/>
    <n v="147874.29999999999"/>
    <n v="148198.29999999999"/>
    <x v="1"/>
    <x v="0"/>
    <s v="Delhi"/>
    <x v="5"/>
    <x v="1"/>
    <n v="2"/>
    <x v="1"/>
    <n v="4"/>
    <x v="2"/>
  </r>
  <r>
    <s v="ORD00079"/>
    <x v="69"/>
    <s v="CUST687"/>
    <s v="Sneha"/>
    <x v="0"/>
    <x v="17"/>
    <x v="4"/>
    <x v="0"/>
    <x v="4"/>
    <x v="3"/>
    <n v="3"/>
    <n v="38503"/>
    <n v="15"/>
    <n v="17326.349999999999"/>
    <n v="17672.88"/>
    <n v="380"/>
    <n v="115855.53"/>
    <n v="116235.53"/>
    <x v="0"/>
    <x v="1"/>
    <s v="Jaipur"/>
    <x v="2"/>
    <x v="1"/>
    <n v="7"/>
    <x v="0"/>
    <n v="5"/>
    <x v="1"/>
  </r>
  <r>
    <s v="ORD00080"/>
    <x v="70"/>
    <s v="CUST231"/>
    <s v="Sneha"/>
    <x v="0"/>
    <x v="6"/>
    <x v="5"/>
    <x v="0"/>
    <x v="5"/>
    <x v="7"/>
    <n v="5"/>
    <n v="39230"/>
    <n v="20"/>
    <n v="39230"/>
    <n v="28245.599999999999"/>
    <n v="225"/>
    <n v="185165.6"/>
    <n v="185390.6"/>
    <x v="3"/>
    <x v="0"/>
    <s v="Chandigarh"/>
    <x v="1"/>
    <x v="1"/>
    <n v="4"/>
    <x v="1"/>
    <n v="2"/>
    <x v="3"/>
  </r>
  <r>
    <s v="ORD00081"/>
    <x v="71"/>
    <s v="CUST890"/>
    <s v="Priya"/>
    <x v="0"/>
    <x v="20"/>
    <x v="7"/>
    <x v="1"/>
    <x v="7"/>
    <x v="2"/>
    <n v="5"/>
    <n v="2002"/>
    <n v="5"/>
    <n v="500.5"/>
    <n v="1711.71"/>
    <n v="358"/>
    <n v="11221.21"/>
    <n v="11579.21"/>
    <x v="2"/>
    <x v="0"/>
    <s v="Mumbai"/>
    <x v="0"/>
    <x v="0"/>
    <n v="3"/>
    <x v="0"/>
    <n v="4"/>
    <x v="2"/>
  </r>
  <r>
    <s v="ORD00082"/>
    <x v="58"/>
    <s v="CUST861"/>
    <s v="Riya"/>
    <x v="1"/>
    <x v="11"/>
    <x v="1"/>
    <x v="0"/>
    <x v="1"/>
    <x v="9"/>
    <n v="2"/>
    <n v="44220"/>
    <n v="15"/>
    <n v="13266"/>
    <n v="13531.32"/>
    <n v="258"/>
    <n v="88705.32"/>
    <n v="88963.32"/>
    <x v="2"/>
    <x v="1"/>
    <s v="Pune"/>
    <x v="0"/>
    <x v="0"/>
    <n v="7"/>
    <x v="1"/>
    <n v="2"/>
    <x v="1"/>
  </r>
  <r>
    <s v="ORD00083"/>
    <x v="72"/>
    <s v="CUST490"/>
    <s v="Karan"/>
    <x v="0"/>
    <x v="38"/>
    <x v="5"/>
    <x v="0"/>
    <x v="5"/>
    <x v="8"/>
    <n v="1"/>
    <n v="41458"/>
    <n v="10"/>
    <n v="4145.8"/>
    <n v="6716.2"/>
    <n v="255"/>
    <n v="44028.4"/>
    <n v="44283.4"/>
    <x v="2"/>
    <x v="0"/>
    <s v="Bangalore"/>
    <x v="3"/>
    <x v="2"/>
    <n v="9"/>
    <x v="1"/>
    <n v="2"/>
    <x v="1"/>
  </r>
  <r>
    <s v="ORD00084"/>
    <x v="73"/>
    <s v="CUST335"/>
    <s v="Rahul"/>
    <x v="1"/>
    <x v="6"/>
    <x v="8"/>
    <x v="0"/>
    <x v="8"/>
    <x v="5"/>
    <n v="4"/>
    <n v="15002"/>
    <n v="20"/>
    <n v="12001.6"/>
    <n v="8641.15"/>
    <n v="259"/>
    <n v="56647.55"/>
    <n v="56906.55"/>
    <x v="0"/>
    <x v="1"/>
    <s v="Bangalore"/>
    <x v="3"/>
    <x v="2"/>
    <n v="1"/>
    <x v="0"/>
    <n v="3"/>
    <x v="3"/>
  </r>
  <r>
    <s v="ORD00085"/>
    <x v="74"/>
    <s v="CUST122"/>
    <s v="Karan"/>
    <x v="1"/>
    <x v="2"/>
    <x v="5"/>
    <x v="0"/>
    <x v="5"/>
    <x v="0"/>
    <n v="3"/>
    <n v="27664"/>
    <n v="10"/>
    <n v="8299.2000000000007"/>
    <n v="13444.7"/>
    <n v="52"/>
    <n v="88137.5"/>
    <n v="88189.5"/>
    <x v="2"/>
    <x v="0"/>
    <s v="Chandigarh"/>
    <x v="1"/>
    <x v="1"/>
    <n v="4"/>
    <x v="1"/>
    <n v="3"/>
    <x v="2"/>
  </r>
  <r>
    <s v="ORD00086"/>
    <x v="75"/>
    <s v="CUST596"/>
    <s v="Rahul"/>
    <x v="0"/>
    <x v="37"/>
    <x v="4"/>
    <x v="0"/>
    <x v="4"/>
    <x v="1"/>
    <n v="1"/>
    <n v="23710"/>
    <n v="5"/>
    <n v="1185.5"/>
    <n v="4054.41"/>
    <n v="33"/>
    <n v="26578.91"/>
    <n v="26611.91"/>
    <x v="3"/>
    <x v="1"/>
    <s v="Pune"/>
    <x v="0"/>
    <x v="0"/>
    <n v="1"/>
    <x v="0"/>
    <n v="1"/>
    <x v="2"/>
  </r>
  <r>
    <s v="ORD00087"/>
    <x v="76"/>
    <s v="CUST253"/>
    <s v="Priya"/>
    <x v="0"/>
    <x v="28"/>
    <x v="8"/>
    <x v="0"/>
    <x v="8"/>
    <x v="2"/>
    <n v="5"/>
    <n v="2722"/>
    <n v="5"/>
    <n v="680.5"/>
    <n v="2327.31"/>
    <n v="444"/>
    <n v="15256.81"/>
    <n v="15700.81"/>
    <x v="1"/>
    <x v="0"/>
    <s v="Pune"/>
    <x v="0"/>
    <x v="0"/>
    <n v="3"/>
    <x v="1"/>
    <n v="1"/>
    <x v="2"/>
  </r>
  <r>
    <s v="ORD00088"/>
    <x v="41"/>
    <s v="CUST231"/>
    <s v="Vikas"/>
    <x v="1"/>
    <x v="27"/>
    <x v="4"/>
    <x v="0"/>
    <x v="4"/>
    <x v="7"/>
    <n v="3"/>
    <n v="26078"/>
    <n v="10"/>
    <n v="7823.4"/>
    <n v="12673.91"/>
    <n v="236"/>
    <n v="83084.509999999995"/>
    <n v="83320.509999999995"/>
    <x v="1"/>
    <x v="0"/>
    <s v="Pune"/>
    <x v="0"/>
    <x v="0"/>
    <n v="5"/>
    <x v="1"/>
    <n v="5"/>
    <x v="2"/>
  </r>
  <r>
    <s v="ORD00089"/>
    <x v="77"/>
    <s v="CUST261"/>
    <s v="Priya"/>
    <x v="0"/>
    <x v="17"/>
    <x v="0"/>
    <x v="0"/>
    <x v="0"/>
    <x v="4"/>
    <n v="3"/>
    <n v="15789"/>
    <n v="15"/>
    <n v="7105.05"/>
    <n v="7247.15"/>
    <n v="301"/>
    <n v="47509.1"/>
    <n v="47810.1"/>
    <x v="3"/>
    <x v="0"/>
    <s v="Delhi"/>
    <x v="5"/>
    <x v="1"/>
    <n v="4"/>
    <x v="0"/>
    <n v="3"/>
    <x v="1"/>
  </r>
  <r>
    <s v="ORD00090"/>
    <x v="78"/>
    <s v="CUST992"/>
    <s v="Rahul"/>
    <x v="0"/>
    <x v="8"/>
    <x v="9"/>
    <x v="0"/>
    <x v="9"/>
    <x v="7"/>
    <n v="2"/>
    <n v="23965"/>
    <n v="20"/>
    <n v="9586"/>
    <n v="6901.92"/>
    <n v="167"/>
    <n v="45245.919999999998"/>
    <n v="45412.92"/>
    <x v="3"/>
    <x v="1"/>
    <s v="Jaipur"/>
    <x v="2"/>
    <x v="1"/>
    <n v="1"/>
    <x v="1"/>
    <n v="1"/>
    <x v="1"/>
  </r>
  <r>
    <s v="ORD00091"/>
    <x v="2"/>
    <s v="CUST689"/>
    <s v="Sneha"/>
    <x v="1"/>
    <x v="36"/>
    <x v="7"/>
    <x v="1"/>
    <x v="7"/>
    <x v="3"/>
    <n v="1"/>
    <n v="29036"/>
    <n v="10"/>
    <n v="2903.6"/>
    <n v="4703.83"/>
    <n v="336"/>
    <n v="30836.23"/>
    <n v="31172.23"/>
    <x v="1"/>
    <x v="1"/>
    <s v="Delhi"/>
    <x v="5"/>
    <x v="1"/>
    <n v="7"/>
    <x v="1"/>
    <n v="2"/>
    <x v="0"/>
  </r>
  <r>
    <s v="ORD00092"/>
    <x v="79"/>
    <s v="CUST468"/>
    <s v="Vikas"/>
    <x v="0"/>
    <x v="14"/>
    <x v="5"/>
    <x v="0"/>
    <x v="5"/>
    <x v="9"/>
    <n v="4"/>
    <n v="24259"/>
    <n v="20"/>
    <n v="19407.2"/>
    <n v="13973.18"/>
    <n v="445"/>
    <n v="91601.98"/>
    <n v="92046.98"/>
    <x v="1"/>
    <x v="1"/>
    <s v="Pune"/>
    <x v="0"/>
    <x v="0"/>
    <n v="1"/>
    <x v="0"/>
    <n v="5"/>
    <x v="3"/>
  </r>
  <r>
    <s v="ORD00093"/>
    <x v="80"/>
    <s v="CUST532"/>
    <s v="Rahul"/>
    <x v="1"/>
    <x v="14"/>
    <x v="0"/>
    <x v="0"/>
    <x v="0"/>
    <x v="1"/>
    <n v="4"/>
    <n v="27999"/>
    <n v="0"/>
    <n v="0"/>
    <n v="20159.28"/>
    <n v="169"/>
    <n v="132155.28"/>
    <n v="132324.28"/>
    <x v="0"/>
    <x v="1"/>
    <s v="Bangalore"/>
    <x v="3"/>
    <x v="2"/>
    <n v="8"/>
    <x v="1"/>
    <n v="2"/>
    <x v="3"/>
  </r>
  <r>
    <s v="ORD00094"/>
    <x v="80"/>
    <s v="CUST256"/>
    <s v="Vikas"/>
    <x v="0"/>
    <x v="16"/>
    <x v="8"/>
    <x v="0"/>
    <x v="8"/>
    <x v="0"/>
    <n v="5"/>
    <n v="44136"/>
    <n v="10"/>
    <n v="22068"/>
    <n v="35750.160000000003"/>
    <n v="127"/>
    <n v="234362.16"/>
    <n v="234489.16"/>
    <x v="1"/>
    <x v="0"/>
    <s v="Pune"/>
    <x v="0"/>
    <x v="0"/>
    <n v="8"/>
    <x v="0"/>
    <n v="5"/>
    <x v="1"/>
  </r>
  <r>
    <s v="ORD00095"/>
    <x v="81"/>
    <s v="CUST264"/>
    <s v="Riya"/>
    <x v="1"/>
    <x v="14"/>
    <x v="5"/>
    <x v="0"/>
    <x v="5"/>
    <x v="1"/>
    <n v="5"/>
    <n v="34596"/>
    <n v="15"/>
    <n v="25947"/>
    <n v="26465.94"/>
    <n v="316"/>
    <n v="173498.94"/>
    <n v="173814.94"/>
    <x v="2"/>
    <x v="1"/>
    <s v="Mumbai"/>
    <x v="0"/>
    <x v="0"/>
    <n v="7"/>
    <x v="0"/>
    <n v="1"/>
    <x v="1"/>
  </r>
  <r>
    <s v="ORD00096"/>
    <x v="82"/>
    <s v="CUST664"/>
    <s v="Amit"/>
    <x v="0"/>
    <x v="12"/>
    <x v="5"/>
    <x v="0"/>
    <x v="5"/>
    <x v="2"/>
    <n v="1"/>
    <n v="30323"/>
    <n v="15"/>
    <n v="4548.45"/>
    <n v="4639.42"/>
    <n v="45"/>
    <n v="30413.97"/>
    <n v="30458.97"/>
    <x v="3"/>
    <x v="1"/>
    <s v="Pune"/>
    <x v="0"/>
    <x v="0"/>
    <n v="1"/>
    <x v="1"/>
    <n v="4"/>
    <x v="2"/>
  </r>
  <r>
    <s v="ORD00097"/>
    <x v="15"/>
    <s v="CUST168"/>
    <s v="Vikas"/>
    <x v="0"/>
    <x v="29"/>
    <x v="9"/>
    <x v="0"/>
    <x v="9"/>
    <x v="5"/>
    <n v="4"/>
    <n v="14331"/>
    <n v="0"/>
    <n v="0"/>
    <n v="10318.32"/>
    <n v="41"/>
    <n v="67642.320000000007"/>
    <n v="67683.320000000007"/>
    <x v="3"/>
    <x v="0"/>
    <s v="Lucknow"/>
    <x v="4"/>
    <x v="1"/>
    <n v="1"/>
    <x v="1"/>
    <n v="4"/>
    <x v="0"/>
  </r>
  <r>
    <s v="ORD00098"/>
    <x v="83"/>
    <s v="CUST631"/>
    <s v="Arjun"/>
    <x v="0"/>
    <x v="35"/>
    <x v="2"/>
    <x v="1"/>
    <x v="2"/>
    <x v="7"/>
    <n v="3"/>
    <n v="3679"/>
    <n v="10"/>
    <n v="1103.7"/>
    <n v="1787.99"/>
    <n v="262"/>
    <n v="11721.29"/>
    <n v="11983.29"/>
    <x v="1"/>
    <x v="1"/>
    <s v="Mumbai"/>
    <x v="0"/>
    <x v="0"/>
    <n v="4"/>
    <x v="1"/>
    <n v="1"/>
    <x v="0"/>
  </r>
  <r>
    <s v="ORD00099"/>
    <x v="36"/>
    <s v="CUST643"/>
    <s v="Karan"/>
    <x v="0"/>
    <x v="17"/>
    <x v="4"/>
    <x v="0"/>
    <x v="4"/>
    <x v="4"/>
    <n v="3"/>
    <n v="25123"/>
    <n v="20"/>
    <n v="15073.8"/>
    <n v="10853.14"/>
    <n v="393"/>
    <n v="71148.34"/>
    <n v="71541.34"/>
    <x v="0"/>
    <x v="0"/>
    <s v="Bangalore"/>
    <x v="3"/>
    <x v="2"/>
    <n v="10"/>
    <x v="1"/>
    <n v="5"/>
    <x v="0"/>
  </r>
  <r>
    <s v="ORD00100"/>
    <x v="84"/>
    <s v="CUST540"/>
    <s v="Priya"/>
    <x v="1"/>
    <x v="39"/>
    <x v="7"/>
    <x v="1"/>
    <x v="7"/>
    <x v="5"/>
    <n v="4"/>
    <n v="46566"/>
    <n v="10"/>
    <n v="18626.400000000001"/>
    <n v="30174.77"/>
    <n v="402"/>
    <n v="197812.37"/>
    <n v="198214.37"/>
    <x v="2"/>
    <x v="0"/>
    <s v="Chandigarh"/>
    <x v="1"/>
    <x v="1"/>
    <n v="7"/>
    <x v="1"/>
    <n v="4"/>
    <x v="0"/>
  </r>
  <r>
    <s v="ORD00101"/>
    <x v="61"/>
    <s v="CUST796"/>
    <s v="Arjun"/>
    <x v="0"/>
    <x v="23"/>
    <x v="8"/>
    <x v="0"/>
    <x v="8"/>
    <x v="2"/>
    <n v="1"/>
    <n v="42289"/>
    <n v="20"/>
    <n v="8457.7999999999993"/>
    <n v="6089.62"/>
    <n v="250"/>
    <n v="39920.82"/>
    <n v="40170.82"/>
    <x v="1"/>
    <x v="1"/>
    <s v="Delhi"/>
    <x v="5"/>
    <x v="1"/>
    <n v="1"/>
    <x v="0"/>
    <n v="2"/>
    <x v="1"/>
  </r>
  <r>
    <s v="ORD00102"/>
    <x v="85"/>
    <s v="CUST371"/>
    <s v="Karan"/>
    <x v="0"/>
    <x v="13"/>
    <x v="2"/>
    <x v="1"/>
    <x v="2"/>
    <x v="4"/>
    <n v="5"/>
    <n v="4012"/>
    <n v="0"/>
    <n v="0"/>
    <n v="3610.8"/>
    <n v="329"/>
    <n v="23670.799999999999"/>
    <n v="23999.8"/>
    <x v="3"/>
    <x v="1"/>
    <s v="Bangalore"/>
    <x v="3"/>
    <x v="2"/>
    <n v="8"/>
    <x v="1"/>
    <n v="4"/>
    <x v="0"/>
  </r>
  <r>
    <s v="ORD00103"/>
    <x v="86"/>
    <s v="CUST769"/>
    <s v="Priya"/>
    <x v="0"/>
    <x v="7"/>
    <x v="4"/>
    <x v="0"/>
    <x v="4"/>
    <x v="8"/>
    <n v="2"/>
    <n v="30405"/>
    <n v="0"/>
    <n v="0"/>
    <n v="10945.8"/>
    <n v="301"/>
    <n v="71755.8"/>
    <n v="72056.800000000003"/>
    <x v="0"/>
    <x v="1"/>
    <s v="Jaipur"/>
    <x v="2"/>
    <x v="1"/>
    <n v="8"/>
    <x v="0"/>
    <n v="5"/>
    <x v="2"/>
  </r>
  <r>
    <s v="ORD00104"/>
    <x v="87"/>
    <s v="CUST785"/>
    <s v="Anjali"/>
    <x v="0"/>
    <x v="37"/>
    <x v="6"/>
    <x v="0"/>
    <x v="6"/>
    <x v="5"/>
    <n v="4"/>
    <n v="19141"/>
    <n v="20"/>
    <n v="15312.8"/>
    <n v="11025.22"/>
    <n v="482"/>
    <n v="72276.42"/>
    <n v="72758.42"/>
    <x v="3"/>
    <x v="0"/>
    <s v="Delhi"/>
    <x v="5"/>
    <x v="1"/>
    <n v="5"/>
    <x v="1"/>
    <n v="4"/>
    <x v="1"/>
  </r>
  <r>
    <s v="ORD00105"/>
    <x v="49"/>
    <s v="CUST968"/>
    <s v="Arjun"/>
    <x v="1"/>
    <x v="4"/>
    <x v="3"/>
    <x v="2"/>
    <x v="3"/>
    <x v="4"/>
    <n v="4"/>
    <n v="19962"/>
    <n v="5"/>
    <n v="3992.4"/>
    <n v="13654.01"/>
    <n v="104"/>
    <n v="89509.61"/>
    <n v="89613.61"/>
    <x v="1"/>
    <x v="0"/>
    <s v="Pune"/>
    <x v="0"/>
    <x v="0"/>
    <n v="7"/>
    <x v="1"/>
    <n v="5"/>
    <x v="1"/>
  </r>
  <r>
    <s v="ORD00106"/>
    <x v="88"/>
    <s v="CUST430"/>
    <s v="Sneha"/>
    <x v="0"/>
    <x v="40"/>
    <x v="3"/>
    <x v="2"/>
    <x v="3"/>
    <x v="2"/>
    <n v="5"/>
    <n v="30045"/>
    <n v="0"/>
    <n v="0"/>
    <n v="27040.5"/>
    <n v="295"/>
    <n v="177265.5"/>
    <n v="177560.5"/>
    <x v="1"/>
    <x v="1"/>
    <s v="Patiala"/>
    <x v="1"/>
    <x v="1"/>
    <n v="9"/>
    <x v="0"/>
    <n v="2"/>
    <x v="3"/>
  </r>
  <r>
    <s v="ORD00107"/>
    <x v="42"/>
    <s v="CUST756"/>
    <s v="Karan"/>
    <x v="0"/>
    <x v="30"/>
    <x v="0"/>
    <x v="0"/>
    <x v="0"/>
    <x v="8"/>
    <n v="1"/>
    <n v="30617"/>
    <n v="0"/>
    <n v="0"/>
    <n v="5511.06"/>
    <n v="291"/>
    <n v="36128.06"/>
    <n v="36419.06"/>
    <x v="0"/>
    <x v="0"/>
    <s v="Mumbai"/>
    <x v="0"/>
    <x v="0"/>
    <n v="9"/>
    <x v="1"/>
    <n v="5"/>
    <x v="2"/>
  </r>
  <r>
    <s v="ORD00108"/>
    <x v="89"/>
    <s v="CUST755"/>
    <s v="Sneha"/>
    <x v="1"/>
    <x v="2"/>
    <x v="8"/>
    <x v="0"/>
    <x v="8"/>
    <x v="1"/>
    <n v="1"/>
    <n v="36884"/>
    <n v="5"/>
    <n v="1844.2"/>
    <n v="6307.16"/>
    <n v="88"/>
    <n v="41346.959999999999"/>
    <n v="41434.959999999999"/>
    <x v="1"/>
    <x v="1"/>
    <s v="Patiala"/>
    <x v="1"/>
    <x v="1"/>
    <n v="2"/>
    <x v="1"/>
    <n v="2"/>
    <x v="3"/>
  </r>
  <r>
    <s v="ORD00109"/>
    <x v="90"/>
    <s v="CUST588"/>
    <s v="Anjali"/>
    <x v="1"/>
    <x v="0"/>
    <x v="7"/>
    <x v="1"/>
    <x v="7"/>
    <x v="7"/>
    <n v="2"/>
    <n v="44392"/>
    <n v="10"/>
    <n v="8878.4"/>
    <n v="14383.01"/>
    <n v="36"/>
    <n v="94288.61"/>
    <n v="94324.61"/>
    <x v="3"/>
    <x v="0"/>
    <s v="Mumbai"/>
    <x v="0"/>
    <x v="0"/>
    <n v="4"/>
    <x v="1"/>
    <n v="3"/>
    <x v="1"/>
  </r>
  <r>
    <s v="ORD00110"/>
    <x v="91"/>
    <s v="CUST680"/>
    <s v="Riya"/>
    <x v="0"/>
    <x v="34"/>
    <x v="3"/>
    <x v="2"/>
    <x v="3"/>
    <x v="1"/>
    <n v="2"/>
    <n v="45616"/>
    <n v="15"/>
    <n v="13684.8"/>
    <n v="13958.5"/>
    <n v="173"/>
    <n v="91505.7"/>
    <n v="91678.7"/>
    <x v="0"/>
    <x v="1"/>
    <s v="Bangalore"/>
    <x v="3"/>
    <x v="2"/>
    <n v="4"/>
    <x v="1"/>
    <n v="5"/>
    <x v="2"/>
  </r>
  <r>
    <s v="ORD00111"/>
    <x v="92"/>
    <s v="CUST923"/>
    <s v="Arjun"/>
    <x v="1"/>
    <x v="10"/>
    <x v="6"/>
    <x v="0"/>
    <x v="6"/>
    <x v="5"/>
    <n v="4"/>
    <n v="13466"/>
    <n v="15"/>
    <n v="8079.6"/>
    <n v="8241.19"/>
    <n v="298"/>
    <n v="54025.59"/>
    <n v="54323.59"/>
    <x v="3"/>
    <x v="1"/>
    <s v="Lucknow"/>
    <x v="4"/>
    <x v="1"/>
    <n v="6"/>
    <x v="0"/>
    <n v="5"/>
    <x v="2"/>
  </r>
  <r>
    <s v="ORD00112"/>
    <x v="93"/>
    <s v="CUST454"/>
    <s v="Arjun"/>
    <x v="0"/>
    <x v="27"/>
    <x v="1"/>
    <x v="0"/>
    <x v="1"/>
    <x v="0"/>
    <n v="3"/>
    <n v="10297"/>
    <n v="5"/>
    <n v="1544.55"/>
    <n v="5282.36"/>
    <n v="382"/>
    <n v="34628.81"/>
    <n v="35010.81"/>
    <x v="2"/>
    <x v="1"/>
    <s v="Jaipur"/>
    <x v="2"/>
    <x v="1"/>
    <n v="4"/>
    <x v="0"/>
    <n v="1"/>
    <x v="1"/>
  </r>
  <r>
    <s v="ORD00113"/>
    <x v="94"/>
    <s v="CUST221"/>
    <s v="Neha"/>
    <x v="0"/>
    <x v="41"/>
    <x v="9"/>
    <x v="0"/>
    <x v="9"/>
    <x v="5"/>
    <n v="2"/>
    <n v="20743"/>
    <n v="20"/>
    <n v="8297.2000000000007"/>
    <n v="5973.98"/>
    <n v="397"/>
    <n v="39162.78"/>
    <n v="39559.78"/>
    <x v="2"/>
    <x v="0"/>
    <s v="Mumbai"/>
    <x v="0"/>
    <x v="0"/>
    <n v="8"/>
    <x v="0"/>
    <n v="1"/>
    <x v="0"/>
  </r>
  <r>
    <s v="ORD00114"/>
    <x v="95"/>
    <s v="CUST299"/>
    <s v="Neha"/>
    <x v="1"/>
    <x v="17"/>
    <x v="9"/>
    <x v="0"/>
    <x v="9"/>
    <x v="7"/>
    <n v="3"/>
    <n v="45793"/>
    <n v="0"/>
    <n v="0"/>
    <n v="24728.22"/>
    <n v="20"/>
    <n v="162107.22"/>
    <n v="162127.22"/>
    <x v="2"/>
    <x v="0"/>
    <s v="Pune"/>
    <x v="0"/>
    <x v="0"/>
    <n v="5"/>
    <x v="0"/>
    <n v="5"/>
    <x v="0"/>
  </r>
  <r>
    <s v="ORD00115"/>
    <x v="96"/>
    <s v="CUST447"/>
    <s v="Karan"/>
    <x v="0"/>
    <x v="35"/>
    <x v="3"/>
    <x v="2"/>
    <x v="3"/>
    <x v="2"/>
    <n v="5"/>
    <n v="39903"/>
    <n v="20"/>
    <n v="39903"/>
    <n v="28730.16"/>
    <n v="492"/>
    <n v="188342.16"/>
    <n v="188834.16"/>
    <x v="3"/>
    <x v="1"/>
    <s v="Patiala"/>
    <x v="1"/>
    <x v="1"/>
    <n v="2"/>
    <x v="1"/>
    <n v="5"/>
    <x v="1"/>
  </r>
  <r>
    <s v="ORD00116"/>
    <x v="97"/>
    <s v="CUST732"/>
    <s v="Arjun"/>
    <x v="1"/>
    <x v="9"/>
    <x v="0"/>
    <x v="0"/>
    <x v="0"/>
    <x v="1"/>
    <n v="3"/>
    <n v="22776"/>
    <n v="0"/>
    <n v="0"/>
    <n v="12299.04"/>
    <n v="94"/>
    <n v="80627.039999999994"/>
    <n v="80721.039999999994"/>
    <x v="2"/>
    <x v="1"/>
    <s v="Jaipur"/>
    <x v="2"/>
    <x v="1"/>
    <n v="6"/>
    <x v="0"/>
    <n v="1"/>
    <x v="0"/>
  </r>
  <r>
    <s v="ORD00117"/>
    <x v="75"/>
    <s v="CUST185"/>
    <s v="Riya"/>
    <x v="1"/>
    <x v="18"/>
    <x v="8"/>
    <x v="0"/>
    <x v="8"/>
    <x v="7"/>
    <n v="5"/>
    <n v="18787"/>
    <n v="20"/>
    <n v="18787"/>
    <n v="13526.64"/>
    <n v="101"/>
    <n v="88674.64"/>
    <n v="88775.64"/>
    <x v="3"/>
    <x v="1"/>
    <s v="Pune"/>
    <x v="0"/>
    <x v="0"/>
    <n v="4"/>
    <x v="1"/>
    <n v="5"/>
    <x v="0"/>
  </r>
  <r>
    <s v="ORD00118"/>
    <x v="98"/>
    <s v="CUST728"/>
    <s v="Neha"/>
    <x v="0"/>
    <x v="6"/>
    <x v="0"/>
    <x v="0"/>
    <x v="0"/>
    <x v="0"/>
    <n v="1"/>
    <n v="956"/>
    <n v="20"/>
    <n v="191.2"/>
    <n v="137.66"/>
    <n v="446"/>
    <n v="902.46"/>
    <n v="1348.46"/>
    <x v="1"/>
    <x v="1"/>
    <s v="Pune"/>
    <x v="0"/>
    <x v="0"/>
    <n v="3"/>
    <x v="1"/>
    <n v="2"/>
    <x v="1"/>
  </r>
  <r>
    <s v="ORD00119"/>
    <x v="99"/>
    <s v="CUST221"/>
    <s v="Anjali"/>
    <x v="1"/>
    <x v="31"/>
    <x v="6"/>
    <x v="0"/>
    <x v="6"/>
    <x v="4"/>
    <n v="5"/>
    <n v="28102"/>
    <n v="5"/>
    <n v="7025.5"/>
    <n v="24027.21"/>
    <n v="281"/>
    <n v="157511.71"/>
    <n v="157792.71"/>
    <x v="3"/>
    <x v="0"/>
    <s v="Patiala"/>
    <x v="1"/>
    <x v="1"/>
    <n v="5"/>
    <x v="0"/>
    <n v="3"/>
    <x v="0"/>
  </r>
  <r>
    <s v="ORD00120"/>
    <x v="100"/>
    <s v="CUST201"/>
    <s v="Amit"/>
    <x v="0"/>
    <x v="2"/>
    <x v="8"/>
    <x v="0"/>
    <x v="8"/>
    <x v="8"/>
    <n v="4"/>
    <n v="2455"/>
    <n v="5"/>
    <n v="491"/>
    <n v="1679.22"/>
    <n v="255"/>
    <n v="11008.22"/>
    <n v="11263.22"/>
    <x v="2"/>
    <x v="1"/>
    <s v="Patiala"/>
    <x v="1"/>
    <x v="1"/>
    <n v="4"/>
    <x v="0"/>
    <n v="4"/>
    <x v="0"/>
  </r>
  <r>
    <s v="ORD00121"/>
    <x v="101"/>
    <s v="CUST978"/>
    <s v="Amit"/>
    <x v="0"/>
    <x v="38"/>
    <x v="3"/>
    <x v="2"/>
    <x v="3"/>
    <x v="7"/>
    <n v="2"/>
    <n v="14902"/>
    <n v="20"/>
    <n v="5960.8"/>
    <n v="4291.78"/>
    <n v="348"/>
    <n v="28134.98"/>
    <n v="28482.98"/>
    <x v="3"/>
    <x v="1"/>
    <s v="Jaipur"/>
    <x v="2"/>
    <x v="1"/>
    <n v="8"/>
    <x v="0"/>
    <n v="1"/>
    <x v="2"/>
  </r>
  <r>
    <s v="ORD00122"/>
    <x v="102"/>
    <s v="CUST939"/>
    <s v="Karan"/>
    <x v="0"/>
    <x v="18"/>
    <x v="2"/>
    <x v="1"/>
    <x v="2"/>
    <x v="8"/>
    <n v="2"/>
    <n v="13003"/>
    <n v="5"/>
    <n v="1300.3"/>
    <n v="4447.03"/>
    <n v="199"/>
    <n v="29152.73"/>
    <n v="29351.73"/>
    <x v="0"/>
    <x v="1"/>
    <s v="Pune"/>
    <x v="0"/>
    <x v="0"/>
    <n v="1"/>
    <x v="1"/>
    <n v="5"/>
    <x v="0"/>
  </r>
  <r>
    <s v="ORD00123"/>
    <x v="103"/>
    <s v="CUST385"/>
    <s v="Arjun"/>
    <x v="1"/>
    <x v="21"/>
    <x v="4"/>
    <x v="0"/>
    <x v="4"/>
    <x v="4"/>
    <n v="5"/>
    <n v="7255"/>
    <n v="5"/>
    <n v="1813.75"/>
    <n v="6203.02"/>
    <n v="388"/>
    <n v="40664.28"/>
    <n v="41052.28"/>
    <x v="1"/>
    <x v="0"/>
    <s v="Chandigarh"/>
    <x v="1"/>
    <x v="1"/>
    <n v="10"/>
    <x v="1"/>
    <n v="2"/>
    <x v="2"/>
  </r>
  <r>
    <s v="ORD00124"/>
    <x v="2"/>
    <s v="CUST978"/>
    <s v="Riya"/>
    <x v="0"/>
    <x v="38"/>
    <x v="7"/>
    <x v="1"/>
    <x v="7"/>
    <x v="6"/>
    <n v="1"/>
    <n v="31663"/>
    <n v="5"/>
    <n v="1583.15"/>
    <n v="5414.37"/>
    <n v="166"/>
    <n v="35494.22"/>
    <n v="35660.22"/>
    <x v="3"/>
    <x v="0"/>
    <s v="Chandigarh"/>
    <x v="1"/>
    <x v="1"/>
    <n v="1"/>
    <x v="1"/>
    <n v="2"/>
    <x v="1"/>
  </r>
  <r>
    <s v="ORD00125"/>
    <x v="104"/>
    <s v="CUST323"/>
    <s v="Vikas"/>
    <x v="0"/>
    <x v="32"/>
    <x v="7"/>
    <x v="1"/>
    <x v="7"/>
    <x v="1"/>
    <n v="2"/>
    <n v="48930"/>
    <n v="10"/>
    <n v="9786"/>
    <n v="15853.32"/>
    <n v="400"/>
    <n v="103927.32"/>
    <n v="104327.32"/>
    <x v="3"/>
    <x v="1"/>
    <s v="Jaipur"/>
    <x v="2"/>
    <x v="1"/>
    <n v="10"/>
    <x v="0"/>
    <n v="1"/>
    <x v="2"/>
  </r>
  <r>
    <s v="ORD00126"/>
    <x v="22"/>
    <s v="CUST813"/>
    <s v="Arjun"/>
    <x v="1"/>
    <x v="5"/>
    <x v="9"/>
    <x v="0"/>
    <x v="9"/>
    <x v="7"/>
    <n v="4"/>
    <n v="11876"/>
    <n v="20"/>
    <n v="9500.7999999999993"/>
    <n v="6840.58"/>
    <n v="31"/>
    <n v="44843.78"/>
    <n v="44874.78"/>
    <x v="3"/>
    <x v="0"/>
    <s v="Mumbai"/>
    <x v="0"/>
    <x v="0"/>
    <n v="3"/>
    <x v="0"/>
    <n v="3"/>
    <x v="1"/>
  </r>
  <r>
    <s v="ORD00127"/>
    <x v="105"/>
    <s v="CUST709"/>
    <s v="Vikas"/>
    <x v="0"/>
    <x v="3"/>
    <x v="2"/>
    <x v="1"/>
    <x v="2"/>
    <x v="5"/>
    <n v="3"/>
    <n v="6898"/>
    <n v="10"/>
    <n v="2069.4"/>
    <n v="3352.43"/>
    <n v="417"/>
    <n v="21977.03"/>
    <n v="22394.03"/>
    <x v="3"/>
    <x v="0"/>
    <s v="Jaipur"/>
    <x v="2"/>
    <x v="1"/>
    <n v="4"/>
    <x v="0"/>
    <n v="2"/>
    <x v="0"/>
  </r>
  <r>
    <s v="ORD00128"/>
    <x v="73"/>
    <s v="CUST865"/>
    <s v="Arjun"/>
    <x v="1"/>
    <x v="30"/>
    <x v="6"/>
    <x v="0"/>
    <x v="6"/>
    <x v="3"/>
    <n v="5"/>
    <n v="27664"/>
    <n v="0"/>
    <n v="0"/>
    <n v="24897.599999999999"/>
    <n v="18"/>
    <n v="163217.60000000001"/>
    <n v="163235.6"/>
    <x v="0"/>
    <x v="1"/>
    <s v="Delhi"/>
    <x v="5"/>
    <x v="1"/>
    <n v="10"/>
    <x v="1"/>
    <n v="3"/>
    <x v="1"/>
  </r>
  <r>
    <s v="ORD00129"/>
    <x v="106"/>
    <s v="CUST339"/>
    <s v="Rahul"/>
    <x v="1"/>
    <x v="10"/>
    <x v="4"/>
    <x v="0"/>
    <x v="4"/>
    <x v="7"/>
    <n v="5"/>
    <n v="31878"/>
    <n v="5"/>
    <n v="7969.5"/>
    <n v="27255.69"/>
    <n v="288"/>
    <n v="178676.19"/>
    <n v="178964.19"/>
    <x v="1"/>
    <x v="1"/>
    <s v="Lucknow"/>
    <x v="4"/>
    <x v="1"/>
    <n v="7"/>
    <x v="0"/>
    <n v="4"/>
    <x v="1"/>
  </r>
  <r>
    <s v="ORD00130"/>
    <x v="20"/>
    <s v="CUST389"/>
    <s v="Karan"/>
    <x v="0"/>
    <x v="32"/>
    <x v="9"/>
    <x v="0"/>
    <x v="9"/>
    <x v="6"/>
    <n v="2"/>
    <n v="33074"/>
    <n v="10"/>
    <n v="6614.8"/>
    <n v="10715.98"/>
    <n v="377"/>
    <n v="70249.179999999993"/>
    <n v="70626.179999999993"/>
    <x v="0"/>
    <x v="0"/>
    <s v="Delhi"/>
    <x v="5"/>
    <x v="1"/>
    <n v="4"/>
    <x v="1"/>
    <n v="3"/>
    <x v="0"/>
  </r>
  <r>
    <s v="ORD00131"/>
    <x v="107"/>
    <s v="CUST455"/>
    <s v="Anjali"/>
    <x v="0"/>
    <x v="2"/>
    <x v="8"/>
    <x v="0"/>
    <x v="8"/>
    <x v="5"/>
    <n v="1"/>
    <n v="24321"/>
    <n v="10"/>
    <n v="2432.1"/>
    <n v="3940"/>
    <n v="350"/>
    <n v="25828.9"/>
    <n v="26178.9"/>
    <x v="1"/>
    <x v="1"/>
    <s v="Delhi"/>
    <x v="5"/>
    <x v="1"/>
    <n v="3"/>
    <x v="1"/>
    <n v="5"/>
    <x v="0"/>
  </r>
  <r>
    <s v="ORD00132"/>
    <x v="108"/>
    <s v="CUST831"/>
    <s v="Anjali"/>
    <x v="0"/>
    <x v="1"/>
    <x v="4"/>
    <x v="0"/>
    <x v="4"/>
    <x v="8"/>
    <n v="4"/>
    <n v="42895"/>
    <n v="15"/>
    <n v="25737"/>
    <n v="26251.74"/>
    <n v="98"/>
    <n v="172094.74"/>
    <n v="172192.74"/>
    <x v="3"/>
    <x v="0"/>
    <s v="Lucknow"/>
    <x v="4"/>
    <x v="1"/>
    <n v="9"/>
    <x v="1"/>
    <n v="1"/>
    <x v="3"/>
  </r>
  <r>
    <s v="ORD00133"/>
    <x v="5"/>
    <s v="CUST726"/>
    <s v="Rahul"/>
    <x v="0"/>
    <x v="9"/>
    <x v="1"/>
    <x v="0"/>
    <x v="1"/>
    <x v="7"/>
    <n v="5"/>
    <n v="48980"/>
    <n v="0"/>
    <n v="0"/>
    <n v="44082"/>
    <n v="96"/>
    <n v="288982"/>
    <n v="289078"/>
    <x v="3"/>
    <x v="0"/>
    <s v="Jaipur"/>
    <x v="2"/>
    <x v="1"/>
    <n v="5"/>
    <x v="1"/>
    <n v="2"/>
    <x v="1"/>
  </r>
  <r>
    <s v="ORD00134"/>
    <x v="109"/>
    <s v="CUST979"/>
    <s v="Arjun"/>
    <x v="1"/>
    <x v="30"/>
    <x v="8"/>
    <x v="0"/>
    <x v="8"/>
    <x v="8"/>
    <n v="1"/>
    <n v="49527"/>
    <n v="0"/>
    <n v="0"/>
    <n v="8914.86"/>
    <n v="456"/>
    <n v="58441.86"/>
    <n v="58897.86"/>
    <x v="2"/>
    <x v="0"/>
    <s v="Pune"/>
    <x v="0"/>
    <x v="0"/>
    <n v="5"/>
    <x v="1"/>
    <n v="5"/>
    <x v="1"/>
  </r>
  <r>
    <s v="ORD00135"/>
    <x v="110"/>
    <s v="CUST262"/>
    <s v="Sneha"/>
    <x v="0"/>
    <x v="14"/>
    <x v="8"/>
    <x v="0"/>
    <x v="8"/>
    <x v="5"/>
    <n v="4"/>
    <n v="24297"/>
    <n v="5"/>
    <n v="4859.3999999999996"/>
    <n v="16619.150000000001"/>
    <n v="167"/>
    <n v="108947.75"/>
    <n v="109114.75"/>
    <x v="1"/>
    <x v="0"/>
    <s v="Lucknow"/>
    <x v="4"/>
    <x v="1"/>
    <n v="5"/>
    <x v="0"/>
    <n v="1"/>
    <x v="0"/>
  </r>
  <r>
    <s v="ORD00136"/>
    <x v="86"/>
    <s v="CUST905"/>
    <s v="Amit"/>
    <x v="1"/>
    <x v="24"/>
    <x v="4"/>
    <x v="0"/>
    <x v="4"/>
    <x v="6"/>
    <n v="5"/>
    <n v="47683"/>
    <n v="5"/>
    <n v="11920.75"/>
    <n v="40768.959999999999"/>
    <n v="420"/>
    <n v="267263.21000000002"/>
    <n v="267683.21000000002"/>
    <x v="0"/>
    <x v="0"/>
    <s v="Delhi"/>
    <x v="5"/>
    <x v="1"/>
    <n v="4"/>
    <x v="1"/>
    <n v="4"/>
    <x v="0"/>
  </r>
  <r>
    <s v="ORD00137"/>
    <x v="111"/>
    <s v="CUST630"/>
    <s v="Priya"/>
    <x v="1"/>
    <x v="22"/>
    <x v="1"/>
    <x v="0"/>
    <x v="1"/>
    <x v="9"/>
    <n v="3"/>
    <n v="48486"/>
    <n v="0"/>
    <n v="0"/>
    <n v="26182.44"/>
    <n v="460"/>
    <n v="171640.44"/>
    <n v="172100.44"/>
    <x v="2"/>
    <x v="0"/>
    <s v="Bangalore"/>
    <x v="3"/>
    <x v="2"/>
    <n v="6"/>
    <x v="0"/>
    <n v="2"/>
    <x v="2"/>
  </r>
  <r>
    <s v="ORD00138"/>
    <x v="112"/>
    <s v="CUST336"/>
    <s v="Amit"/>
    <x v="1"/>
    <x v="3"/>
    <x v="4"/>
    <x v="0"/>
    <x v="4"/>
    <x v="2"/>
    <n v="4"/>
    <n v="35587"/>
    <n v="10"/>
    <n v="14234.8"/>
    <n v="23060.38"/>
    <n v="243"/>
    <n v="151173.57999999999"/>
    <n v="151416.57999999999"/>
    <x v="3"/>
    <x v="0"/>
    <s v="Patiala"/>
    <x v="1"/>
    <x v="1"/>
    <n v="3"/>
    <x v="0"/>
    <n v="4"/>
    <x v="3"/>
  </r>
  <r>
    <s v="ORD00139"/>
    <x v="104"/>
    <s v="CUST813"/>
    <s v="Rahul"/>
    <x v="1"/>
    <x v="25"/>
    <x v="5"/>
    <x v="0"/>
    <x v="5"/>
    <x v="8"/>
    <n v="5"/>
    <n v="38537"/>
    <n v="20"/>
    <n v="38537"/>
    <n v="27746.639999999999"/>
    <n v="428"/>
    <n v="181894.64"/>
    <n v="182322.64"/>
    <x v="2"/>
    <x v="1"/>
    <s v="Bangalore"/>
    <x v="3"/>
    <x v="2"/>
    <n v="8"/>
    <x v="0"/>
    <n v="1"/>
    <x v="3"/>
  </r>
  <r>
    <s v="ORD00140"/>
    <x v="113"/>
    <s v="CUST631"/>
    <s v="Neha"/>
    <x v="0"/>
    <x v="3"/>
    <x v="5"/>
    <x v="0"/>
    <x v="5"/>
    <x v="7"/>
    <n v="5"/>
    <n v="2675"/>
    <n v="15"/>
    <n v="2006.25"/>
    <n v="2046.38"/>
    <n v="318"/>
    <n v="13415.12"/>
    <n v="13733.12"/>
    <x v="0"/>
    <x v="0"/>
    <s v="Pune"/>
    <x v="0"/>
    <x v="0"/>
    <n v="3"/>
    <x v="1"/>
    <n v="1"/>
    <x v="2"/>
  </r>
  <r>
    <s v="ORD00141"/>
    <x v="40"/>
    <s v="CUST688"/>
    <s v="Amit"/>
    <x v="1"/>
    <x v="20"/>
    <x v="3"/>
    <x v="2"/>
    <x v="3"/>
    <x v="8"/>
    <n v="3"/>
    <n v="31905"/>
    <n v="5"/>
    <n v="4785.75"/>
    <n v="16367.26"/>
    <n v="396"/>
    <n v="107296.51"/>
    <n v="107692.51"/>
    <x v="3"/>
    <x v="1"/>
    <s v="Patiala"/>
    <x v="1"/>
    <x v="1"/>
    <n v="2"/>
    <x v="1"/>
    <n v="5"/>
    <x v="2"/>
  </r>
  <r>
    <s v="ORD00142"/>
    <x v="114"/>
    <s v="CUST100"/>
    <s v="Rahul"/>
    <x v="1"/>
    <x v="23"/>
    <x v="5"/>
    <x v="0"/>
    <x v="5"/>
    <x v="9"/>
    <n v="1"/>
    <n v="37253"/>
    <n v="5"/>
    <n v="1862.65"/>
    <n v="6370.26"/>
    <n v="234"/>
    <n v="41760.61"/>
    <n v="41994.61"/>
    <x v="1"/>
    <x v="0"/>
    <s v="Jaipur"/>
    <x v="2"/>
    <x v="1"/>
    <n v="4"/>
    <x v="0"/>
    <n v="1"/>
    <x v="0"/>
  </r>
  <r>
    <s v="ORD00143"/>
    <x v="115"/>
    <s v="CUST905"/>
    <s v="Amit"/>
    <x v="0"/>
    <x v="35"/>
    <x v="4"/>
    <x v="0"/>
    <x v="4"/>
    <x v="6"/>
    <n v="1"/>
    <n v="7447"/>
    <n v="20"/>
    <n v="1489.4"/>
    <n v="1072.3699999999999"/>
    <n v="383"/>
    <n v="7029.97"/>
    <n v="7412.97"/>
    <x v="0"/>
    <x v="0"/>
    <s v="Delhi"/>
    <x v="5"/>
    <x v="1"/>
    <n v="6"/>
    <x v="0"/>
    <n v="5"/>
    <x v="3"/>
  </r>
  <r>
    <s v="ORD00144"/>
    <x v="116"/>
    <s v="CUST345"/>
    <s v="Rahul"/>
    <x v="0"/>
    <x v="29"/>
    <x v="6"/>
    <x v="0"/>
    <x v="6"/>
    <x v="6"/>
    <n v="3"/>
    <n v="2465"/>
    <n v="5"/>
    <n v="369.75"/>
    <n v="1264.54"/>
    <n v="407"/>
    <n v="8289.7999999999993"/>
    <n v="8696.7999999999993"/>
    <x v="0"/>
    <x v="1"/>
    <s v="Patiala"/>
    <x v="1"/>
    <x v="1"/>
    <n v="5"/>
    <x v="1"/>
    <n v="5"/>
    <x v="1"/>
  </r>
  <r>
    <s v="ORD00145"/>
    <x v="72"/>
    <s v="CUST280"/>
    <s v="Amit"/>
    <x v="1"/>
    <x v="7"/>
    <x v="6"/>
    <x v="0"/>
    <x v="6"/>
    <x v="4"/>
    <n v="2"/>
    <n v="43125"/>
    <n v="10"/>
    <n v="8625"/>
    <n v="13972.5"/>
    <n v="153"/>
    <n v="91597.5"/>
    <n v="91750.5"/>
    <x v="0"/>
    <x v="1"/>
    <s v="Lucknow"/>
    <x v="4"/>
    <x v="1"/>
    <n v="5"/>
    <x v="1"/>
    <n v="2"/>
    <x v="1"/>
  </r>
  <r>
    <s v="ORD00146"/>
    <x v="117"/>
    <s v="CUST463"/>
    <s v="Sneha"/>
    <x v="1"/>
    <x v="19"/>
    <x v="5"/>
    <x v="0"/>
    <x v="5"/>
    <x v="7"/>
    <n v="2"/>
    <n v="25854"/>
    <n v="15"/>
    <n v="7756.2"/>
    <n v="7911.32"/>
    <n v="26"/>
    <n v="51863.12"/>
    <n v="51889.120000000003"/>
    <x v="2"/>
    <x v="1"/>
    <s v="Patiala"/>
    <x v="1"/>
    <x v="1"/>
    <n v="1"/>
    <x v="1"/>
    <n v="5"/>
    <x v="2"/>
  </r>
  <r>
    <s v="ORD00147"/>
    <x v="118"/>
    <s v="CUST400"/>
    <s v="Amit"/>
    <x v="1"/>
    <x v="35"/>
    <x v="1"/>
    <x v="0"/>
    <x v="1"/>
    <x v="1"/>
    <n v="4"/>
    <n v="24413"/>
    <n v="0"/>
    <n v="0"/>
    <n v="17577.36"/>
    <n v="0"/>
    <n v="115229.36"/>
    <n v="115229.36"/>
    <x v="2"/>
    <x v="1"/>
    <s v="Mumbai"/>
    <x v="0"/>
    <x v="0"/>
    <n v="2"/>
    <x v="0"/>
    <n v="1"/>
    <x v="3"/>
  </r>
  <r>
    <s v="ORD00148"/>
    <x v="119"/>
    <s v="CUST204"/>
    <s v="Riya"/>
    <x v="1"/>
    <x v="22"/>
    <x v="9"/>
    <x v="0"/>
    <x v="9"/>
    <x v="3"/>
    <n v="2"/>
    <n v="8194"/>
    <n v="5"/>
    <n v="819.4"/>
    <n v="2802.35"/>
    <n v="178"/>
    <n v="18370.95"/>
    <n v="18548.95"/>
    <x v="0"/>
    <x v="1"/>
    <s v="Delhi"/>
    <x v="5"/>
    <x v="1"/>
    <n v="2"/>
    <x v="1"/>
    <n v="3"/>
    <x v="2"/>
  </r>
  <r>
    <s v="ORD00149"/>
    <x v="120"/>
    <s v="CUST237"/>
    <s v="Neha"/>
    <x v="1"/>
    <x v="13"/>
    <x v="6"/>
    <x v="0"/>
    <x v="6"/>
    <x v="4"/>
    <n v="2"/>
    <n v="23798"/>
    <n v="5"/>
    <n v="2379.8000000000002"/>
    <n v="8138.92"/>
    <n v="62"/>
    <n v="53355.12"/>
    <n v="53417.120000000003"/>
    <x v="1"/>
    <x v="1"/>
    <s v="Pune"/>
    <x v="0"/>
    <x v="0"/>
    <n v="2"/>
    <x v="1"/>
    <n v="5"/>
    <x v="2"/>
  </r>
  <r>
    <s v="ORD00150"/>
    <x v="121"/>
    <s v="CUST635"/>
    <s v="Priya"/>
    <x v="0"/>
    <x v="28"/>
    <x v="2"/>
    <x v="1"/>
    <x v="2"/>
    <x v="2"/>
    <n v="1"/>
    <n v="26351"/>
    <n v="5"/>
    <n v="1317.55"/>
    <n v="4506.0200000000004"/>
    <n v="205"/>
    <n v="29539.47"/>
    <n v="29744.47"/>
    <x v="1"/>
    <x v="1"/>
    <s v="Delhi"/>
    <x v="5"/>
    <x v="1"/>
    <n v="9"/>
    <x v="1"/>
    <n v="1"/>
    <x v="0"/>
  </r>
  <r>
    <s v="ORD00151"/>
    <x v="122"/>
    <s v="CUST742"/>
    <s v="Neha"/>
    <x v="0"/>
    <x v="32"/>
    <x v="8"/>
    <x v="0"/>
    <x v="8"/>
    <x v="4"/>
    <n v="2"/>
    <n v="32644"/>
    <n v="0"/>
    <n v="0"/>
    <n v="11751.84"/>
    <n v="413"/>
    <n v="77039.839999999997"/>
    <n v="77452.84"/>
    <x v="3"/>
    <x v="0"/>
    <s v="Pune"/>
    <x v="0"/>
    <x v="0"/>
    <n v="7"/>
    <x v="0"/>
    <n v="4"/>
    <x v="2"/>
  </r>
  <r>
    <s v="ORD00152"/>
    <x v="123"/>
    <s v="CUST493"/>
    <s v="Vikas"/>
    <x v="0"/>
    <x v="36"/>
    <x v="8"/>
    <x v="0"/>
    <x v="8"/>
    <x v="0"/>
    <n v="5"/>
    <n v="13792"/>
    <n v="0"/>
    <n v="0"/>
    <n v="12412.8"/>
    <n v="437"/>
    <n v="81372.800000000003"/>
    <n v="81809.8"/>
    <x v="2"/>
    <x v="1"/>
    <s v="Lucknow"/>
    <x v="4"/>
    <x v="1"/>
    <n v="1"/>
    <x v="0"/>
    <n v="4"/>
    <x v="0"/>
  </r>
  <r>
    <s v="ORD00153"/>
    <x v="124"/>
    <s v="CUST596"/>
    <s v="Karan"/>
    <x v="1"/>
    <x v="13"/>
    <x v="4"/>
    <x v="0"/>
    <x v="4"/>
    <x v="7"/>
    <n v="5"/>
    <n v="12497"/>
    <n v="15"/>
    <n v="9372.75"/>
    <n v="9560.2000000000007"/>
    <n v="71"/>
    <n v="62672.46"/>
    <n v="62743.46"/>
    <x v="0"/>
    <x v="1"/>
    <s v="Lucknow"/>
    <x v="4"/>
    <x v="1"/>
    <n v="10"/>
    <x v="1"/>
    <n v="5"/>
    <x v="0"/>
  </r>
  <r>
    <s v="ORD00154"/>
    <x v="118"/>
    <s v="CUST437"/>
    <s v="Anjali"/>
    <x v="0"/>
    <x v="12"/>
    <x v="2"/>
    <x v="1"/>
    <x v="2"/>
    <x v="1"/>
    <n v="5"/>
    <n v="46090"/>
    <n v="5"/>
    <n v="11522.5"/>
    <n v="39406.949999999997"/>
    <n v="212"/>
    <n v="258334.45"/>
    <n v="258546.45"/>
    <x v="2"/>
    <x v="1"/>
    <s v="Bangalore"/>
    <x v="3"/>
    <x v="2"/>
    <n v="6"/>
    <x v="0"/>
    <n v="2"/>
    <x v="2"/>
  </r>
  <r>
    <s v="ORD00155"/>
    <x v="125"/>
    <s v="CUST774"/>
    <s v="Neha"/>
    <x v="0"/>
    <x v="36"/>
    <x v="6"/>
    <x v="0"/>
    <x v="6"/>
    <x v="9"/>
    <n v="5"/>
    <n v="5689"/>
    <n v="10"/>
    <n v="2844.5"/>
    <n v="4608.09"/>
    <n v="96"/>
    <n v="30208.59"/>
    <n v="30304.59"/>
    <x v="2"/>
    <x v="0"/>
    <s v="Patiala"/>
    <x v="1"/>
    <x v="1"/>
    <n v="6"/>
    <x v="1"/>
    <n v="1"/>
    <x v="2"/>
  </r>
  <r>
    <s v="ORD00156"/>
    <x v="39"/>
    <s v="CUST652"/>
    <s v="Sneha"/>
    <x v="0"/>
    <x v="38"/>
    <x v="2"/>
    <x v="1"/>
    <x v="2"/>
    <x v="4"/>
    <n v="1"/>
    <n v="37843"/>
    <n v="0"/>
    <n v="0"/>
    <n v="6811.74"/>
    <n v="134"/>
    <n v="44654.74"/>
    <n v="44788.74"/>
    <x v="1"/>
    <x v="0"/>
    <s v="Bangalore"/>
    <x v="3"/>
    <x v="2"/>
    <n v="8"/>
    <x v="0"/>
    <n v="3"/>
    <x v="3"/>
  </r>
  <r>
    <s v="ORD00157"/>
    <x v="126"/>
    <s v="CUST395"/>
    <s v="Neha"/>
    <x v="1"/>
    <x v="33"/>
    <x v="9"/>
    <x v="0"/>
    <x v="9"/>
    <x v="1"/>
    <n v="2"/>
    <n v="11265"/>
    <n v="20"/>
    <n v="4506"/>
    <n v="3244.32"/>
    <n v="220"/>
    <n v="21268.32"/>
    <n v="21488.32"/>
    <x v="2"/>
    <x v="1"/>
    <s v="Bangalore"/>
    <x v="3"/>
    <x v="2"/>
    <n v="4"/>
    <x v="1"/>
    <n v="2"/>
    <x v="2"/>
  </r>
  <r>
    <s v="ORD00158"/>
    <x v="127"/>
    <s v="CUST116"/>
    <s v="Neha"/>
    <x v="0"/>
    <x v="6"/>
    <x v="4"/>
    <x v="0"/>
    <x v="4"/>
    <x v="4"/>
    <n v="2"/>
    <n v="3628"/>
    <n v="20"/>
    <n v="1451.2"/>
    <n v="1044.8599999999999"/>
    <n v="45"/>
    <n v="6849.66"/>
    <n v="6894.66"/>
    <x v="3"/>
    <x v="0"/>
    <s v="Delhi"/>
    <x v="5"/>
    <x v="1"/>
    <n v="2"/>
    <x v="1"/>
    <n v="1"/>
    <x v="0"/>
  </r>
  <r>
    <s v="ORD00159"/>
    <x v="128"/>
    <s v="CUST707"/>
    <s v="Amit"/>
    <x v="1"/>
    <x v="0"/>
    <x v="4"/>
    <x v="0"/>
    <x v="4"/>
    <x v="2"/>
    <n v="2"/>
    <n v="7118"/>
    <n v="10"/>
    <n v="1423.6"/>
    <n v="2306.23"/>
    <n v="140"/>
    <n v="15118.63"/>
    <n v="15258.63"/>
    <x v="3"/>
    <x v="1"/>
    <s v="Pune"/>
    <x v="0"/>
    <x v="0"/>
    <n v="10"/>
    <x v="0"/>
    <n v="3"/>
    <x v="3"/>
  </r>
  <r>
    <s v="ORD00160"/>
    <x v="83"/>
    <s v="CUST330"/>
    <s v="Anjali"/>
    <x v="1"/>
    <x v="19"/>
    <x v="6"/>
    <x v="0"/>
    <x v="6"/>
    <x v="2"/>
    <n v="2"/>
    <n v="31726"/>
    <n v="15"/>
    <n v="9517.7999999999993"/>
    <n v="9708.16"/>
    <n v="13"/>
    <n v="63642.36"/>
    <n v="63655.360000000001"/>
    <x v="3"/>
    <x v="1"/>
    <s v="Mumbai"/>
    <x v="0"/>
    <x v="0"/>
    <n v="1"/>
    <x v="0"/>
    <n v="5"/>
    <x v="2"/>
  </r>
  <r>
    <s v="ORD00161"/>
    <x v="92"/>
    <s v="CUST275"/>
    <s v="Karan"/>
    <x v="0"/>
    <x v="35"/>
    <x v="9"/>
    <x v="0"/>
    <x v="9"/>
    <x v="3"/>
    <n v="4"/>
    <n v="42298"/>
    <n v="20"/>
    <n v="33838.400000000001"/>
    <n v="24363.65"/>
    <n v="262"/>
    <n v="159717.25"/>
    <n v="159979.25"/>
    <x v="1"/>
    <x v="1"/>
    <s v="Patiala"/>
    <x v="1"/>
    <x v="1"/>
    <n v="8"/>
    <x v="0"/>
    <n v="5"/>
    <x v="0"/>
  </r>
  <r>
    <s v="ORD00162"/>
    <x v="129"/>
    <s v="CUST133"/>
    <s v="Priya"/>
    <x v="1"/>
    <x v="18"/>
    <x v="1"/>
    <x v="0"/>
    <x v="1"/>
    <x v="6"/>
    <n v="4"/>
    <n v="43897"/>
    <n v="15"/>
    <n v="26338.2"/>
    <n v="26864.959999999999"/>
    <n v="108"/>
    <n v="176114.76"/>
    <n v="176222.76"/>
    <x v="1"/>
    <x v="1"/>
    <s v="Patiala"/>
    <x v="1"/>
    <x v="1"/>
    <n v="8"/>
    <x v="0"/>
    <n v="3"/>
    <x v="2"/>
  </r>
  <r>
    <s v="ORD00163"/>
    <x v="130"/>
    <s v="CUST905"/>
    <s v="Rahul"/>
    <x v="0"/>
    <x v="11"/>
    <x v="7"/>
    <x v="1"/>
    <x v="7"/>
    <x v="6"/>
    <n v="2"/>
    <n v="48486"/>
    <n v="0"/>
    <n v="0"/>
    <n v="17454.96"/>
    <n v="267"/>
    <n v="114426.96"/>
    <n v="114693.96"/>
    <x v="1"/>
    <x v="0"/>
    <s v="Bangalore"/>
    <x v="3"/>
    <x v="2"/>
    <n v="1"/>
    <x v="0"/>
    <n v="5"/>
    <x v="0"/>
  </r>
  <r>
    <s v="ORD00164"/>
    <x v="51"/>
    <s v="CUST196"/>
    <s v="Amit"/>
    <x v="0"/>
    <x v="26"/>
    <x v="7"/>
    <x v="1"/>
    <x v="7"/>
    <x v="4"/>
    <n v="3"/>
    <n v="11761"/>
    <n v="15"/>
    <n v="5292.45"/>
    <n v="5398.3"/>
    <n v="14"/>
    <n v="35388.85"/>
    <n v="35402.85"/>
    <x v="0"/>
    <x v="1"/>
    <s v="Chandigarh"/>
    <x v="1"/>
    <x v="1"/>
    <n v="5"/>
    <x v="0"/>
    <n v="1"/>
    <x v="0"/>
  </r>
  <r>
    <s v="ORD00165"/>
    <x v="15"/>
    <s v="CUST169"/>
    <s v="Sneha"/>
    <x v="1"/>
    <x v="11"/>
    <x v="5"/>
    <x v="0"/>
    <x v="5"/>
    <x v="5"/>
    <n v="1"/>
    <n v="34466"/>
    <n v="5"/>
    <n v="1723.3"/>
    <n v="5893.69"/>
    <n v="50"/>
    <n v="38636.39"/>
    <n v="38686.39"/>
    <x v="3"/>
    <x v="0"/>
    <s v="Lucknow"/>
    <x v="4"/>
    <x v="1"/>
    <n v="1"/>
    <x v="0"/>
    <n v="3"/>
    <x v="0"/>
  </r>
  <r>
    <s v="ORD00166"/>
    <x v="119"/>
    <s v="CUST774"/>
    <s v="Vikas"/>
    <x v="0"/>
    <x v="24"/>
    <x v="7"/>
    <x v="1"/>
    <x v="7"/>
    <x v="0"/>
    <n v="3"/>
    <n v="42623"/>
    <n v="20"/>
    <n v="25573.8"/>
    <n v="18413.14"/>
    <n v="20"/>
    <n v="120708.34"/>
    <n v="120728.34"/>
    <x v="1"/>
    <x v="1"/>
    <s v="Lucknow"/>
    <x v="4"/>
    <x v="1"/>
    <n v="1"/>
    <x v="1"/>
    <n v="1"/>
    <x v="3"/>
  </r>
  <r>
    <s v="ORD00167"/>
    <x v="131"/>
    <s v="CUST715"/>
    <s v="Karan"/>
    <x v="0"/>
    <x v="1"/>
    <x v="2"/>
    <x v="1"/>
    <x v="2"/>
    <x v="8"/>
    <n v="2"/>
    <n v="35830"/>
    <n v="10"/>
    <n v="7166"/>
    <n v="11608.92"/>
    <n v="133"/>
    <n v="76102.92"/>
    <n v="76235.92"/>
    <x v="2"/>
    <x v="0"/>
    <s v="Chandigarh"/>
    <x v="1"/>
    <x v="1"/>
    <n v="8"/>
    <x v="1"/>
    <n v="1"/>
    <x v="0"/>
  </r>
  <r>
    <s v="ORD00168"/>
    <x v="132"/>
    <s v="CUST634"/>
    <s v="Anjali"/>
    <x v="0"/>
    <x v="26"/>
    <x v="7"/>
    <x v="1"/>
    <x v="7"/>
    <x v="0"/>
    <n v="1"/>
    <n v="40523"/>
    <n v="0"/>
    <n v="0"/>
    <n v="7294.14"/>
    <n v="302"/>
    <n v="47817.14"/>
    <n v="48119.14"/>
    <x v="3"/>
    <x v="1"/>
    <s v="Patiala"/>
    <x v="1"/>
    <x v="1"/>
    <n v="9"/>
    <x v="0"/>
    <n v="5"/>
    <x v="1"/>
  </r>
  <r>
    <s v="ORD00169"/>
    <x v="133"/>
    <s v="CUST198"/>
    <s v="Amit"/>
    <x v="1"/>
    <x v="35"/>
    <x v="1"/>
    <x v="0"/>
    <x v="1"/>
    <x v="9"/>
    <n v="4"/>
    <n v="11352"/>
    <n v="0"/>
    <n v="0"/>
    <n v="8173.44"/>
    <n v="161"/>
    <n v="53581.440000000002"/>
    <n v="53742.44"/>
    <x v="1"/>
    <x v="0"/>
    <s v="Mumbai"/>
    <x v="0"/>
    <x v="0"/>
    <n v="6"/>
    <x v="0"/>
    <n v="1"/>
    <x v="2"/>
  </r>
  <r>
    <s v="ORD00170"/>
    <x v="134"/>
    <s v="CUST119"/>
    <s v="Rahul"/>
    <x v="1"/>
    <x v="3"/>
    <x v="3"/>
    <x v="2"/>
    <x v="3"/>
    <x v="0"/>
    <n v="4"/>
    <n v="42955"/>
    <n v="0"/>
    <n v="0"/>
    <n v="30927.599999999999"/>
    <n v="41"/>
    <n v="202747.6"/>
    <n v="202788.6"/>
    <x v="1"/>
    <x v="1"/>
    <s v="Pune"/>
    <x v="0"/>
    <x v="0"/>
    <n v="9"/>
    <x v="0"/>
    <n v="3"/>
    <x v="1"/>
  </r>
  <r>
    <s v="ORD00171"/>
    <x v="135"/>
    <s v="CUST117"/>
    <s v="Anjali"/>
    <x v="0"/>
    <x v="22"/>
    <x v="2"/>
    <x v="1"/>
    <x v="2"/>
    <x v="6"/>
    <n v="3"/>
    <n v="40789"/>
    <n v="10"/>
    <n v="12236.7"/>
    <n v="19823.45"/>
    <n v="488"/>
    <n v="129953.75"/>
    <n v="130441.75"/>
    <x v="3"/>
    <x v="0"/>
    <s v="Chandigarh"/>
    <x v="1"/>
    <x v="1"/>
    <n v="3"/>
    <x v="0"/>
    <n v="1"/>
    <x v="1"/>
  </r>
  <r>
    <s v="ORD00172"/>
    <x v="80"/>
    <s v="CUST260"/>
    <s v="Vikas"/>
    <x v="0"/>
    <x v="17"/>
    <x v="0"/>
    <x v="0"/>
    <x v="0"/>
    <x v="0"/>
    <n v="5"/>
    <n v="39991"/>
    <n v="5"/>
    <n v="9997.75"/>
    <n v="34192.31"/>
    <n v="328"/>
    <n v="224149.55"/>
    <n v="224477.55"/>
    <x v="0"/>
    <x v="1"/>
    <s v="Delhi"/>
    <x v="5"/>
    <x v="1"/>
    <n v="10"/>
    <x v="1"/>
    <n v="4"/>
    <x v="2"/>
  </r>
  <r>
    <s v="ORD00173"/>
    <x v="6"/>
    <s v="CUST689"/>
    <s v="Karan"/>
    <x v="1"/>
    <x v="39"/>
    <x v="1"/>
    <x v="0"/>
    <x v="1"/>
    <x v="9"/>
    <n v="3"/>
    <n v="22410"/>
    <n v="10"/>
    <n v="6723"/>
    <n v="10891.26"/>
    <n v="365"/>
    <n v="71398.259999999995"/>
    <n v="71763.259999999995"/>
    <x v="1"/>
    <x v="1"/>
    <s v="Delhi"/>
    <x v="5"/>
    <x v="1"/>
    <n v="1"/>
    <x v="1"/>
    <n v="1"/>
    <x v="1"/>
  </r>
  <r>
    <s v="ORD00174"/>
    <x v="136"/>
    <s v="CUST343"/>
    <s v="Amit"/>
    <x v="0"/>
    <x v="3"/>
    <x v="6"/>
    <x v="0"/>
    <x v="6"/>
    <x v="1"/>
    <n v="4"/>
    <n v="3086"/>
    <n v="10"/>
    <n v="1234.4000000000001"/>
    <n v="1999.73"/>
    <n v="247"/>
    <n v="13109.33"/>
    <n v="13356.33"/>
    <x v="0"/>
    <x v="1"/>
    <s v="Mumbai"/>
    <x v="0"/>
    <x v="0"/>
    <n v="4"/>
    <x v="1"/>
    <n v="5"/>
    <x v="2"/>
  </r>
  <r>
    <s v="ORD00175"/>
    <x v="137"/>
    <s v="CUST273"/>
    <s v="Arjun"/>
    <x v="1"/>
    <x v="27"/>
    <x v="0"/>
    <x v="0"/>
    <x v="0"/>
    <x v="2"/>
    <n v="3"/>
    <n v="39476"/>
    <n v="20"/>
    <n v="23685.599999999999"/>
    <n v="17053.63"/>
    <n v="78"/>
    <n v="111796.03"/>
    <n v="111874.03"/>
    <x v="3"/>
    <x v="1"/>
    <s v="Delhi"/>
    <x v="5"/>
    <x v="1"/>
    <n v="5"/>
    <x v="1"/>
    <n v="2"/>
    <x v="1"/>
  </r>
  <r>
    <s v="ORD00176"/>
    <x v="138"/>
    <s v="CUST899"/>
    <s v="Arjun"/>
    <x v="0"/>
    <x v="13"/>
    <x v="1"/>
    <x v="0"/>
    <x v="1"/>
    <x v="1"/>
    <n v="1"/>
    <n v="31021"/>
    <n v="15"/>
    <n v="4653.1499999999996"/>
    <n v="4746.21"/>
    <n v="39"/>
    <n v="31114.06"/>
    <n v="31153.06"/>
    <x v="3"/>
    <x v="0"/>
    <s v="Patiala"/>
    <x v="1"/>
    <x v="1"/>
    <n v="8"/>
    <x v="1"/>
    <n v="4"/>
    <x v="0"/>
  </r>
  <r>
    <s v="ORD00177"/>
    <x v="139"/>
    <s v="CUST737"/>
    <s v="Sneha"/>
    <x v="1"/>
    <x v="40"/>
    <x v="4"/>
    <x v="0"/>
    <x v="4"/>
    <x v="9"/>
    <n v="1"/>
    <n v="581"/>
    <n v="0"/>
    <n v="0"/>
    <n v="104.58"/>
    <n v="19"/>
    <n v="685.58"/>
    <n v="704.58"/>
    <x v="3"/>
    <x v="0"/>
    <s v="Delhi"/>
    <x v="5"/>
    <x v="1"/>
    <n v="4"/>
    <x v="1"/>
    <n v="2"/>
    <x v="3"/>
  </r>
  <r>
    <s v="ORD00178"/>
    <x v="5"/>
    <s v="CUST387"/>
    <s v="Riya"/>
    <x v="0"/>
    <x v="37"/>
    <x v="8"/>
    <x v="0"/>
    <x v="8"/>
    <x v="5"/>
    <n v="3"/>
    <n v="36753"/>
    <n v="10"/>
    <n v="11025.9"/>
    <n v="17861.96"/>
    <n v="200"/>
    <n v="117095.06"/>
    <n v="117295.06"/>
    <x v="2"/>
    <x v="0"/>
    <s v="Lucknow"/>
    <x v="4"/>
    <x v="1"/>
    <n v="9"/>
    <x v="0"/>
    <n v="3"/>
    <x v="2"/>
  </r>
  <r>
    <s v="ORD00179"/>
    <x v="140"/>
    <s v="CUST825"/>
    <s v="Rahul"/>
    <x v="1"/>
    <x v="18"/>
    <x v="9"/>
    <x v="0"/>
    <x v="9"/>
    <x v="4"/>
    <n v="3"/>
    <n v="34859"/>
    <n v="5"/>
    <n v="5228.8500000000004"/>
    <n v="17882.669999999998"/>
    <n v="482"/>
    <n v="117230.82"/>
    <n v="117712.82"/>
    <x v="2"/>
    <x v="0"/>
    <s v="Patiala"/>
    <x v="1"/>
    <x v="1"/>
    <n v="6"/>
    <x v="1"/>
    <n v="1"/>
    <x v="1"/>
  </r>
  <r>
    <s v="ORD00180"/>
    <x v="141"/>
    <s v="CUST930"/>
    <s v="Anjali"/>
    <x v="1"/>
    <x v="41"/>
    <x v="3"/>
    <x v="2"/>
    <x v="3"/>
    <x v="8"/>
    <n v="3"/>
    <n v="27908"/>
    <n v="15"/>
    <n v="12558.6"/>
    <n v="12809.77"/>
    <n v="250"/>
    <n v="83975.17"/>
    <n v="84225.17"/>
    <x v="1"/>
    <x v="0"/>
    <s v="Patiala"/>
    <x v="1"/>
    <x v="1"/>
    <n v="9"/>
    <x v="1"/>
    <n v="5"/>
    <x v="0"/>
  </r>
  <r>
    <s v="ORD00181"/>
    <x v="142"/>
    <s v="CUST588"/>
    <s v="Anjali"/>
    <x v="1"/>
    <x v="2"/>
    <x v="9"/>
    <x v="0"/>
    <x v="9"/>
    <x v="3"/>
    <n v="3"/>
    <n v="47658"/>
    <n v="0"/>
    <n v="0"/>
    <n v="25735.32"/>
    <n v="240"/>
    <n v="168709.32"/>
    <n v="168949.32"/>
    <x v="1"/>
    <x v="0"/>
    <s v="Patiala"/>
    <x v="1"/>
    <x v="1"/>
    <n v="4"/>
    <x v="0"/>
    <n v="2"/>
    <x v="2"/>
  </r>
  <r>
    <s v="ORD00182"/>
    <x v="143"/>
    <s v="CUST374"/>
    <s v="Karan"/>
    <x v="1"/>
    <x v="17"/>
    <x v="0"/>
    <x v="0"/>
    <x v="0"/>
    <x v="2"/>
    <n v="4"/>
    <n v="2329"/>
    <n v="0"/>
    <n v="0"/>
    <n v="1676.88"/>
    <n v="348"/>
    <n v="10992.88"/>
    <n v="11340.88"/>
    <x v="2"/>
    <x v="0"/>
    <s v="Chandigarh"/>
    <x v="1"/>
    <x v="1"/>
    <n v="1"/>
    <x v="0"/>
    <n v="2"/>
    <x v="0"/>
  </r>
  <r>
    <s v="ORD00183"/>
    <x v="63"/>
    <s v="CUST172"/>
    <s v="Karan"/>
    <x v="1"/>
    <x v="5"/>
    <x v="0"/>
    <x v="0"/>
    <x v="0"/>
    <x v="9"/>
    <n v="2"/>
    <n v="10674"/>
    <n v="20"/>
    <n v="4269.6000000000004"/>
    <n v="3074.11"/>
    <n v="316"/>
    <n v="20152.509999999998"/>
    <n v="20468.509999999998"/>
    <x v="0"/>
    <x v="0"/>
    <s v="Pune"/>
    <x v="0"/>
    <x v="0"/>
    <n v="5"/>
    <x v="0"/>
    <n v="1"/>
    <x v="3"/>
  </r>
  <r>
    <s v="ORD00184"/>
    <x v="111"/>
    <s v="CUST922"/>
    <s v="Anjali"/>
    <x v="0"/>
    <x v="26"/>
    <x v="9"/>
    <x v="0"/>
    <x v="9"/>
    <x v="2"/>
    <n v="4"/>
    <n v="9797"/>
    <n v="15"/>
    <n v="5878.2"/>
    <n v="5995.76"/>
    <n v="457"/>
    <n v="39305.56"/>
    <n v="39762.559999999998"/>
    <x v="3"/>
    <x v="0"/>
    <s v="Chandigarh"/>
    <x v="1"/>
    <x v="1"/>
    <n v="3"/>
    <x v="1"/>
    <n v="5"/>
    <x v="3"/>
  </r>
  <r>
    <s v="ORD00185"/>
    <x v="144"/>
    <s v="CUST755"/>
    <s v="Amit"/>
    <x v="1"/>
    <x v="40"/>
    <x v="4"/>
    <x v="0"/>
    <x v="4"/>
    <x v="0"/>
    <n v="3"/>
    <n v="44724"/>
    <n v="5"/>
    <n v="6708.6"/>
    <n v="22943.41"/>
    <n v="76"/>
    <n v="150406.81"/>
    <n v="150482.81"/>
    <x v="3"/>
    <x v="0"/>
    <s v="Delhi"/>
    <x v="5"/>
    <x v="1"/>
    <n v="7"/>
    <x v="1"/>
    <n v="2"/>
    <x v="3"/>
  </r>
  <r>
    <s v="ORD00186"/>
    <x v="145"/>
    <s v="CUST130"/>
    <s v="Amit"/>
    <x v="0"/>
    <x v="30"/>
    <x v="1"/>
    <x v="0"/>
    <x v="1"/>
    <x v="8"/>
    <n v="2"/>
    <n v="41199"/>
    <n v="20"/>
    <n v="16479.599999999999"/>
    <n v="11865.31"/>
    <n v="317"/>
    <n v="77783.710000000006"/>
    <n v="78100.710000000006"/>
    <x v="2"/>
    <x v="1"/>
    <s v="Pune"/>
    <x v="0"/>
    <x v="0"/>
    <n v="2"/>
    <x v="0"/>
    <n v="3"/>
    <x v="0"/>
  </r>
  <r>
    <s v="ORD00187"/>
    <x v="146"/>
    <s v="CUST635"/>
    <s v="Sneha"/>
    <x v="1"/>
    <x v="26"/>
    <x v="6"/>
    <x v="0"/>
    <x v="6"/>
    <x v="4"/>
    <n v="5"/>
    <n v="41589"/>
    <n v="0"/>
    <n v="0"/>
    <n v="37430.1"/>
    <n v="194"/>
    <n v="245375.1"/>
    <n v="245569.1"/>
    <x v="0"/>
    <x v="1"/>
    <s v="Patiala"/>
    <x v="1"/>
    <x v="1"/>
    <n v="10"/>
    <x v="0"/>
    <n v="1"/>
    <x v="0"/>
  </r>
  <r>
    <s v="ORD00188"/>
    <x v="31"/>
    <s v="CUST542"/>
    <s v="Neha"/>
    <x v="1"/>
    <x v="28"/>
    <x v="9"/>
    <x v="0"/>
    <x v="9"/>
    <x v="8"/>
    <n v="3"/>
    <n v="38807"/>
    <n v="5"/>
    <n v="5821.05"/>
    <n v="19907.990000000002"/>
    <n v="361"/>
    <n v="130507.94"/>
    <n v="130868.94"/>
    <x v="1"/>
    <x v="0"/>
    <s v="Pune"/>
    <x v="0"/>
    <x v="0"/>
    <n v="10"/>
    <x v="1"/>
    <n v="5"/>
    <x v="1"/>
  </r>
  <r>
    <s v="ORD00189"/>
    <x v="147"/>
    <s v="CUST301"/>
    <s v="Priya"/>
    <x v="1"/>
    <x v="8"/>
    <x v="0"/>
    <x v="0"/>
    <x v="0"/>
    <x v="3"/>
    <n v="1"/>
    <n v="6099"/>
    <n v="0"/>
    <n v="0"/>
    <n v="1097.82"/>
    <n v="238"/>
    <n v="7196.82"/>
    <n v="7434.82"/>
    <x v="1"/>
    <x v="1"/>
    <s v="Lucknow"/>
    <x v="4"/>
    <x v="1"/>
    <n v="10"/>
    <x v="0"/>
    <n v="2"/>
    <x v="0"/>
  </r>
  <r>
    <s v="ORD00190"/>
    <x v="4"/>
    <s v="CUST210"/>
    <s v="Anjali"/>
    <x v="0"/>
    <x v="10"/>
    <x v="2"/>
    <x v="1"/>
    <x v="2"/>
    <x v="9"/>
    <n v="1"/>
    <n v="22901"/>
    <n v="0"/>
    <n v="0"/>
    <n v="4122.18"/>
    <n v="141"/>
    <n v="27023.18"/>
    <n v="27164.18"/>
    <x v="2"/>
    <x v="0"/>
    <s v="Lucknow"/>
    <x v="4"/>
    <x v="1"/>
    <n v="4"/>
    <x v="1"/>
    <n v="3"/>
    <x v="0"/>
  </r>
  <r>
    <s v="ORD00191"/>
    <x v="148"/>
    <s v="CUST908"/>
    <s v="Priya"/>
    <x v="0"/>
    <x v="9"/>
    <x v="1"/>
    <x v="0"/>
    <x v="1"/>
    <x v="1"/>
    <n v="2"/>
    <n v="15512"/>
    <n v="20"/>
    <n v="6204.8"/>
    <n v="4467.46"/>
    <n v="484"/>
    <n v="29286.66"/>
    <n v="29770.66"/>
    <x v="3"/>
    <x v="1"/>
    <s v="Mumbai"/>
    <x v="0"/>
    <x v="0"/>
    <n v="8"/>
    <x v="1"/>
    <n v="1"/>
    <x v="1"/>
  </r>
  <r>
    <s v="ORD00192"/>
    <x v="8"/>
    <s v="CUST584"/>
    <s v="Rahul"/>
    <x v="1"/>
    <x v="9"/>
    <x v="6"/>
    <x v="0"/>
    <x v="6"/>
    <x v="2"/>
    <n v="3"/>
    <n v="15329"/>
    <n v="15"/>
    <n v="6898.05"/>
    <n v="7036.01"/>
    <n v="288"/>
    <n v="46124.959999999999"/>
    <n v="46412.959999999999"/>
    <x v="1"/>
    <x v="1"/>
    <s v="Jaipur"/>
    <x v="2"/>
    <x v="1"/>
    <n v="4"/>
    <x v="0"/>
    <n v="5"/>
    <x v="3"/>
  </r>
  <r>
    <s v="ORD00193"/>
    <x v="149"/>
    <s v="CUST912"/>
    <s v="Rahul"/>
    <x v="1"/>
    <x v="24"/>
    <x v="2"/>
    <x v="1"/>
    <x v="2"/>
    <x v="0"/>
    <n v="1"/>
    <n v="10386"/>
    <n v="10"/>
    <n v="1038.5999999999999"/>
    <n v="1682.53"/>
    <n v="35"/>
    <n v="11029.93"/>
    <n v="11064.93"/>
    <x v="3"/>
    <x v="1"/>
    <s v="Patiala"/>
    <x v="1"/>
    <x v="1"/>
    <n v="10"/>
    <x v="1"/>
    <n v="4"/>
    <x v="0"/>
  </r>
  <r>
    <s v="ORD00194"/>
    <x v="150"/>
    <s v="CUST248"/>
    <s v="Riya"/>
    <x v="1"/>
    <x v="35"/>
    <x v="5"/>
    <x v="0"/>
    <x v="5"/>
    <x v="7"/>
    <n v="1"/>
    <n v="35438"/>
    <n v="20"/>
    <n v="7087.6"/>
    <n v="5103.07"/>
    <n v="457"/>
    <n v="33453.47"/>
    <n v="33910.47"/>
    <x v="0"/>
    <x v="0"/>
    <s v="Chandigarh"/>
    <x v="1"/>
    <x v="1"/>
    <n v="10"/>
    <x v="0"/>
    <n v="1"/>
    <x v="1"/>
  </r>
  <r>
    <s v="ORD00195"/>
    <x v="151"/>
    <s v="CUST509"/>
    <s v="Rahul"/>
    <x v="0"/>
    <x v="17"/>
    <x v="2"/>
    <x v="1"/>
    <x v="2"/>
    <x v="2"/>
    <n v="2"/>
    <n v="44534"/>
    <n v="15"/>
    <n v="13360.2"/>
    <n v="13627.4"/>
    <n v="3"/>
    <n v="89335.2"/>
    <n v="89338.2"/>
    <x v="1"/>
    <x v="0"/>
    <s v="Delhi"/>
    <x v="5"/>
    <x v="1"/>
    <n v="5"/>
    <x v="0"/>
    <n v="2"/>
    <x v="1"/>
  </r>
  <r>
    <s v="ORD00196"/>
    <x v="152"/>
    <s v="CUST642"/>
    <s v="Riya"/>
    <x v="0"/>
    <x v="28"/>
    <x v="9"/>
    <x v="0"/>
    <x v="9"/>
    <x v="2"/>
    <n v="3"/>
    <n v="34485"/>
    <n v="20"/>
    <n v="20691"/>
    <n v="14897.52"/>
    <n v="283"/>
    <n v="97661.52"/>
    <n v="97944.52"/>
    <x v="1"/>
    <x v="1"/>
    <s v="Jaipur"/>
    <x v="2"/>
    <x v="1"/>
    <n v="6"/>
    <x v="0"/>
    <n v="5"/>
    <x v="2"/>
  </r>
  <r>
    <s v="ORD00197"/>
    <x v="153"/>
    <s v="CUST315"/>
    <s v="Rahul"/>
    <x v="0"/>
    <x v="2"/>
    <x v="8"/>
    <x v="0"/>
    <x v="8"/>
    <x v="6"/>
    <n v="5"/>
    <n v="2512"/>
    <n v="5"/>
    <n v="628"/>
    <n v="2147.7600000000002"/>
    <n v="234"/>
    <n v="14079.76"/>
    <n v="14313.76"/>
    <x v="2"/>
    <x v="0"/>
    <s v="Mumbai"/>
    <x v="0"/>
    <x v="0"/>
    <n v="5"/>
    <x v="0"/>
    <n v="2"/>
    <x v="0"/>
  </r>
  <r>
    <s v="ORD00198"/>
    <x v="75"/>
    <s v="CUST105"/>
    <s v="Sneha"/>
    <x v="1"/>
    <x v="30"/>
    <x v="4"/>
    <x v="0"/>
    <x v="4"/>
    <x v="5"/>
    <n v="5"/>
    <n v="17388"/>
    <n v="0"/>
    <n v="0"/>
    <n v="15649.2"/>
    <n v="308"/>
    <n v="102589.2"/>
    <n v="102897.2"/>
    <x v="2"/>
    <x v="1"/>
    <s v="Bangalore"/>
    <x v="3"/>
    <x v="2"/>
    <n v="7"/>
    <x v="1"/>
    <n v="5"/>
    <x v="0"/>
  </r>
  <r>
    <s v="ORD00199"/>
    <x v="90"/>
    <s v="CUST273"/>
    <s v="Arjun"/>
    <x v="1"/>
    <x v="24"/>
    <x v="9"/>
    <x v="0"/>
    <x v="9"/>
    <x v="1"/>
    <n v="2"/>
    <n v="2519"/>
    <n v="0"/>
    <n v="0"/>
    <n v="906.84"/>
    <n v="204"/>
    <n v="5944.84"/>
    <n v="6148.84"/>
    <x v="3"/>
    <x v="0"/>
    <s v="Bangalore"/>
    <x v="3"/>
    <x v="2"/>
    <n v="8"/>
    <x v="0"/>
    <n v="3"/>
    <x v="3"/>
  </r>
  <r>
    <s v="ORD00200"/>
    <x v="66"/>
    <s v="CUST651"/>
    <s v="Rahul"/>
    <x v="1"/>
    <x v="12"/>
    <x v="0"/>
    <x v="0"/>
    <x v="0"/>
    <x v="9"/>
    <n v="3"/>
    <n v="16183"/>
    <n v="10"/>
    <n v="4854.8999999999996"/>
    <n v="7864.94"/>
    <n v="2"/>
    <n v="51559.040000000001"/>
    <n v="51561.04"/>
    <x v="0"/>
    <x v="1"/>
    <s v="Mumbai"/>
    <x v="0"/>
    <x v="0"/>
    <n v="6"/>
    <x v="1"/>
    <n v="2"/>
    <x v="1"/>
  </r>
  <r>
    <s v="ORD00201"/>
    <x v="154"/>
    <s v="CUST584"/>
    <s v="Neha"/>
    <x v="0"/>
    <x v="3"/>
    <x v="9"/>
    <x v="0"/>
    <x v="9"/>
    <x v="1"/>
    <n v="1"/>
    <n v="10602"/>
    <n v="5"/>
    <n v="530.1"/>
    <n v="1812.94"/>
    <n v="367"/>
    <n v="11884.84"/>
    <n v="12251.84"/>
    <x v="0"/>
    <x v="0"/>
    <s v="Lucknow"/>
    <x v="4"/>
    <x v="1"/>
    <n v="2"/>
    <x v="0"/>
    <n v="1"/>
    <x v="2"/>
  </r>
  <r>
    <s v="ORD00202"/>
    <x v="37"/>
    <s v="CUST499"/>
    <s v="Vikas"/>
    <x v="0"/>
    <x v="42"/>
    <x v="9"/>
    <x v="0"/>
    <x v="9"/>
    <x v="7"/>
    <n v="4"/>
    <n v="7961"/>
    <n v="10"/>
    <n v="3184.4"/>
    <n v="5158.7299999999996"/>
    <n v="317"/>
    <n v="33818.33"/>
    <n v="34135.33"/>
    <x v="0"/>
    <x v="0"/>
    <s v="Pune"/>
    <x v="0"/>
    <x v="0"/>
    <n v="4"/>
    <x v="1"/>
    <n v="5"/>
    <x v="3"/>
  </r>
  <r>
    <s v="ORD00203"/>
    <x v="155"/>
    <s v="CUST550"/>
    <s v="Vikas"/>
    <x v="0"/>
    <x v="11"/>
    <x v="2"/>
    <x v="1"/>
    <x v="2"/>
    <x v="0"/>
    <n v="1"/>
    <n v="12794"/>
    <n v="0"/>
    <n v="0"/>
    <n v="2302.92"/>
    <n v="244"/>
    <n v="15096.92"/>
    <n v="15340.92"/>
    <x v="0"/>
    <x v="1"/>
    <s v="Mumbai"/>
    <x v="0"/>
    <x v="0"/>
    <n v="6"/>
    <x v="0"/>
    <n v="3"/>
    <x v="3"/>
  </r>
  <r>
    <s v="ORD00204"/>
    <x v="156"/>
    <s v="CUST480"/>
    <s v="Riya"/>
    <x v="0"/>
    <x v="0"/>
    <x v="5"/>
    <x v="0"/>
    <x v="5"/>
    <x v="7"/>
    <n v="4"/>
    <n v="22668"/>
    <n v="5"/>
    <n v="4533.6000000000004"/>
    <n v="15504.91"/>
    <n v="15"/>
    <n v="101643.31"/>
    <n v="101658.31"/>
    <x v="3"/>
    <x v="1"/>
    <s v="Delhi"/>
    <x v="5"/>
    <x v="1"/>
    <n v="8"/>
    <x v="0"/>
    <n v="5"/>
    <x v="1"/>
  </r>
  <r>
    <s v="ORD00205"/>
    <x v="81"/>
    <s v="CUST402"/>
    <s v="Priya"/>
    <x v="0"/>
    <x v="39"/>
    <x v="0"/>
    <x v="0"/>
    <x v="0"/>
    <x v="6"/>
    <n v="3"/>
    <n v="5734"/>
    <n v="20"/>
    <n v="3440.4"/>
    <n v="2477.09"/>
    <n v="0"/>
    <n v="16238.69"/>
    <n v="16238.69"/>
    <x v="3"/>
    <x v="1"/>
    <s v="Patiala"/>
    <x v="1"/>
    <x v="1"/>
    <n v="5"/>
    <x v="1"/>
    <n v="3"/>
    <x v="2"/>
  </r>
  <r>
    <s v="ORD00206"/>
    <x v="157"/>
    <s v="CUST684"/>
    <s v="Arjun"/>
    <x v="0"/>
    <x v="22"/>
    <x v="9"/>
    <x v="0"/>
    <x v="9"/>
    <x v="5"/>
    <n v="4"/>
    <n v="30869"/>
    <n v="0"/>
    <n v="0"/>
    <n v="22225.68"/>
    <n v="282"/>
    <n v="145701.68"/>
    <n v="145983.67999999999"/>
    <x v="3"/>
    <x v="0"/>
    <s v="Bangalore"/>
    <x v="3"/>
    <x v="2"/>
    <n v="7"/>
    <x v="0"/>
    <n v="4"/>
    <x v="3"/>
  </r>
  <r>
    <s v="ORD00207"/>
    <x v="158"/>
    <s v="CUST510"/>
    <s v="Vikas"/>
    <x v="0"/>
    <x v="34"/>
    <x v="3"/>
    <x v="2"/>
    <x v="3"/>
    <x v="0"/>
    <n v="1"/>
    <n v="7798"/>
    <n v="10"/>
    <n v="779.8"/>
    <n v="1263.28"/>
    <n v="371"/>
    <n v="8281.48"/>
    <n v="8652.48"/>
    <x v="3"/>
    <x v="1"/>
    <s v="Patiala"/>
    <x v="1"/>
    <x v="1"/>
    <n v="6"/>
    <x v="0"/>
    <n v="3"/>
    <x v="2"/>
  </r>
  <r>
    <s v="ORD00208"/>
    <x v="159"/>
    <s v="CUST801"/>
    <s v="Amit"/>
    <x v="1"/>
    <x v="34"/>
    <x v="9"/>
    <x v="0"/>
    <x v="9"/>
    <x v="5"/>
    <n v="2"/>
    <n v="41986"/>
    <n v="5"/>
    <n v="4198.6000000000004"/>
    <n v="14359.21"/>
    <n v="169"/>
    <n v="94132.61"/>
    <n v="94301.61"/>
    <x v="3"/>
    <x v="1"/>
    <s v="Patiala"/>
    <x v="1"/>
    <x v="1"/>
    <n v="6"/>
    <x v="1"/>
    <n v="5"/>
    <x v="3"/>
  </r>
  <r>
    <s v="ORD00209"/>
    <x v="160"/>
    <s v="CUST132"/>
    <s v="Vikas"/>
    <x v="0"/>
    <x v="33"/>
    <x v="8"/>
    <x v="0"/>
    <x v="8"/>
    <x v="7"/>
    <n v="1"/>
    <n v="31155"/>
    <n v="5"/>
    <n v="1557.75"/>
    <n v="5327.51"/>
    <n v="11"/>
    <n v="34924.75"/>
    <n v="34935.75"/>
    <x v="2"/>
    <x v="0"/>
    <s v="Lucknow"/>
    <x v="4"/>
    <x v="1"/>
    <n v="1"/>
    <x v="1"/>
    <n v="5"/>
    <x v="0"/>
  </r>
  <r>
    <s v="ORD00210"/>
    <x v="161"/>
    <s v="CUST861"/>
    <s v="Vikas"/>
    <x v="1"/>
    <x v="27"/>
    <x v="5"/>
    <x v="0"/>
    <x v="5"/>
    <x v="8"/>
    <n v="4"/>
    <n v="41074"/>
    <n v="20"/>
    <n v="32859.199999999997"/>
    <n v="23658.62"/>
    <n v="115"/>
    <n v="155095.42000000001"/>
    <n v="155210.42000000001"/>
    <x v="1"/>
    <x v="0"/>
    <s v="Delhi"/>
    <x v="5"/>
    <x v="1"/>
    <n v="1"/>
    <x v="0"/>
    <n v="1"/>
    <x v="1"/>
  </r>
  <r>
    <s v="ORD00211"/>
    <x v="162"/>
    <s v="CUST485"/>
    <s v="Sneha"/>
    <x v="0"/>
    <x v="28"/>
    <x v="5"/>
    <x v="0"/>
    <x v="5"/>
    <x v="8"/>
    <n v="1"/>
    <n v="47164"/>
    <n v="20"/>
    <n v="9432.7999999999993"/>
    <n v="6791.62"/>
    <n v="27"/>
    <n v="44522.82"/>
    <n v="44549.82"/>
    <x v="0"/>
    <x v="1"/>
    <s v="Mumbai"/>
    <x v="0"/>
    <x v="0"/>
    <n v="3"/>
    <x v="1"/>
    <n v="3"/>
    <x v="3"/>
  </r>
  <r>
    <s v="ORD00212"/>
    <x v="15"/>
    <s v="CUST845"/>
    <s v="Sneha"/>
    <x v="0"/>
    <x v="0"/>
    <x v="2"/>
    <x v="1"/>
    <x v="2"/>
    <x v="4"/>
    <n v="4"/>
    <n v="12596"/>
    <n v="15"/>
    <n v="7557.6"/>
    <n v="7708.75"/>
    <n v="445"/>
    <n v="50535.15"/>
    <n v="50980.15"/>
    <x v="1"/>
    <x v="0"/>
    <s v="Chandigarh"/>
    <x v="1"/>
    <x v="1"/>
    <n v="8"/>
    <x v="0"/>
    <n v="3"/>
    <x v="2"/>
  </r>
  <r>
    <s v="ORD00213"/>
    <x v="163"/>
    <s v="CUST164"/>
    <s v="Neha"/>
    <x v="1"/>
    <x v="0"/>
    <x v="8"/>
    <x v="0"/>
    <x v="8"/>
    <x v="2"/>
    <n v="3"/>
    <n v="17489"/>
    <n v="20"/>
    <n v="10493.4"/>
    <n v="7555.25"/>
    <n v="241"/>
    <n v="49528.85"/>
    <n v="49769.85"/>
    <x v="3"/>
    <x v="0"/>
    <s v="Bangalore"/>
    <x v="3"/>
    <x v="2"/>
    <n v="8"/>
    <x v="1"/>
    <n v="4"/>
    <x v="3"/>
  </r>
  <r>
    <s v="ORD00214"/>
    <x v="164"/>
    <s v="CUST737"/>
    <s v="Arjun"/>
    <x v="1"/>
    <x v="16"/>
    <x v="1"/>
    <x v="0"/>
    <x v="1"/>
    <x v="7"/>
    <n v="2"/>
    <n v="8534"/>
    <n v="0"/>
    <n v="0"/>
    <n v="3072.24"/>
    <n v="230"/>
    <n v="20140.240000000002"/>
    <n v="20370.240000000002"/>
    <x v="0"/>
    <x v="1"/>
    <s v="Mumbai"/>
    <x v="0"/>
    <x v="0"/>
    <n v="6"/>
    <x v="0"/>
    <n v="3"/>
    <x v="2"/>
  </r>
  <r>
    <s v="ORD00215"/>
    <x v="165"/>
    <s v="CUST155"/>
    <s v="Anjali"/>
    <x v="0"/>
    <x v="19"/>
    <x v="7"/>
    <x v="1"/>
    <x v="7"/>
    <x v="7"/>
    <n v="4"/>
    <n v="22679"/>
    <n v="0"/>
    <n v="0"/>
    <n v="16328.88"/>
    <n v="412"/>
    <n v="107044.88"/>
    <n v="107456.88"/>
    <x v="2"/>
    <x v="1"/>
    <s v="Jaipur"/>
    <x v="2"/>
    <x v="1"/>
    <n v="4"/>
    <x v="0"/>
    <n v="5"/>
    <x v="1"/>
  </r>
  <r>
    <s v="ORD00216"/>
    <x v="98"/>
    <s v="CUST786"/>
    <s v="Karan"/>
    <x v="1"/>
    <x v="2"/>
    <x v="6"/>
    <x v="0"/>
    <x v="6"/>
    <x v="3"/>
    <n v="3"/>
    <n v="10780"/>
    <n v="15"/>
    <n v="4851"/>
    <n v="4948.0200000000004"/>
    <n v="12"/>
    <n v="32437.02"/>
    <n v="32449.02"/>
    <x v="3"/>
    <x v="1"/>
    <s v="Bangalore"/>
    <x v="3"/>
    <x v="2"/>
    <n v="6"/>
    <x v="0"/>
    <n v="2"/>
    <x v="0"/>
  </r>
  <r>
    <s v="ORD00217"/>
    <x v="166"/>
    <s v="CUST870"/>
    <s v="Arjun"/>
    <x v="0"/>
    <x v="4"/>
    <x v="7"/>
    <x v="1"/>
    <x v="7"/>
    <x v="9"/>
    <n v="1"/>
    <n v="41995"/>
    <n v="15"/>
    <n v="6299.25"/>
    <n v="6425.23"/>
    <n v="363"/>
    <n v="42120.99"/>
    <n v="42483.99"/>
    <x v="0"/>
    <x v="0"/>
    <s v="Mumbai"/>
    <x v="0"/>
    <x v="0"/>
    <n v="10"/>
    <x v="0"/>
    <n v="3"/>
    <x v="3"/>
  </r>
  <r>
    <s v="ORD00218"/>
    <x v="108"/>
    <s v="CUST984"/>
    <s v="Vikas"/>
    <x v="0"/>
    <x v="12"/>
    <x v="1"/>
    <x v="0"/>
    <x v="1"/>
    <x v="5"/>
    <n v="1"/>
    <n v="2778"/>
    <n v="15"/>
    <n v="416.7"/>
    <n v="425.03"/>
    <n v="387"/>
    <n v="2786.33"/>
    <n v="3173.33"/>
    <x v="3"/>
    <x v="1"/>
    <s v="Bangalore"/>
    <x v="3"/>
    <x v="2"/>
    <n v="9"/>
    <x v="0"/>
    <n v="5"/>
    <x v="0"/>
  </r>
  <r>
    <s v="ORD00219"/>
    <x v="161"/>
    <s v="CUST500"/>
    <s v="Amit"/>
    <x v="1"/>
    <x v="29"/>
    <x v="3"/>
    <x v="2"/>
    <x v="3"/>
    <x v="3"/>
    <n v="3"/>
    <n v="35468"/>
    <n v="5"/>
    <n v="5320.2"/>
    <n v="18195.080000000002"/>
    <n v="238"/>
    <n v="119278.88"/>
    <n v="119516.88"/>
    <x v="2"/>
    <x v="1"/>
    <s v="Lucknow"/>
    <x v="4"/>
    <x v="1"/>
    <n v="4"/>
    <x v="1"/>
    <n v="1"/>
    <x v="3"/>
  </r>
  <r>
    <s v="ORD00220"/>
    <x v="144"/>
    <s v="CUST188"/>
    <s v="Karan"/>
    <x v="0"/>
    <x v="28"/>
    <x v="5"/>
    <x v="0"/>
    <x v="5"/>
    <x v="3"/>
    <n v="2"/>
    <n v="32959"/>
    <n v="20"/>
    <n v="13183.6"/>
    <n v="9492.19"/>
    <n v="266"/>
    <n v="62226.59"/>
    <n v="62492.59"/>
    <x v="2"/>
    <x v="1"/>
    <s v="Delhi"/>
    <x v="5"/>
    <x v="1"/>
    <n v="8"/>
    <x v="1"/>
    <n v="5"/>
    <x v="2"/>
  </r>
  <r>
    <s v="ORD00221"/>
    <x v="96"/>
    <s v="CUST969"/>
    <s v="Sneha"/>
    <x v="0"/>
    <x v="27"/>
    <x v="6"/>
    <x v="0"/>
    <x v="6"/>
    <x v="3"/>
    <n v="4"/>
    <n v="31028"/>
    <n v="15"/>
    <n v="18616.8"/>
    <n v="18989.14"/>
    <n v="443"/>
    <n v="124484.34"/>
    <n v="124927.34"/>
    <x v="3"/>
    <x v="1"/>
    <s v="Pune"/>
    <x v="0"/>
    <x v="0"/>
    <n v="1"/>
    <x v="1"/>
    <n v="3"/>
    <x v="3"/>
  </r>
  <r>
    <s v="ORD00222"/>
    <x v="167"/>
    <s v="CUST348"/>
    <s v="Neha"/>
    <x v="1"/>
    <x v="16"/>
    <x v="8"/>
    <x v="0"/>
    <x v="8"/>
    <x v="2"/>
    <n v="4"/>
    <n v="19158"/>
    <n v="15"/>
    <n v="11494.8"/>
    <n v="11724.7"/>
    <n v="319"/>
    <n v="76861.899999999994"/>
    <n v="77180.899999999994"/>
    <x v="2"/>
    <x v="0"/>
    <s v="Bangalore"/>
    <x v="3"/>
    <x v="2"/>
    <n v="4"/>
    <x v="1"/>
    <n v="2"/>
    <x v="3"/>
  </r>
  <r>
    <s v="ORD00223"/>
    <x v="1"/>
    <s v="CUST897"/>
    <s v="Anjali"/>
    <x v="1"/>
    <x v="24"/>
    <x v="6"/>
    <x v="0"/>
    <x v="6"/>
    <x v="0"/>
    <n v="1"/>
    <n v="25847"/>
    <n v="10"/>
    <n v="2584.6999999999998"/>
    <n v="4187.21"/>
    <n v="496"/>
    <n v="27449.51"/>
    <n v="27945.51"/>
    <x v="2"/>
    <x v="0"/>
    <s v="Bangalore"/>
    <x v="3"/>
    <x v="2"/>
    <n v="9"/>
    <x v="1"/>
    <n v="1"/>
    <x v="2"/>
  </r>
  <r>
    <s v="ORD00224"/>
    <x v="168"/>
    <s v="CUST382"/>
    <s v="Amit"/>
    <x v="1"/>
    <x v="21"/>
    <x v="3"/>
    <x v="2"/>
    <x v="3"/>
    <x v="9"/>
    <n v="2"/>
    <n v="27899"/>
    <n v="5"/>
    <n v="2789.9"/>
    <n v="9541.4599999999991"/>
    <n v="245"/>
    <n v="62549.56"/>
    <n v="62794.559999999998"/>
    <x v="2"/>
    <x v="0"/>
    <s v="Chandigarh"/>
    <x v="1"/>
    <x v="1"/>
    <n v="6"/>
    <x v="1"/>
    <n v="2"/>
    <x v="0"/>
  </r>
  <r>
    <s v="ORD00225"/>
    <x v="63"/>
    <s v="CUST507"/>
    <s v="Priya"/>
    <x v="1"/>
    <x v="8"/>
    <x v="0"/>
    <x v="0"/>
    <x v="0"/>
    <x v="8"/>
    <n v="5"/>
    <n v="4763"/>
    <n v="20"/>
    <n v="4763"/>
    <n v="3429.36"/>
    <n v="197"/>
    <n v="22481.360000000001"/>
    <n v="22678.36"/>
    <x v="3"/>
    <x v="0"/>
    <s v="Jaipur"/>
    <x v="2"/>
    <x v="1"/>
    <n v="6"/>
    <x v="1"/>
    <n v="1"/>
    <x v="2"/>
  </r>
  <r>
    <s v="ORD00226"/>
    <x v="169"/>
    <s v="CUST531"/>
    <s v="Priya"/>
    <x v="1"/>
    <x v="3"/>
    <x v="0"/>
    <x v="0"/>
    <x v="0"/>
    <x v="7"/>
    <n v="2"/>
    <n v="26643"/>
    <n v="0"/>
    <n v="0"/>
    <n v="9591.48"/>
    <n v="210"/>
    <n v="62877.48"/>
    <n v="63087.48"/>
    <x v="1"/>
    <x v="0"/>
    <s v="Mumbai"/>
    <x v="0"/>
    <x v="0"/>
    <n v="3"/>
    <x v="0"/>
    <n v="2"/>
    <x v="3"/>
  </r>
  <r>
    <s v="ORD00227"/>
    <x v="103"/>
    <s v="CUST528"/>
    <s v="Anjali"/>
    <x v="1"/>
    <x v="39"/>
    <x v="6"/>
    <x v="0"/>
    <x v="6"/>
    <x v="2"/>
    <n v="2"/>
    <n v="15860"/>
    <n v="20"/>
    <n v="6344"/>
    <n v="4567.68"/>
    <n v="237"/>
    <n v="29943.68"/>
    <n v="30180.68"/>
    <x v="0"/>
    <x v="1"/>
    <s v="Pune"/>
    <x v="0"/>
    <x v="0"/>
    <n v="9"/>
    <x v="1"/>
    <n v="4"/>
    <x v="0"/>
  </r>
  <r>
    <s v="ORD00228"/>
    <x v="5"/>
    <s v="CUST799"/>
    <s v="Rahul"/>
    <x v="1"/>
    <x v="17"/>
    <x v="5"/>
    <x v="0"/>
    <x v="5"/>
    <x v="6"/>
    <n v="5"/>
    <n v="7974"/>
    <n v="5"/>
    <n v="1993.5"/>
    <n v="6817.77"/>
    <n v="291"/>
    <n v="44694.27"/>
    <n v="44985.27"/>
    <x v="3"/>
    <x v="1"/>
    <s v="Pune"/>
    <x v="0"/>
    <x v="0"/>
    <n v="4"/>
    <x v="0"/>
    <n v="2"/>
    <x v="0"/>
  </r>
  <r>
    <s v="ORD00229"/>
    <x v="31"/>
    <s v="CUST311"/>
    <s v="Sneha"/>
    <x v="0"/>
    <x v="0"/>
    <x v="3"/>
    <x v="2"/>
    <x v="3"/>
    <x v="9"/>
    <n v="3"/>
    <n v="41035"/>
    <n v="20"/>
    <n v="24621"/>
    <n v="17727.12"/>
    <n v="486"/>
    <n v="116211.12"/>
    <n v="116697.12"/>
    <x v="0"/>
    <x v="1"/>
    <s v="Delhi"/>
    <x v="5"/>
    <x v="1"/>
    <n v="9"/>
    <x v="1"/>
    <n v="1"/>
    <x v="3"/>
  </r>
  <r>
    <s v="ORD00230"/>
    <x v="150"/>
    <s v="CUST907"/>
    <s v="Rahul"/>
    <x v="0"/>
    <x v="37"/>
    <x v="0"/>
    <x v="0"/>
    <x v="0"/>
    <x v="9"/>
    <n v="5"/>
    <n v="13190"/>
    <n v="0"/>
    <n v="0"/>
    <n v="11871"/>
    <n v="493"/>
    <n v="77821"/>
    <n v="78314"/>
    <x v="1"/>
    <x v="0"/>
    <s v="Pune"/>
    <x v="0"/>
    <x v="0"/>
    <n v="10"/>
    <x v="1"/>
    <n v="3"/>
    <x v="3"/>
  </r>
  <r>
    <s v="ORD00231"/>
    <x v="170"/>
    <s v="CUST934"/>
    <s v="Arjun"/>
    <x v="1"/>
    <x v="11"/>
    <x v="8"/>
    <x v="0"/>
    <x v="8"/>
    <x v="1"/>
    <n v="3"/>
    <n v="35079"/>
    <n v="20"/>
    <n v="21047.4"/>
    <n v="15154.13"/>
    <n v="50"/>
    <n v="99343.73"/>
    <n v="99393.73"/>
    <x v="2"/>
    <x v="1"/>
    <s v="Patiala"/>
    <x v="1"/>
    <x v="1"/>
    <n v="8"/>
    <x v="0"/>
    <n v="3"/>
    <x v="2"/>
  </r>
  <r>
    <s v="ORD00232"/>
    <x v="2"/>
    <s v="CUST922"/>
    <s v="Priya"/>
    <x v="0"/>
    <x v="20"/>
    <x v="4"/>
    <x v="0"/>
    <x v="4"/>
    <x v="2"/>
    <n v="4"/>
    <n v="19650"/>
    <n v="0"/>
    <n v="0"/>
    <n v="14148"/>
    <n v="372"/>
    <n v="92748"/>
    <n v="93120"/>
    <x v="3"/>
    <x v="1"/>
    <s v="Delhi"/>
    <x v="5"/>
    <x v="1"/>
    <n v="3"/>
    <x v="0"/>
    <n v="4"/>
    <x v="2"/>
  </r>
  <r>
    <s v="ORD00233"/>
    <x v="171"/>
    <s v="CUST860"/>
    <s v="Amit"/>
    <x v="1"/>
    <x v="37"/>
    <x v="3"/>
    <x v="2"/>
    <x v="3"/>
    <x v="3"/>
    <n v="3"/>
    <n v="7283"/>
    <n v="0"/>
    <n v="0"/>
    <n v="3932.82"/>
    <n v="89"/>
    <n v="25781.82"/>
    <n v="25870.82"/>
    <x v="3"/>
    <x v="0"/>
    <s v="Jaipur"/>
    <x v="2"/>
    <x v="1"/>
    <n v="5"/>
    <x v="0"/>
    <n v="4"/>
    <x v="1"/>
  </r>
  <r>
    <s v="ORD00234"/>
    <x v="62"/>
    <s v="CUST265"/>
    <s v="Amit"/>
    <x v="0"/>
    <x v="25"/>
    <x v="8"/>
    <x v="0"/>
    <x v="8"/>
    <x v="6"/>
    <n v="2"/>
    <n v="18597"/>
    <n v="0"/>
    <n v="0"/>
    <n v="6694.92"/>
    <n v="194"/>
    <n v="43888.92"/>
    <n v="44082.92"/>
    <x v="0"/>
    <x v="0"/>
    <s v="Pune"/>
    <x v="0"/>
    <x v="0"/>
    <n v="6"/>
    <x v="1"/>
    <n v="1"/>
    <x v="0"/>
  </r>
  <r>
    <s v="ORD00235"/>
    <x v="83"/>
    <s v="CUST201"/>
    <s v="Amit"/>
    <x v="1"/>
    <x v="39"/>
    <x v="7"/>
    <x v="1"/>
    <x v="7"/>
    <x v="7"/>
    <n v="1"/>
    <n v="17820"/>
    <n v="20"/>
    <n v="3564"/>
    <n v="2566.08"/>
    <n v="383"/>
    <n v="16822.080000000002"/>
    <n v="17205.080000000002"/>
    <x v="3"/>
    <x v="1"/>
    <s v="Pune"/>
    <x v="0"/>
    <x v="0"/>
    <n v="8"/>
    <x v="0"/>
    <n v="5"/>
    <x v="2"/>
  </r>
  <r>
    <s v="ORD00236"/>
    <x v="23"/>
    <s v="CUST313"/>
    <s v="Priya"/>
    <x v="0"/>
    <x v="9"/>
    <x v="7"/>
    <x v="1"/>
    <x v="7"/>
    <x v="0"/>
    <n v="5"/>
    <n v="29380"/>
    <n v="10"/>
    <n v="14690"/>
    <n v="23797.8"/>
    <n v="177"/>
    <n v="156007.79999999999"/>
    <n v="156184.79999999999"/>
    <x v="3"/>
    <x v="1"/>
    <s v="Pune"/>
    <x v="0"/>
    <x v="0"/>
    <n v="10"/>
    <x v="1"/>
    <n v="1"/>
    <x v="0"/>
  </r>
  <r>
    <s v="ORD00237"/>
    <x v="13"/>
    <s v="CUST218"/>
    <s v="Karan"/>
    <x v="1"/>
    <x v="14"/>
    <x v="0"/>
    <x v="0"/>
    <x v="0"/>
    <x v="6"/>
    <n v="5"/>
    <n v="48636"/>
    <n v="20"/>
    <n v="48636"/>
    <n v="35017.919999999998"/>
    <n v="254"/>
    <n v="229561.92"/>
    <n v="229815.92"/>
    <x v="1"/>
    <x v="0"/>
    <s v="Chandigarh"/>
    <x v="1"/>
    <x v="1"/>
    <n v="3"/>
    <x v="0"/>
    <n v="2"/>
    <x v="0"/>
  </r>
  <r>
    <s v="ORD00238"/>
    <x v="172"/>
    <s v="CUST385"/>
    <s v="Arjun"/>
    <x v="0"/>
    <x v="32"/>
    <x v="0"/>
    <x v="0"/>
    <x v="0"/>
    <x v="5"/>
    <n v="3"/>
    <n v="4058"/>
    <n v="0"/>
    <n v="0"/>
    <n v="2191.3200000000002"/>
    <n v="130"/>
    <n v="14365.32"/>
    <n v="14495.32"/>
    <x v="0"/>
    <x v="1"/>
    <s v="Chandigarh"/>
    <x v="1"/>
    <x v="1"/>
    <n v="4"/>
    <x v="0"/>
    <n v="5"/>
    <x v="3"/>
  </r>
  <r>
    <s v="ORD00239"/>
    <x v="173"/>
    <s v="CUST260"/>
    <s v="Sneha"/>
    <x v="1"/>
    <x v="28"/>
    <x v="5"/>
    <x v="0"/>
    <x v="5"/>
    <x v="9"/>
    <n v="2"/>
    <n v="16518"/>
    <n v="15"/>
    <n v="4955.3999999999996"/>
    <n v="5054.51"/>
    <n v="326"/>
    <n v="33135.11"/>
    <n v="33461.11"/>
    <x v="0"/>
    <x v="0"/>
    <s v="Pune"/>
    <x v="0"/>
    <x v="0"/>
    <n v="1"/>
    <x v="1"/>
    <n v="1"/>
    <x v="1"/>
  </r>
  <r>
    <s v="ORD00240"/>
    <x v="32"/>
    <s v="CUST652"/>
    <s v="Sneha"/>
    <x v="1"/>
    <x v="5"/>
    <x v="7"/>
    <x v="1"/>
    <x v="7"/>
    <x v="3"/>
    <n v="2"/>
    <n v="42034"/>
    <n v="20"/>
    <n v="16813.599999999999"/>
    <n v="12105.79"/>
    <n v="55"/>
    <n v="79360.19"/>
    <n v="79415.19"/>
    <x v="0"/>
    <x v="1"/>
    <s v="Jaipur"/>
    <x v="2"/>
    <x v="1"/>
    <n v="6"/>
    <x v="1"/>
    <n v="1"/>
    <x v="2"/>
  </r>
  <r>
    <s v="ORD00241"/>
    <x v="167"/>
    <s v="CUST997"/>
    <s v="Amit"/>
    <x v="0"/>
    <x v="20"/>
    <x v="2"/>
    <x v="1"/>
    <x v="2"/>
    <x v="6"/>
    <n v="2"/>
    <n v="40255"/>
    <n v="0"/>
    <n v="0"/>
    <n v="14491.8"/>
    <n v="415"/>
    <n v="95001.8"/>
    <n v="95416.8"/>
    <x v="3"/>
    <x v="0"/>
    <s v="Patiala"/>
    <x v="1"/>
    <x v="1"/>
    <n v="6"/>
    <x v="0"/>
    <n v="3"/>
    <x v="3"/>
  </r>
  <r>
    <s v="ORD00242"/>
    <x v="150"/>
    <s v="CUST611"/>
    <s v="Priya"/>
    <x v="1"/>
    <x v="39"/>
    <x v="0"/>
    <x v="0"/>
    <x v="0"/>
    <x v="8"/>
    <n v="2"/>
    <n v="16819"/>
    <n v="10"/>
    <n v="3363.8"/>
    <n v="5449.36"/>
    <n v="185"/>
    <n v="35723.56"/>
    <n v="35908.559999999998"/>
    <x v="0"/>
    <x v="1"/>
    <s v="Pune"/>
    <x v="0"/>
    <x v="0"/>
    <n v="9"/>
    <x v="1"/>
    <n v="1"/>
    <x v="3"/>
  </r>
  <r>
    <s v="ORD00243"/>
    <x v="65"/>
    <s v="CUST885"/>
    <s v="Arjun"/>
    <x v="1"/>
    <x v="15"/>
    <x v="0"/>
    <x v="0"/>
    <x v="0"/>
    <x v="5"/>
    <n v="5"/>
    <n v="17749"/>
    <n v="0"/>
    <n v="0"/>
    <n v="15974.1"/>
    <n v="215"/>
    <n v="104719.1"/>
    <n v="104934.1"/>
    <x v="1"/>
    <x v="0"/>
    <s v="Jaipur"/>
    <x v="2"/>
    <x v="1"/>
    <n v="9"/>
    <x v="0"/>
    <n v="1"/>
    <x v="2"/>
  </r>
  <r>
    <s v="ORD00244"/>
    <x v="3"/>
    <s v="CUST146"/>
    <s v="Sneha"/>
    <x v="0"/>
    <x v="22"/>
    <x v="7"/>
    <x v="1"/>
    <x v="7"/>
    <x v="1"/>
    <n v="1"/>
    <n v="17819"/>
    <n v="15"/>
    <n v="2672.85"/>
    <n v="2726.31"/>
    <n v="350"/>
    <n v="17872.46"/>
    <n v="18222.46"/>
    <x v="3"/>
    <x v="1"/>
    <s v="Lucknow"/>
    <x v="4"/>
    <x v="1"/>
    <n v="4"/>
    <x v="1"/>
    <n v="3"/>
    <x v="3"/>
  </r>
  <r>
    <s v="ORD00245"/>
    <x v="66"/>
    <s v="CUST955"/>
    <s v="Vikas"/>
    <x v="1"/>
    <x v="18"/>
    <x v="1"/>
    <x v="0"/>
    <x v="1"/>
    <x v="9"/>
    <n v="3"/>
    <n v="34354"/>
    <n v="5"/>
    <n v="5153.1000000000004"/>
    <n v="17623.599999999999"/>
    <n v="57"/>
    <n v="115532.5"/>
    <n v="115589.5"/>
    <x v="3"/>
    <x v="1"/>
    <s v="Delhi"/>
    <x v="5"/>
    <x v="1"/>
    <n v="3"/>
    <x v="1"/>
    <n v="3"/>
    <x v="2"/>
  </r>
  <r>
    <s v="ORD00246"/>
    <x v="174"/>
    <s v="CUST541"/>
    <s v="Sneha"/>
    <x v="0"/>
    <x v="7"/>
    <x v="0"/>
    <x v="0"/>
    <x v="0"/>
    <x v="9"/>
    <n v="3"/>
    <n v="20946"/>
    <n v="20"/>
    <n v="12567.6"/>
    <n v="9048.67"/>
    <n v="113"/>
    <n v="59319.07"/>
    <n v="59432.07"/>
    <x v="0"/>
    <x v="0"/>
    <s v="Chandigarh"/>
    <x v="1"/>
    <x v="1"/>
    <n v="10"/>
    <x v="1"/>
    <n v="3"/>
    <x v="3"/>
  </r>
  <r>
    <s v="ORD00247"/>
    <x v="50"/>
    <s v="CUST161"/>
    <s v="Riya"/>
    <x v="1"/>
    <x v="4"/>
    <x v="4"/>
    <x v="0"/>
    <x v="4"/>
    <x v="3"/>
    <n v="5"/>
    <n v="46655"/>
    <n v="20"/>
    <n v="46655"/>
    <n v="33591.599999999999"/>
    <n v="138"/>
    <n v="220211.6"/>
    <n v="220349.6"/>
    <x v="2"/>
    <x v="0"/>
    <s v="Chandigarh"/>
    <x v="1"/>
    <x v="1"/>
    <n v="9"/>
    <x v="0"/>
    <n v="3"/>
    <x v="3"/>
  </r>
  <r>
    <s v="ORD00248"/>
    <x v="168"/>
    <s v="CUST982"/>
    <s v="Riya"/>
    <x v="1"/>
    <x v="15"/>
    <x v="7"/>
    <x v="1"/>
    <x v="7"/>
    <x v="7"/>
    <n v="4"/>
    <n v="3168"/>
    <n v="20"/>
    <n v="2534.4"/>
    <n v="1824.77"/>
    <n v="447"/>
    <n v="11962.37"/>
    <n v="12409.37"/>
    <x v="2"/>
    <x v="1"/>
    <s v="Pune"/>
    <x v="0"/>
    <x v="0"/>
    <n v="9"/>
    <x v="1"/>
    <n v="3"/>
    <x v="3"/>
  </r>
  <r>
    <s v="ORD00249"/>
    <x v="114"/>
    <s v="CUST564"/>
    <s v="Sneha"/>
    <x v="0"/>
    <x v="41"/>
    <x v="6"/>
    <x v="0"/>
    <x v="6"/>
    <x v="7"/>
    <n v="3"/>
    <n v="13647"/>
    <n v="20"/>
    <n v="8188.2"/>
    <n v="5895.5"/>
    <n v="193"/>
    <n v="38648.300000000003"/>
    <n v="38841.300000000003"/>
    <x v="1"/>
    <x v="1"/>
    <s v="Pune"/>
    <x v="0"/>
    <x v="0"/>
    <n v="9"/>
    <x v="0"/>
    <n v="5"/>
    <x v="3"/>
  </r>
  <r>
    <s v="ORD00250"/>
    <x v="135"/>
    <s v="CUST433"/>
    <s v="Arjun"/>
    <x v="0"/>
    <x v="34"/>
    <x v="6"/>
    <x v="0"/>
    <x v="6"/>
    <x v="4"/>
    <n v="3"/>
    <n v="10903"/>
    <n v="0"/>
    <n v="0"/>
    <n v="5887.62"/>
    <n v="412"/>
    <n v="38596.620000000003"/>
    <n v="39008.620000000003"/>
    <x v="3"/>
    <x v="0"/>
    <s v="Lucknow"/>
    <x v="4"/>
    <x v="1"/>
    <n v="8"/>
    <x v="0"/>
    <n v="5"/>
    <x v="3"/>
  </r>
  <r>
    <s v="ORD00251"/>
    <x v="61"/>
    <s v="CUST671"/>
    <s v="Karan"/>
    <x v="1"/>
    <x v="42"/>
    <x v="6"/>
    <x v="0"/>
    <x v="6"/>
    <x v="8"/>
    <n v="4"/>
    <n v="12320"/>
    <n v="15"/>
    <n v="7392"/>
    <n v="7539.84"/>
    <n v="154"/>
    <n v="49427.839999999997"/>
    <n v="49581.84"/>
    <x v="0"/>
    <x v="1"/>
    <s v="Lucknow"/>
    <x v="4"/>
    <x v="1"/>
    <n v="5"/>
    <x v="1"/>
    <n v="5"/>
    <x v="3"/>
  </r>
  <r>
    <s v="ORD00252"/>
    <x v="175"/>
    <s v="CUST768"/>
    <s v="Rahul"/>
    <x v="1"/>
    <x v="26"/>
    <x v="7"/>
    <x v="1"/>
    <x v="7"/>
    <x v="8"/>
    <n v="1"/>
    <n v="14063"/>
    <n v="10"/>
    <n v="1406.3"/>
    <n v="2278.21"/>
    <n v="103"/>
    <n v="14934.91"/>
    <n v="15037.91"/>
    <x v="1"/>
    <x v="1"/>
    <s v="Jaipur"/>
    <x v="2"/>
    <x v="1"/>
    <n v="2"/>
    <x v="1"/>
    <n v="1"/>
    <x v="3"/>
  </r>
  <r>
    <s v="ORD00253"/>
    <x v="176"/>
    <s v="CUST865"/>
    <s v="Anjali"/>
    <x v="1"/>
    <x v="1"/>
    <x v="8"/>
    <x v="0"/>
    <x v="8"/>
    <x v="7"/>
    <n v="3"/>
    <n v="38458"/>
    <n v="0"/>
    <n v="0"/>
    <n v="20767.32"/>
    <n v="484"/>
    <n v="136141.32"/>
    <n v="136625.32"/>
    <x v="3"/>
    <x v="1"/>
    <s v="Pune"/>
    <x v="0"/>
    <x v="0"/>
    <n v="4"/>
    <x v="0"/>
    <n v="1"/>
    <x v="3"/>
  </r>
  <r>
    <s v="ORD00254"/>
    <x v="177"/>
    <s v="CUST629"/>
    <s v="Amit"/>
    <x v="1"/>
    <x v="32"/>
    <x v="9"/>
    <x v="0"/>
    <x v="9"/>
    <x v="4"/>
    <n v="3"/>
    <n v="2136"/>
    <n v="0"/>
    <n v="0"/>
    <n v="1153.44"/>
    <n v="388"/>
    <n v="7561.44"/>
    <n v="7949.44"/>
    <x v="2"/>
    <x v="1"/>
    <s v="Bangalore"/>
    <x v="3"/>
    <x v="2"/>
    <n v="9"/>
    <x v="0"/>
    <n v="5"/>
    <x v="1"/>
  </r>
  <r>
    <s v="ORD00255"/>
    <x v="68"/>
    <s v="CUST717"/>
    <s v="Sneha"/>
    <x v="1"/>
    <x v="28"/>
    <x v="2"/>
    <x v="1"/>
    <x v="2"/>
    <x v="0"/>
    <n v="4"/>
    <n v="6313"/>
    <n v="20"/>
    <n v="5050.3999999999996"/>
    <n v="3636.29"/>
    <n v="1"/>
    <n v="23837.89"/>
    <n v="23838.89"/>
    <x v="2"/>
    <x v="0"/>
    <s v="Lucknow"/>
    <x v="4"/>
    <x v="1"/>
    <n v="2"/>
    <x v="0"/>
    <n v="1"/>
    <x v="2"/>
  </r>
  <r>
    <s v="ORD00256"/>
    <x v="178"/>
    <s v="CUST102"/>
    <s v="Priya"/>
    <x v="1"/>
    <x v="40"/>
    <x v="8"/>
    <x v="0"/>
    <x v="8"/>
    <x v="4"/>
    <n v="4"/>
    <n v="26827"/>
    <n v="5"/>
    <n v="5365.4"/>
    <n v="18349.669999999998"/>
    <n v="70"/>
    <n v="120292.27"/>
    <n v="120362.27"/>
    <x v="2"/>
    <x v="0"/>
    <s v="Bangalore"/>
    <x v="3"/>
    <x v="2"/>
    <n v="5"/>
    <x v="0"/>
    <n v="2"/>
    <x v="3"/>
  </r>
  <r>
    <s v="ORD00257"/>
    <x v="179"/>
    <s v="CUST579"/>
    <s v="Karan"/>
    <x v="0"/>
    <x v="21"/>
    <x v="7"/>
    <x v="1"/>
    <x v="7"/>
    <x v="4"/>
    <n v="4"/>
    <n v="20044"/>
    <n v="10"/>
    <n v="8017.6"/>
    <n v="12988.51"/>
    <n v="449"/>
    <n v="85146.91"/>
    <n v="85595.91"/>
    <x v="1"/>
    <x v="1"/>
    <s v="Delhi"/>
    <x v="5"/>
    <x v="1"/>
    <n v="4"/>
    <x v="1"/>
    <n v="5"/>
    <x v="2"/>
  </r>
  <r>
    <s v="ORD00258"/>
    <x v="180"/>
    <s v="CUST505"/>
    <s v="Anjali"/>
    <x v="0"/>
    <x v="23"/>
    <x v="9"/>
    <x v="0"/>
    <x v="9"/>
    <x v="9"/>
    <n v="5"/>
    <n v="2751"/>
    <n v="20"/>
    <n v="2751"/>
    <n v="1980.72"/>
    <n v="347"/>
    <n v="12984.72"/>
    <n v="13331.72"/>
    <x v="0"/>
    <x v="0"/>
    <s v="Bangalore"/>
    <x v="3"/>
    <x v="2"/>
    <n v="5"/>
    <x v="0"/>
    <n v="5"/>
    <x v="0"/>
  </r>
  <r>
    <s v="ORD00259"/>
    <x v="15"/>
    <s v="CUST841"/>
    <s v="Arjun"/>
    <x v="0"/>
    <x v="6"/>
    <x v="0"/>
    <x v="0"/>
    <x v="0"/>
    <x v="8"/>
    <n v="4"/>
    <n v="5599"/>
    <n v="20"/>
    <n v="4479.2"/>
    <n v="3225.02"/>
    <n v="479"/>
    <n v="21141.82"/>
    <n v="21620.82"/>
    <x v="0"/>
    <x v="0"/>
    <s v="Bangalore"/>
    <x v="3"/>
    <x v="2"/>
    <n v="4"/>
    <x v="1"/>
    <n v="5"/>
    <x v="3"/>
  </r>
  <r>
    <s v="ORD00260"/>
    <x v="181"/>
    <s v="CUST247"/>
    <s v="Priya"/>
    <x v="1"/>
    <x v="5"/>
    <x v="2"/>
    <x v="1"/>
    <x v="2"/>
    <x v="9"/>
    <n v="1"/>
    <n v="13659"/>
    <n v="20"/>
    <n v="2731.8"/>
    <n v="1966.9"/>
    <n v="370"/>
    <n v="12894.1"/>
    <n v="13264.1"/>
    <x v="2"/>
    <x v="1"/>
    <s v="Pune"/>
    <x v="0"/>
    <x v="0"/>
    <n v="2"/>
    <x v="0"/>
    <n v="1"/>
    <x v="3"/>
  </r>
  <r>
    <s v="ORD00261"/>
    <x v="65"/>
    <s v="CUST916"/>
    <s v="Anjali"/>
    <x v="0"/>
    <x v="39"/>
    <x v="6"/>
    <x v="0"/>
    <x v="6"/>
    <x v="7"/>
    <n v="3"/>
    <n v="35927"/>
    <n v="15"/>
    <n v="16167.15"/>
    <n v="16490.490000000002"/>
    <n v="110"/>
    <n v="108104.34"/>
    <n v="108214.34"/>
    <x v="1"/>
    <x v="0"/>
    <s v="Chandigarh"/>
    <x v="1"/>
    <x v="1"/>
    <n v="1"/>
    <x v="0"/>
    <n v="2"/>
    <x v="0"/>
  </r>
  <r>
    <s v="ORD00262"/>
    <x v="104"/>
    <s v="CUST137"/>
    <s v="Rahul"/>
    <x v="0"/>
    <x v="12"/>
    <x v="2"/>
    <x v="1"/>
    <x v="2"/>
    <x v="7"/>
    <n v="2"/>
    <n v="8718"/>
    <n v="5"/>
    <n v="871.8"/>
    <n v="2981.56"/>
    <n v="320"/>
    <n v="19545.759999999998"/>
    <n v="19865.759999999998"/>
    <x v="2"/>
    <x v="0"/>
    <s v="Chandigarh"/>
    <x v="1"/>
    <x v="1"/>
    <n v="9"/>
    <x v="0"/>
    <n v="3"/>
    <x v="2"/>
  </r>
  <r>
    <s v="ORD00263"/>
    <x v="67"/>
    <s v="CUST655"/>
    <s v="Karan"/>
    <x v="0"/>
    <x v="28"/>
    <x v="6"/>
    <x v="0"/>
    <x v="6"/>
    <x v="8"/>
    <n v="4"/>
    <n v="10032"/>
    <n v="5"/>
    <n v="2006.4"/>
    <n v="6861.89"/>
    <n v="42"/>
    <n v="44983.49"/>
    <n v="45025.49"/>
    <x v="0"/>
    <x v="0"/>
    <s v="Patiala"/>
    <x v="1"/>
    <x v="1"/>
    <n v="3"/>
    <x v="0"/>
    <n v="3"/>
    <x v="1"/>
  </r>
  <r>
    <s v="ORD00264"/>
    <x v="11"/>
    <s v="CUST566"/>
    <s v="Neha"/>
    <x v="1"/>
    <x v="22"/>
    <x v="5"/>
    <x v="0"/>
    <x v="5"/>
    <x v="0"/>
    <n v="4"/>
    <n v="9542"/>
    <n v="20"/>
    <n v="7633.6"/>
    <n v="5496.19"/>
    <n v="372"/>
    <n v="36030.589999999997"/>
    <n v="36402.589999999997"/>
    <x v="1"/>
    <x v="1"/>
    <s v="Lucknow"/>
    <x v="4"/>
    <x v="1"/>
    <n v="10"/>
    <x v="1"/>
    <n v="3"/>
    <x v="3"/>
  </r>
  <r>
    <s v="ORD00265"/>
    <x v="6"/>
    <s v="CUST813"/>
    <s v="Riya"/>
    <x v="0"/>
    <x v="39"/>
    <x v="4"/>
    <x v="0"/>
    <x v="4"/>
    <x v="8"/>
    <n v="1"/>
    <n v="9992"/>
    <n v="10"/>
    <n v="999.2"/>
    <n v="1618.7"/>
    <n v="323"/>
    <n v="10611.5"/>
    <n v="10934.5"/>
    <x v="0"/>
    <x v="1"/>
    <s v="Delhi"/>
    <x v="5"/>
    <x v="1"/>
    <n v="10"/>
    <x v="1"/>
    <n v="4"/>
    <x v="2"/>
  </r>
  <r>
    <s v="ORD00266"/>
    <x v="30"/>
    <s v="CUST111"/>
    <s v="Anjali"/>
    <x v="1"/>
    <x v="10"/>
    <x v="3"/>
    <x v="2"/>
    <x v="3"/>
    <x v="6"/>
    <n v="2"/>
    <n v="2594"/>
    <n v="5"/>
    <n v="259.39999999999998"/>
    <n v="887.15"/>
    <n v="259"/>
    <n v="5815.75"/>
    <n v="6074.75"/>
    <x v="3"/>
    <x v="0"/>
    <s v="Jaipur"/>
    <x v="2"/>
    <x v="1"/>
    <n v="10"/>
    <x v="1"/>
    <n v="5"/>
    <x v="1"/>
  </r>
  <r>
    <s v="ORD00267"/>
    <x v="178"/>
    <s v="CUST919"/>
    <s v="Amit"/>
    <x v="1"/>
    <x v="29"/>
    <x v="2"/>
    <x v="1"/>
    <x v="2"/>
    <x v="4"/>
    <n v="3"/>
    <n v="33711"/>
    <n v="15"/>
    <n v="15169.95"/>
    <n v="15473.35"/>
    <n v="84"/>
    <n v="101436.4"/>
    <n v="101520.4"/>
    <x v="0"/>
    <x v="0"/>
    <s v="Bangalore"/>
    <x v="3"/>
    <x v="2"/>
    <n v="6"/>
    <x v="1"/>
    <n v="5"/>
    <x v="0"/>
  </r>
  <r>
    <s v="ORD00268"/>
    <x v="36"/>
    <s v="CUST583"/>
    <s v="Vikas"/>
    <x v="0"/>
    <x v="39"/>
    <x v="6"/>
    <x v="0"/>
    <x v="6"/>
    <x v="2"/>
    <n v="5"/>
    <n v="28384"/>
    <n v="20"/>
    <n v="28384"/>
    <n v="20436.48"/>
    <n v="302"/>
    <n v="133972.48000000001"/>
    <n v="134274.48000000001"/>
    <x v="0"/>
    <x v="1"/>
    <s v="Jaipur"/>
    <x v="2"/>
    <x v="1"/>
    <n v="7"/>
    <x v="0"/>
    <n v="3"/>
    <x v="1"/>
  </r>
  <r>
    <s v="ORD00269"/>
    <x v="172"/>
    <s v="CUST708"/>
    <s v="Karan"/>
    <x v="1"/>
    <x v="2"/>
    <x v="2"/>
    <x v="1"/>
    <x v="2"/>
    <x v="3"/>
    <n v="3"/>
    <n v="35019"/>
    <n v="15"/>
    <n v="15758.55"/>
    <n v="16073.72"/>
    <n v="151"/>
    <n v="105372.17"/>
    <n v="105523.17"/>
    <x v="3"/>
    <x v="1"/>
    <s v="Delhi"/>
    <x v="5"/>
    <x v="1"/>
    <n v="3"/>
    <x v="0"/>
    <n v="5"/>
    <x v="2"/>
  </r>
  <r>
    <s v="ORD00270"/>
    <x v="108"/>
    <s v="CUST178"/>
    <s v="Anjali"/>
    <x v="1"/>
    <x v="22"/>
    <x v="0"/>
    <x v="0"/>
    <x v="0"/>
    <x v="0"/>
    <n v="3"/>
    <n v="19289"/>
    <n v="10"/>
    <n v="5786.7"/>
    <n v="9374.4500000000007"/>
    <n v="261"/>
    <n v="61454.75"/>
    <n v="61715.75"/>
    <x v="0"/>
    <x v="0"/>
    <s v="Pune"/>
    <x v="0"/>
    <x v="0"/>
    <n v="4"/>
    <x v="0"/>
    <n v="3"/>
    <x v="0"/>
  </r>
  <r>
    <s v="ORD00271"/>
    <x v="182"/>
    <s v="CUST737"/>
    <s v="Vikas"/>
    <x v="0"/>
    <x v="21"/>
    <x v="7"/>
    <x v="1"/>
    <x v="7"/>
    <x v="2"/>
    <n v="4"/>
    <n v="47723"/>
    <n v="10"/>
    <n v="19089.2"/>
    <n v="30924.5"/>
    <n v="497"/>
    <n v="202727.3"/>
    <n v="203224.3"/>
    <x v="3"/>
    <x v="1"/>
    <s v="Mumbai"/>
    <x v="0"/>
    <x v="0"/>
    <n v="8"/>
    <x v="0"/>
    <n v="1"/>
    <x v="0"/>
  </r>
  <r>
    <s v="ORD00272"/>
    <x v="15"/>
    <s v="CUST343"/>
    <s v="Arjun"/>
    <x v="0"/>
    <x v="21"/>
    <x v="1"/>
    <x v="0"/>
    <x v="1"/>
    <x v="1"/>
    <n v="5"/>
    <n v="36579"/>
    <n v="5"/>
    <n v="9144.75"/>
    <n v="31275.040000000001"/>
    <n v="326"/>
    <n v="205025.29"/>
    <n v="205351.29"/>
    <x v="3"/>
    <x v="1"/>
    <s v="Lucknow"/>
    <x v="4"/>
    <x v="1"/>
    <n v="4"/>
    <x v="0"/>
    <n v="4"/>
    <x v="2"/>
  </r>
  <r>
    <s v="ORD00273"/>
    <x v="133"/>
    <s v="CUST187"/>
    <s v="Priya"/>
    <x v="1"/>
    <x v="6"/>
    <x v="0"/>
    <x v="0"/>
    <x v="0"/>
    <x v="8"/>
    <n v="2"/>
    <n v="30501"/>
    <n v="10"/>
    <n v="6100.2"/>
    <n v="9882.32"/>
    <n v="215"/>
    <n v="64784.12"/>
    <n v="64999.12"/>
    <x v="2"/>
    <x v="1"/>
    <s v="Lucknow"/>
    <x v="4"/>
    <x v="1"/>
    <n v="8"/>
    <x v="0"/>
    <n v="2"/>
    <x v="1"/>
  </r>
  <r>
    <s v="ORD00274"/>
    <x v="74"/>
    <s v="CUST626"/>
    <s v="Neha"/>
    <x v="0"/>
    <x v="11"/>
    <x v="1"/>
    <x v="0"/>
    <x v="1"/>
    <x v="4"/>
    <n v="3"/>
    <n v="35905"/>
    <n v="20"/>
    <n v="21543"/>
    <n v="15510.96"/>
    <n v="69"/>
    <n v="101682.96"/>
    <n v="101751.96"/>
    <x v="3"/>
    <x v="1"/>
    <s v="Bangalore"/>
    <x v="3"/>
    <x v="2"/>
    <n v="6"/>
    <x v="0"/>
    <n v="4"/>
    <x v="1"/>
  </r>
  <r>
    <s v="ORD00275"/>
    <x v="183"/>
    <s v="CUST776"/>
    <s v="Riya"/>
    <x v="1"/>
    <x v="41"/>
    <x v="9"/>
    <x v="0"/>
    <x v="9"/>
    <x v="1"/>
    <n v="3"/>
    <n v="16019"/>
    <n v="10"/>
    <n v="4805.7"/>
    <n v="7785.23"/>
    <n v="9"/>
    <n v="51036.53"/>
    <n v="51045.53"/>
    <x v="3"/>
    <x v="1"/>
    <s v="Bangalore"/>
    <x v="3"/>
    <x v="2"/>
    <n v="4"/>
    <x v="0"/>
    <n v="4"/>
    <x v="2"/>
  </r>
  <r>
    <s v="ORD00276"/>
    <x v="184"/>
    <s v="CUST981"/>
    <s v="Karan"/>
    <x v="0"/>
    <x v="4"/>
    <x v="6"/>
    <x v="0"/>
    <x v="6"/>
    <x v="1"/>
    <n v="4"/>
    <n v="19232"/>
    <n v="10"/>
    <n v="7692.8"/>
    <n v="12462.34"/>
    <n v="295"/>
    <n v="81697.539999999994"/>
    <n v="81992.539999999994"/>
    <x v="2"/>
    <x v="1"/>
    <s v="Mumbai"/>
    <x v="0"/>
    <x v="0"/>
    <n v="6"/>
    <x v="0"/>
    <n v="5"/>
    <x v="2"/>
  </r>
  <r>
    <s v="ORD00277"/>
    <x v="185"/>
    <s v="CUST425"/>
    <s v="Arjun"/>
    <x v="0"/>
    <x v="24"/>
    <x v="4"/>
    <x v="0"/>
    <x v="4"/>
    <x v="5"/>
    <n v="3"/>
    <n v="26220"/>
    <n v="5"/>
    <n v="3933"/>
    <n v="13450.86"/>
    <n v="337"/>
    <n v="88177.86"/>
    <n v="88514.86"/>
    <x v="3"/>
    <x v="0"/>
    <s v="Pune"/>
    <x v="0"/>
    <x v="0"/>
    <n v="9"/>
    <x v="1"/>
    <n v="5"/>
    <x v="1"/>
  </r>
  <r>
    <s v="ORD00278"/>
    <x v="186"/>
    <s v="CUST196"/>
    <s v="Sneha"/>
    <x v="1"/>
    <x v="23"/>
    <x v="0"/>
    <x v="0"/>
    <x v="0"/>
    <x v="8"/>
    <n v="2"/>
    <n v="8816"/>
    <n v="20"/>
    <n v="3526.4"/>
    <n v="2539.0100000000002"/>
    <n v="394"/>
    <n v="16644.61"/>
    <n v="17038.61"/>
    <x v="1"/>
    <x v="0"/>
    <s v="Pune"/>
    <x v="0"/>
    <x v="0"/>
    <n v="5"/>
    <x v="0"/>
    <n v="4"/>
    <x v="1"/>
  </r>
  <r>
    <s v="ORD00279"/>
    <x v="187"/>
    <s v="CUST741"/>
    <s v="Amit"/>
    <x v="1"/>
    <x v="8"/>
    <x v="9"/>
    <x v="0"/>
    <x v="9"/>
    <x v="3"/>
    <n v="1"/>
    <n v="21091"/>
    <n v="10"/>
    <n v="2109.1"/>
    <n v="3416.74"/>
    <n v="177"/>
    <n v="22398.639999999999"/>
    <n v="22575.64"/>
    <x v="2"/>
    <x v="1"/>
    <s v="Lucknow"/>
    <x v="4"/>
    <x v="1"/>
    <n v="1"/>
    <x v="1"/>
    <n v="1"/>
    <x v="0"/>
  </r>
  <r>
    <s v="ORD00280"/>
    <x v="54"/>
    <s v="CUST997"/>
    <s v="Arjun"/>
    <x v="0"/>
    <x v="11"/>
    <x v="6"/>
    <x v="0"/>
    <x v="6"/>
    <x v="3"/>
    <n v="2"/>
    <n v="46647"/>
    <n v="0"/>
    <n v="0"/>
    <n v="16792.919999999998"/>
    <n v="477"/>
    <n v="110086.92"/>
    <n v="110563.92"/>
    <x v="0"/>
    <x v="0"/>
    <s v="Delhi"/>
    <x v="5"/>
    <x v="1"/>
    <n v="6"/>
    <x v="0"/>
    <n v="2"/>
    <x v="2"/>
  </r>
  <r>
    <s v="ORD00281"/>
    <x v="188"/>
    <s v="CUST112"/>
    <s v="Amit"/>
    <x v="1"/>
    <x v="24"/>
    <x v="0"/>
    <x v="0"/>
    <x v="0"/>
    <x v="1"/>
    <n v="1"/>
    <n v="46084"/>
    <n v="10"/>
    <n v="4608.3999999999996"/>
    <n v="7465.61"/>
    <n v="166"/>
    <n v="48941.21"/>
    <n v="49107.21"/>
    <x v="0"/>
    <x v="1"/>
    <s v="Lucknow"/>
    <x v="4"/>
    <x v="1"/>
    <n v="4"/>
    <x v="1"/>
    <n v="3"/>
    <x v="2"/>
  </r>
  <r>
    <s v="ORD00282"/>
    <x v="189"/>
    <s v="CUST422"/>
    <s v="Riya"/>
    <x v="0"/>
    <x v="29"/>
    <x v="5"/>
    <x v="0"/>
    <x v="5"/>
    <x v="1"/>
    <n v="2"/>
    <n v="13526"/>
    <n v="0"/>
    <n v="0"/>
    <n v="4869.3599999999997"/>
    <n v="286"/>
    <n v="31921.360000000001"/>
    <n v="32207.360000000001"/>
    <x v="1"/>
    <x v="1"/>
    <s v="Lucknow"/>
    <x v="4"/>
    <x v="1"/>
    <n v="8"/>
    <x v="0"/>
    <n v="5"/>
    <x v="0"/>
  </r>
  <r>
    <s v="ORD00283"/>
    <x v="74"/>
    <s v="CUST228"/>
    <s v="Sneha"/>
    <x v="0"/>
    <x v="37"/>
    <x v="6"/>
    <x v="0"/>
    <x v="6"/>
    <x v="8"/>
    <n v="2"/>
    <n v="24594"/>
    <n v="15"/>
    <n v="7378.2"/>
    <n v="7525.76"/>
    <n v="423"/>
    <n v="49335.56"/>
    <n v="49758.559999999998"/>
    <x v="0"/>
    <x v="0"/>
    <s v="Lucknow"/>
    <x v="4"/>
    <x v="1"/>
    <n v="5"/>
    <x v="1"/>
    <n v="3"/>
    <x v="2"/>
  </r>
  <r>
    <s v="ORD00284"/>
    <x v="190"/>
    <s v="CUST243"/>
    <s v="Vikas"/>
    <x v="1"/>
    <x v="19"/>
    <x v="4"/>
    <x v="0"/>
    <x v="4"/>
    <x v="1"/>
    <n v="1"/>
    <n v="8792"/>
    <n v="20"/>
    <n v="1758.4"/>
    <n v="1266.05"/>
    <n v="83"/>
    <n v="8299.65"/>
    <n v="8382.65"/>
    <x v="0"/>
    <x v="0"/>
    <s v="Pune"/>
    <x v="0"/>
    <x v="0"/>
    <n v="3"/>
    <x v="1"/>
    <n v="2"/>
    <x v="2"/>
  </r>
  <r>
    <s v="ORD00285"/>
    <x v="46"/>
    <s v="CUST455"/>
    <s v="Amit"/>
    <x v="0"/>
    <x v="21"/>
    <x v="6"/>
    <x v="0"/>
    <x v="6"/>
    <x v="4"/>
    <n v="2"/>
    <n v="39070"/>
    <n v="0"/>
    <n v="0"/>
    <n v="14065.2"/>
    <n v="255"/>
    <n v="92205.2"/>
    <n v="92460.2"/>
    <x v="0"/>
    <x v="1"/>
    <s v="Mumbai"/>
    <x v="0"/>
    <x v="0"/>
    <n v="9"/>
    <x v="1"/>
    <n v="5"/>
    <x v="2"/>
  </r>
  <r>
    <s v="ORD00286"/>
    <x v="191"/>
    <s v="CUST360"/>
    <s v="Neha"/>
    <x v="1"/>
    <x v="2"/>
    <x v="4"/>
    <x v="0"/>
    <x v="4"/>
    <x v="0"/>
    <n v="2"/>
    <n v="4186"/>
    <n v="15"/>
    <n v="1255.8"/>
    <n v="1280.92"/>
    <n v="320"/>
    <n v="8397.1200000000008"/>
    <n v="8717.1200000000008"/>
    <x v="3"/>
    <x v="1"/>
    <s v="Delhi"/>
    <x v="5"/>
    <x v="1"/>
    <n v="2"/>
    <x v="1"/>
    <n v="4"/>
    <x v="0"/>
  </r>
  <r>
    <s v="ORD00287"/>
    <x v="109"/>
    <s v="CUST789"/>
    <s v="Amit"/>
    <x v="1"/>
    <x v="38"/>
    <x v="8"/>
    <x v="0"/>
    <x v="8"/>
    <x v="7"/>
    <n v="3"/>
    <n v="27724"/>
    <n v="0"/>
    <n v="0"/>
    <n v="14970.96"/>
    <n v="412"/>
    <n v="98142.96"/>
    <n v="98554.96"/>
    <x v="1"/>
    <x v="1"/>
    <s v="Delhi"/>
    <x v="5"/>
    <x v="1"/>
    <n v="7"/>
    <x v="0"/>
    <n v="4"/>
    <x v="2"/>
  </r>
  <r>
    <s v="ORD00288"/>
    <x v="192"/>
    <s v="CUST460"/>
    <s v="Arjun"/>
    <x v="1"/>
    <x v="4"/>
    <x v="2"/>
    <x v="1"/>
    <x v="2"/>
    <x v="2"/>
    <n v="2"/>
    <n v="25863"/>
    <n v="15"/>
    <n v="7758.9"/>
    <n v="7914.08"/>
    <n v="282"/>
    <n v="51881.18"/>
    <n v="52163.18"/>
    <x v="1"/>
    <x v="0"/>
    <s v="Patiala"/>
    <x v="1"/>
    <x v="1"/>
    <n v="7"/>
    <x v="0"/>
    <n v="4"/>
    <x v="1"/>
  </r>
  <r>
    <s v="ORD00289"/>
    <x v="193"/>
    <s v="CUST266"/>
    <s v="Arjun"/>
    <x v="1"/>
    <x v="1"/>
    <x v="4"/>
    <x v="0"/>
    <x v="4"/>
    <x v="4"/>
    <n v="3"/>
    <n v="5942"/>
    <n v="5"/>
    <n v="891.3"/>
    <n v="3048.25"/>
    <n v="248"/>
    <n v="19982.95"/>
    <n v="20230.95"/>
    <x v="3"/>
    <x v="0"/>
    <s v="Patiala"/>
    <x v="1"/>
    <x v="1"/>
    <n v="8"/>
    <x v="1"/>
    <n v="2"/>
    <x v="2"/>
  </r>
  <r>
    <s v="ORD00290"/>
    <x v="194"/>
    <s v="CUST795"/>
    <s v="Anjali"/>
    <x v="1"/>
    <x v="16"/>
    <x v="1"/>
    <x v="0"/>
    <x v="1"/>
    <x v="1"/>
    <n v="2"/>
    <n v="5637"/>
    <n v="20"/>
    <n v="2254.8000000000002"/>
    <n v="1623.46"/>
    <n v="105"/>
    <n v="10642.66"/>
    <n v="10747.66"/>
    <x v="1"/>
    <x v="0"/>
    <s v="Delhi"/>
    <x v="5"/>
    <x v="1"/>
    <n v="7"/>
    <x v="0"/>
    <n v="5"/>
    <x v="3"/>
  </r>
  <r>
    <s v="ORD00291"/>
    <x v="195"/>
    <s v="CUST337"/>
    <s v="Neha"/>
    <x v="1"/>
    <x v="19"/>
    <x v="5"/>
    <x v="0"/>
    <x v="5"/>
    <x v="7"/>
    <n v="3"/>
    <n v="11265"/>
    <n v="15"/>
    <n v="5069.25"/>
    <n v="5170.6400000000003"/>
    <n v="234"/>
    <n v="33896.39"/>
    <n v="34130.39"/>
    <x v="2"/>
    <x v="1"/>
    <s v="Pune"/>
    <x v="0"/>
    <x v="0"/>
    <n v="6"/>
    <x v="0"/>
    <n v="1"/>
    <x v="3"/>
  </r>
  <r>
    <s v="ORD00292"/>
    <x v="146"/>
    <s v="CUST874"/>
    <s v="Priya"/>
    <x v="1"/>
    <x v="13"/>
    <x v="1"/>
    <x v="0"/>
    <x v="1"/>
    <x v="5"/>
    <n v="3"/>
    <n v="1419"/>
    <n v="10"/>
    <n v="425.7"/>
    <n v="689.63"/>
    <n v="407"/>
    <n v="4520.93"/>
    <n v="4927.93"/>
    <x v="2"/>
    <x v="1"/>
    <s v="Jaipur"/>
    <x v="2"/>
    <x v="1"/>
    <n v="8"/>
    <x v="0"/>
    <n v="5"/>
    <x v="2"/>
  </r>
  <r>
    <s v="ORD00293"/>
    <x v="196"/>
    <s v="CUST936"/>
    <s v="Arjun"/>
    <x v="1"/>
    <x v="19"/>
    <x v="2"/>
    <x v="1"/>
    <x v="2"/>
    <x v="0"/>
    <n v="4"/>
    <n v="14676"/>
    <n v="5"/>
    <n v="2935.2"/>
    <n v="10038.379999999999"/>
    <n v="318"/>
    <n v="65807.179999999993"/>
    <n v="66125.179999999993"/>
    <x v="2"/>
    <x v="1"/>
    <s v="Lucknow"/>
    <x v="4"/>
    <x v="1"/>
    <n v="10"/>
    <x v="0"/>
    <n v="4"/>
    <x v="0"/>
  </r>
  <r>
    <s v="ORD00294"/>
    <x v="151"/>
    <s v="CUST341"/>
    <s v="Arjun"/>
    <x v="0"/>
    <x v="19"/>
    <x v="2"/>
    <x v="1"/>
    <x v="2"/>
    <x v="9"/>
    <n v="1"/>
    <n v="31678"/>
    <n v="10"/>
    <n v="3167.8"/>
    <n v="5131.84"/>
    <n v="175"/>
    <n v="33642.04"/>
    <n v="33817.040000000001"/>
    <x v="2"/>
    <x v="0"/>
    <s v="Patiala"/>
    <x v="1"/>
    <x v="1"/>
    <n v="2"/>
    <x v="1"/>
    <n v="5"/>
    <x v="3"/>
  </r>
  <r>
    <s v="ORD00295"/>
    <x v="197"/>
    <s v="CUST947"/>
    <s v="Karan"/>
    <x v="1"/>
    <x v="8"/>
    <x v="2"/>
    <x v="1"/>
    <x v="2"/>
    <x v="8"/>
    <n v="4"/>
    <n v="11363"/>
    <n v="10"/>
    <n v="4545.2"/>
    <n v="7363.22"/>
    <n v="249"/>
    <n v="48270.02"/>
    <n v="48519.02"/>
    <x v="0"/>
    <x v="1"/>
    <s v="Lucknow"/>
    <x v="4"/>
    <x v="1"/>
    <n v="9"/>
    <x v="0"/>
    <n v="2"/>
    <x v="1"/>
  </r>
  <r>
    <s v="ORD00296"/>
    <x v="106"/>
    <s v="CUST793"/>
    <s v="Vikas"/>
    <x v="1"/>
    <x v="32"/>
    <x v="2"/>
    <x v="1"/>
    <x v="2"/>
    <x v="8"/>
    <n v="5"/>
    <n v="27019"/>
    <n v="0"/>
    <n v="0"/>
    <n v="24317.1"/>
    <n v="462"/>
    <n v="159412.1"/>
    <n v="159874.1"/>
    <x v="1"/>
    <x v="0"/>
    <s v="Delhi"/>
    <x v="5"/>
    <x v="1"/>
    <n v="6"/>
    <x v="1"/>
    <n v="4"/>
    <x v="1"/>
  </r>
  <r>
    <s v="ORD00297"/>
    <x v="198"/>
    <s v="CUST890"/>
    <s v="Vikas"/>
    <x v="1"/>
    <x v="4"/>
    <x v="1"/>
    <x v="0"/>
    <x v="1"/>
    <x v="2"/>
    <n v="3"/>
    <n v="20219"/>
    <n v="15"/>
    <n v="9098.5499999999993"/>
    <n v="9280.52"/>
    <n v="212"/>
    <n v="60838.97"/>
    <n v="61050.97"/>
    <x v="3"/>
    <x v="1"/>
    <s v="Bangalore"/>
    <x v="3"/>
    <x v="2"/>
    <n v="6"/>
    <x v="0"/>
    <n v="4"/>
    <x v="3"/>
  </r>
  <r>
    <s v="ORD00298"/>
    <x v="110"/>
    <s v="CUST308"/>
    <s v="Anjali"/>
    <x v="1"/>
    <x v="34"/>
    <x v="9"/>
    <x v="0"/>
    <x v="9"/>
    <x v="4"/>
    <n v="4"/>
    <n v="17648"/>
    <n v="20"/>
    <n v="14118.4"/>
    <n v="10165.25"/>
    <n v="6"/>
    <n v="66638.850000000006"/>
    <n v="66644.850000000006"/>
    <x v="2"/>
    <x v="1"/>
    <s v="Jaipur"/>
    <x v="2"/>
    <x v="1"/>
    <n v="3"/>
    <x v="1"/>
    <n v="3"/>
    <x v="3"/>
  </r>
  <r>
    <s v="ORD00299"/>
    <x v="35"/>
    <s v="CUST899"/>
    <s v="Amit"/>
    <x v="0"/>
    <x v="16"/>
    <x v="8"/>
    <x v="0"/>
    <x v="8"/>
    <x v="7"/>
    <n v="5"/>
    <n v="2574"/>
    <n v="10"/>
    <n v="1287"/>
    <n v="2084.94"/>
    <n v="263"/>
    <n v="13667.94"/>
    <n v="13930.94"/>
    <x v="3"/>
    <x v="1"/>
    <s v="Jaipur"/>
    <x v="2"/>
    <x v="1"/>
    <n v="9"/>
    <x v="0"/>
    <n v="5"/>
    <x v="3"/>
  </r>
  <r>
    <s v="ORD00300"/>
    <x v="199"/>
    <s v="CUST637"/>
    <s v="Riya"/>
    <x v="1"/>
    <x v="12"/>
    <x v="7"/>
    <x v="1"/>
    <x v="7"/>
    <x v="8"/>
    <n v="1"/>
    <n v="41491"/>
    <n v="5"/>
    <n v="2074.5500000000002"/>
    <n v="7094.96"/>
    <n v="267"/>
    <n v="46511.41"/>
    <n v="46778.41"/>
    <x v="3"/>
    <x v="0"/>
    <s v="Bangalore"/>
    <x v="3"/>
    <x v="2"/>
    <n v="9"/>
    <x v="1"/>
    <n v="1"/>
    <x v="3"/>
  </r>
  <r>
    <s v="ORD00301"/>
    <x v="25"/>
    <s v="CUST353"/>
    <s v="Vikas"/>
    <x v="0"/>
    <x v="28"/>
    <x v="1"/>
    <x v="0"/>
    <x v="1"/>
    <x v="0"/>
    <n v="1"/>
    <n v="34811"/>
    <n v="0"/>
    <n v="0"/>
    <n v="6265.98"/>
    <n v="256"/>
    <n v="41076.980000000003"/>
    <n v="41332.980000000003"/>
    <x v="1"/>
    <x v="0"/>
    <s v="Patiala"/>
    <x v="1"/>
    <x v="1"/>
    <n v="2"/>
    <x v="1"/>
    <n v="2"/>
    <x v="1"/>
  </r>
  <r>
    <s v="ORD00302"/>
    <x v="200"/>
    <s v="CUST453"/>
    <s v="Arjun"/>
    <x v="1"/>
    <x v="40"/>
    <x v="0"/>
    <x v="0"/>
    <x v="0"/>
    <x v="5"/>
    <n v="2"/>
    <n v="42244"/>
    <n v="10"/>
    <n v="8448.7999999999993"/>
    <n v="13687.06"/>
    <n v="25"/>
    <n v="89726.26"/>
    <n v="89751.26"/>
    <x v="2"/>
    <x v="0"/>
    <s v="Delhi"/>
    <x v="5"/>
    <x v="1"/>
    <n v="8"/>
    <x v="1"/>
    <n v="1"/>
    <x v="1"/>
  </r>
  <r>
    <s v="ORD00303"/>
    <x v="186"/>
    <s v="CUST119"/>
    <s v="Anjali"/>
    <x v="1"/>
    <x v="36"/>
    <x v="4"/>
    <x v="0"/>
    <x v="4"/>
    <x v="5"/>
    <n v="3"/>
    <n v="27252"/>
    <n v="20"/>
    <n v="16351.2"/>
    <n v="11772.86"/>
    <n v="470"/>
    <n v="77177.66"/>
    <n v="77647.66"/>
    <x v="1"/>
    <x v="0"/>
    <s v="Mumbai"/>
    <x v="0"/>
    <x v="0"/>
    <n v="4"/>
    <x v="1"/>
    <n v="4"/>
    <x v="2"/>
  </r>
  <r>
    <s v="ORD00304"/>
    <x v="33"/>
    <s v="CUST144"/>
    <s v="Vikas"/>
    <x v="1"/>
    <x v="5"/>
    <x v="6"/>
    <x v="0"/>
    <x v="6"/>
    <x v="5"/>
    <n v="5"/>
    <n v="33762"/>
    <n v="0"/>
    <n v="0"/>
    <n v="30385.8"/>
    <n v="363"/>
    <n v="199195.8"/>
    <n v="199558.8"/>
    <x v="0"/>
    <x v="1"/>
    <s v="Mumbai"/>
    <x v="0"/>
    <x v="0"/>
    <n v="9"/>
    <x v="0"/>
    <n v="1"/>
    <x v="2"/>
  </r>
  <r>
    <s v="ORD00305"/>
    <x v="201"/>
    <s v="CUST457"/>
    <s v="Anjali"/>
    <x v="1"/>
    <x v="5"/>
    <x v="5"/>
    <x v="0"/>
    <x v="5"/>
    <x v="7"/>
    <n v="2"/>
    <n v="22031"/>
    <n v="0"/>
    <n v="0"/>
    <n v="7931.16"/>
    <n v="84"/>
    <n v="51993.16"/>
    <n v="52077.16"/>
    <x v="0"/>
    <x v="0"/>
    <s v="Bangalore"/>
    <x v="3"/>
    <x v="2"/>
    <n v="1"/>
    <x v="0"/>
    <n v="4"/>
    <x v="1"/>
  </r>
  <r>
    <s v="ORD00306"/>
    <x v="202"/>
    <s v="CUST753"/>
    <s v="Arjun"/>
    <x v="1"/>
    <x v="28"/>
    <x v="2"/>
    <x v="1"/>
    <x v="2"/>
    <x v="7"/>
    <n v="2"/>
    <n v="19288"/>
    <n v="5"/>
    <n v="1928.8"/>
    <n v="6596.5"/>
    <n v="389"/>
    <n v="43243.7"/>
    <n v="43632.7"/>
    <x v="1"/>
    <x v="1"/>
    <s v="Lucknow"/>
    <x v="4"/>
    <x v="1"/>
    <n v="1"/>
    <x v="0"/>
    <n v="2"/>
    <x v="2"/>
  </r>
  <r>
    <s v="ORD00307"/>
    <x v="203"/>
    <s v="CUST705"/>
    <s v="Anjali"/>
    <x v="1"/>
    <x v="39"/>
    <x v="4"/>
    <x v="0"/>
    <x v="4"/>
    <x v="1"/>
    <n v="3"/>
    <n v="4554"/>
    <n v="0"/>
    <n v="0"/>
    <n v="2459.16"/>
    <n v="402"/>
    <n v="16121.16"/>
    <n v="16523.16"/>
    <x v="2"/>
    <x v="0"/>
    <s v="Jaipur"/>
    <x v="2"/>
    <x v="1"/>
    <n v="3"/>
    <x v="0"/>
    <n v="3"/>
    <x v="3"/>
  </r>
  <r>
    <s v="ORD00308"/>
    <x v="174"/>
    <s v="CUST989"/>
    <s v="Sneha"/>
    <x v="0"/>
    <x v="32"/>
    <x v="9"/>
    <x v="0"/>
    <x v="9"/>
    <x v="9"/>
    <n v="1"/>
    <n v="15911"/>
    <n v="0"/>
    <n v="0"/>
    <n v="2863.98"/>
    <n v="246"/>
    <n v="18774.98"/>
    <n v="19020.98"/>
    <x v="3"/>
    <x v="0"/>
    <s v="Delhi"/>
    <x v="5"/>
    <x v="1"/>
    <n v="7"/>
    <x v="1"/>
    <n v="3"/>
    <x v="0"/>
  </r>
  <r>
    <s v="ORD00309"/>
    <x v="24"/>
    <s v="CUST565"/>
    <s v="Neha"/>
    <x v="0"/>
    <x v="19"/>
    <x v="0"/>
    <x v="0"/>
    <x v="0"/>
    <x v="2"/>
    <n v="4"/>
    <n v="43550"/>
    <n v="10"/>
    <n v="17420"/>
    <n v="28220.400000000001"/>
    <n v="291"/>
    <n v="185000.4"/>
    <n v="185291.4"/>
    <x v="2"/>
    <x v="1"/>
    <s v="Delhi"/>
    <x v="5"/>
    <x v="1"/>
    <n v="5"/>
    <x v="0"/>
    <n v="2"/>
    <x v="0"/>
  </r>
  <r>
    <s v="ORD00310"/>
    <x v="143"/>
    <s v="CUST325"/>
    <s v="Priya"/>
    <x v="1"/>
    <x v="23"/>
    <x v="8"/>
    <x v="0"/>
    <x v="8"/>
    <x v="4"/>
    <n v="3"/>
    <n v="22416"/>
    <n v="0"/>
    <n v="0"/>
    <n v="12104.64"/>
    <n v="410"/>
    <n v="79352.639999999999"/>
    <n v="79762.64"/>
    <x v="2"/>
    <x v="0"/>
    <s v="Chandigarh"/>
    <x v="1"/>
    <x v="1"/>
    <n v="9"/>
    <x v="1"/>
    <n v="3"/>
    <x v="1"/>
  </r>
  <r>
    <s v="ORD00311"/>
    <x v="7"/>
    <s v="CUST742"/>
    <s v="Rahul"/>
    <x v="0"/>
    <x v="37"/>
    <x v="2"/>
    <x v="1"/>
    <x v="2"/>
    <x v="9"/>
    <n v="4"/>
    <n v="29172"/>
    <n v="15"/>
    <n v="17503.2"/>
    <n v="17853.259999999998"/>
    <n v="97"/>
    <n v="117038.06"/>
    <n v="117135.06"/>
    <x v="2"/>
    <x v="1"/>
    <s v="Pune"/>
    <x v="0"/>
    <x v="0"/>
    <n v="4"/>
    <x v="1"/>
    <n v="2"/>
    <x v="3"/>
  </r>
  <r>
    <s v="ORD00312"/>
    <x v="9"/>
    <s v="CUST795"/>
    <s v="Amit"/>
    <x v="0"/>
    <x v="0"/>
    <x v="8"/>
    <x v="0"/>
    <x v="8"/>
    <x v="0"/>
    <n v="5"/>
    <n v="44748"/>
    <n v="15"/>
    <n v="33561"/>
    <n v="34232.22"/>
    <n v="34"/>
    <n v="224411.22"/>
    <n v="224445.22"/>
    <x v="1"/>
    <x v="1"/>
    <s v="Mumbai"/>
    <x v="0"/>
    <x v="0"/>
    <n v="1"/>
    <x v="0"/>
    <n v="2"/>
    <x v="3"/>
  </r>
  <r>
    <s v="ORD00313"/>
    <x v="204"/>
    <s v="CUST970"/>
    <s v="Anjali"/>
    <x v="1"/>
    <x v="5"/>
    <x v="7"/>
    <x v="1"/>
    <x v="7"/>
    <x v="2"/>
    <n v="5"/>
    <n v="23381"/>
    <n v="5"/>
    <n v="5845.25"/>
    <n v="19990.759999999998"/>
    <n v="214"/>
    <n v="131050.51000000001"/>
    <n v="131264.51"/>
    <x v="2"/>
    <x v="0"/>
    <s v="Jaipur"/>
    <x v="2"/>
    <x v="1"/>
    <n v="3"/>
    <x v="1"/>
    <n v="4"/>
    <x v="2"/>
  </r>
  <r>
    <s v="ORD00314"/>
    <x v="137"/>
    <s v="CUST184"/>
    <s v="Amit"/>
    <x v="0"/>
    <x v="21"/>
    <x v="2"/>
    <x v="1"/>
    <x v="2"/>
    <x v="5"/>
    <n v="3"/>
    <n v="21630"/>
    <n v="15"/>
    <n v="9733.5"/>
    <n v="9928.17"/>
    <n v="379"/>
    <n v="65084.67"/>
    <n v="65463.67"/>
    <x v="2"/>
    <x v="1"/>
    <s v="Pune"/>
    <x v="0"/>
    <x v="0"/>
    <n v="3"/>
    <x v="1"/>
    <n v="2"/>
    <x v="3"/>
  </r>
  <r>
    <s v="ORD00315"/>
    <x v="23"/>
    <s v="CUST894"/>
    <s v="Arjun"/>
    <x v="1"/>
    <x v="32"/>
    <x v="5"/>
    <x v="0"/>
    <x v="5"/>
    <x v="9"/>
    <n v="2"/>
    <n v="41791"/>
    <n v="20"/>
    <n v="16716.400000000001"/>
    <n v="12035.81"/>
    <n v="371"/>
    <n v="78901.41"/>
    <n v="79272.41"/>
    <x v="1"/>
    <x v="0"/>
    <s v="Chandigarh"/>
    <x v="1"/>
    <x v="1"/>
    <n v="7"/>
    <x v="1"/>
    <n v="2"/>
    <x v="1"/>
  </r>
  <r>
    <s v="ORD00316"/>
    <x v="205"/>
    <s v="CUST663"/>
    <s v="Anjali"/>
    <x v="1"/>
    <x v="32"/>
    <x v="5"/>
    <x v="0"/>
    <x v="5"/>
    <x v="8"/>
    <n v="2"/>
    <n v="5799"/>
    <n v="5"/>
    <n v="579.9"/>
    <n v="1983.26"/>
    <n v="221"/>
    <n v="13001.36"/>
    <n v="13222.36"/>
    <x v="2"/>
    <x v="0"/>
    <s v="Chandigarh"/>
    <x v="1"/>
    <x v="1"/>
    <n v="5"/>
    <x v="0"/>
    <n v="1"/>
    <x v="1"/>
  </r>
  <r>
    <s v="ORD00317"/>
    <x v="47"/>
    <s v="CUST510"/>
    <s v="Priya"/>
    <x v="0"/>
    <x v="33"/>
    <x v="2"/>
    <x v="1"/>
    <x v="2"/>
    <x v="8"/>
    <n v="2"/>
    <n v="23634"/>
    <n v="5"/>
    <n v="2363.4"/>
    <n v="8082.83"/>
    <n v="450"/>
    <n v="52987.43"/>
    <n v="53437.43"/>
    <x v="2"/>
    <x v="1"/>
    <s v="Bangalore"/>
    <x v="3"/>
    <x v="2"/>
    <n v="9"/>
    <x v="1"/>
    <n v="2"/>
    <x v="1"/>
  </r>
  <r>
    <s v="ORD00318"/>
    <x v="204"/>
    <s v="CUST358"/>
    <s v="Amit"/>
    <x v="1"/>
    <x v="12"/>
    <x v="9"/>
    <x v="0"/>
    <x v="9"/>
    <x v="5"/>
    <n v="3"/>
    <n v="21565"/>
    <n v="15"/>
    <n v="9704.25"/>
    <n v="9898.33"/>
    <n v="46"/>
    <n v="64889.08"/>
    <n v="64935.08"/>
    <x v="3"/>
    <x v="0"/>
    <s v="Bangalore"/>
    <x v="3"/>
    <x v="2"/>
    <n v="10"/>
    <x v="0"/>
    <n v="2"/>
    <x v="0"/>
  </r>
  <r>
    <s v="ORD00319"/>
    <x v="104"/>
    <s v="CUST603"/>
    <s v="Anjali"/>
    <x v="0"/>
    <x v="34"/>
    <x v="0"/>
    <x v="0"/>
    <x v="0"/>
    <x v="0"/>
    <n v="5"/>
    <n v="41024"/>
    <n v="20"/>
    <n v="41024"/>
    <n v="29537.279999999999"/>
    <n v="262"/>
    <n v="193633.28"/>
    <n v="193895.28"/>
    <x v="0"/>
    <x v="1"/>
    <s v="Bangalore"/>
    <x v="3"/>
    <x v="2"/>
    <n v="5"/>
    <x v="1"/>
    <n v="4"/>
    <x v="3"/>
  </r>
  <r>
    <s v="ORD00320"/>
    <x v="27"/>
    <s v="CUST234"/>
    <s v="Arjun"/>
    <x v="1"/>
    <x v="26"/>
    <x v="8"/>
    <x v="0"/>
    <x v="8"/>
    <x v="0"/>
    <n v="2"/>
    <n v="49704"/>
    <n v="20"/>
    <n v="19881.599999999999"/>
    <n v="14314.75"/>
    <n v="174"/>
    <n v="93841.15"/>
    <n v="94015.15"/>
    <x v="1"/>
    <x v="0"/>
    <s v="Bangalore"/>
    <x v="3"/>
    <x v="2"/>
    <n v="8"/>
    <x v="1"/>
    <n v="3"/>
    <x v="3"/>
  </r>
  <r>
    <s v="ORD00321"/>
    <x v="206"/>
    <s v="CUST370"/>
    <s v="Anjali"/>
    <x v="0"/>
    <x v="41"/>
    <x v="4"/>
    <x v="0"/>
    <x v="4"/>
    <x v="7"/>
    <n v="1"/>
    <n v="7179"/>
    <n v="15"/>
    <n v="1076.8499999999999"/>
    <n v="1098.3900000000001"/>
    <n v="459"/>
    <n v="7200.54"/>
    <n v="7659.54"/>
    <x v="0"/>
    <x v="0"/>
    <s v="Mumbai"/>
    <x v="0"/>
    <x v="0"/>
    <n v="7"/>
    <x v="0"/>
    <n v="5"/>
    <x v="3"/>
  </r>
  <r>
    <s v="ORD00322"/>
    <x v="207"/>
    <s v="CUST720"/>
    <s v="Priya"/>
    <x v="1"/>
    <x v="14"/>
    <x v="5"/>
    <x v="0"/>
    <x v="5"/>
    <x v="1"/>
    <n v="1"/>
    <n v="48043"/>
    <n v="5"/>
    <n v="2402.15"/>
    <n v="8215.35"/>
    <n v="151"/>
    <n v="53856.2"/>
    <n v="54007.199999999997"/>
    <x v="2"/>
    <x v="1"/>
    <s v="Lucknow"/>
    <x v="4"/>
    <x v="1"/>
    <n v="3"/>
    <x v="0"/>
    <n v="3"/>
    <x v="3"/>
  </r>
  <r>
    <s v="ORD00323"/>
    <x v="48"/>
    <s v="CUST508"/>
    <s v="Arjun"/>
    <x v="1"/>
    <x v="34"/>
    <x v="2"/>
    <x v="1"/>
    <x v="2"/>
    <x v="8"/>
    <n v="5"/>
    <n v="49415"/>
    <n v="0"/>
    <n v="0"/>
    <n v="44473.5"/>
    <n v="97"/>
    <n v="291548.5"/>
    <n v="291645.5"/>
    <x v="3"/>
    <x v="0"/>
    <s v="Patiala"/>
    <x v="1"/>
    <x v="1"/>
    <n v="3"/>
    <x v="1"/>
    <n v="2"/>
    <x v="2"/>
  </r>
  <r>
    <s v="ORD00324"/>
    <x v="208"/>
    <s v="CUST943"/>
    <s v="Vikas"/>
    <x v="1"/>
    <x v="36"/>
    <x v="6"/>
    <x v="0"/>
    <x v="6"/>
    <x v="9"/>
    <n v="3"/>
    <n v="19786"/>
    <n v="10"/>
    <n v="5935.8"/>
    <n v="9616"/>
    <n v="78"/>
    <n v="63038.2"/>
    <n v="63116.2"/>
    <x v="0"/>
    <x v="0"/>
    <s v="Mumbai"/>
    <x v="0"/>
    <x v="0"/>
    <n v="1"/>
    <x v="0"/>
    <n v="4"/>
    <x v="0"/>
  </r>
  <r>
    <s v="ORD00325"/>
    <x v="12"/>
    <s v="CUST323"/>
    <s v="Karan"/>
    <x v="0"/>
    <x v="33"/>
    <x v="1"/>
    <x v="0"/>
    <x v="1"/>
    <x v="1"/>
    <n v="5"/>
    <n v="30964"/>
    <n v="20"/>
    <n v="30964"/>
    <n v="22294.080000000002"/>
    <n v="420"/>
    <n v="146150.07999999999"/>
    <n v="146570.07999999999"/>
    <x v="0"/>
    <x v="0"/>
    <s v="Chandigarh"/>
    <x v="1"/>
    <x v="1"/>
    <n v="7"/>
    <x v="0"/>
    <n v="4"/>
    <x v="1"/>
  </r>
  <r>
    <s v="ORD00326"/>
    <x v="193"/>
    <s v="CUST846"/>
    <s v="Karan"/>
    <x v="0"/>
    <x v="9"/>
    <x v="0"/>
    <x v="0"/>
    <x v="0"/>
    <x v="6"/>
    <n v="4"/>
    <n v="49969"/>
    <n v="5"/>
    <n v="9993.7999999999993"/>
    <n v="34178.800000000003"/>
    <n v="218"/>
    <n v="224061"/>
    <n v="224279"/>
    <x v="3"/>
    <x v="0"/>
    <s v="Pune"/>
    <x v="0"/>
    <x v="0"/>
    <n v="9"/>
    <x v="1"/>
    <n v="1"/>
    <x v="0"/>
  </r>
  <r>
    <s v="ORD00327"/>
    <x v="141"/>
    <s v="CUST186"/>
    <s v="Neha"/>
    <x v="1"/>
    <x v="30"/>
    <x v="7"/>
    <x v="1"/>
    <x v="7"/>
    <x v="0"/>
    <n v="2"/>
    <n v="42028"/>
    <n v="15"/>
    <n v="12608.4"/>
    <n v="12860.57"/>
    <n v="190"/>
    <n v="84308.17"/>
    <n v="84498.17"/>
    <x v="2"/>
    <x v="0"/>
    <s v="Chandigarh"/>
    <x v="1"/>
    <x v="1"/>
    <n v="7"/>
    <x v="1"/>
    <n v="2"/>
    <x v="2"/>
  </r>
  <r>
    <s v="ORD00328"/>
    <x v="114"/>
    <s v="CUST337"/>
    <s v="Rahul"/>
    <x v="0"/>
    <x v="22"/>
    <x v="0"/>
    <x v="0"/>
    <x v="0"/>
    <x v="6"/>
    <n v="3"/>
    <n v="40430"/>
    <n v="20"/>
    <n v="24258"/>
    <n v="17465.759999999998"/>
    <n v="15"/>
    <n v="114497.76"/>
    <n v="114512.76"/>
    <x v="0"/>
    <x v="0"/>
    <s v="Bangalore"/>
    <x v="3"/>
    <x v="2"/>
    <n v="6"/>
    <x v="0"/>
    <n v="4"/>
    <x v="3"/>
  </r>
  <r>
    <s v="ORD00329"/>
    <x v="165"/>
    <s v="CUST203"/>
    <s v="Priya"/>
    <x v="0"/>
    <x v="23"/>
    <x v="1"/>
    <x v="0"/>
    <x v="1"/>
    <x v="8"/>
    <n v="5"/>
    <n v="34114"/>
    <n v="0"/>
    <n v="0"/>
    <n v="30702.6"/>
    <n v="3"/>
    <n v="201272.6"/>
    <n v="201275.6"/>
    <x v="1"/>
    <x v="1"/>
    <s v="Bangalore"/>
    <x v="3"/>
    <x v="2"/>
    <n v="7"/>
    <x v="1"/>
    <n v="1"/>
    <x v="1"/>
  </r>
  <r>
    <s v="ORD00330"/>
    <x v="209"/>
    <s v="CUST372"/>
    <s v="Sneha"/>
    <x v="1"/>
    <x v="31"/>
    <x v="3"/>
    <x v="2"/>
    <x v="3"/>
    <x v="4"/>
    <n v="2"/>
    <n v="23052"/>
    <n v="20"/>
    <n v="9220.7999999999993"/>
    <n v="6638.98"/>
    <n v="141"/>
    <n v="43522.18"/>
    <n v="43663.18"/>
    <x v="2"/>
    <x v="0"/>
    <s v="Mumbai"/>
    <x v="0"/>
    <x v="0"/>
    <n v="2"/>
    <x v="0"/>
    <n v="4"/>
    <x v="0"/>
  </r>
  <r>
    <s v="ORD00331"/>
    <x v="116"/>
    <s v="CUST444"/>
    <s v="Neha"/>
    <x v="1"/>
    <x v="18"/>
    <x v="6"/>
    <x v="0"/>
    <x v="6"/>
    <x v="2"/>
    <n v="5"/>
    <n v="26141"/>
    <n v="0"/>
    <n v="0"/>
    <n v="23526.9"/>
    <n v="51"/>
    <n v="154231.9"/>
    <n v="154282.9"/>
    <x v="3"/>
    <x v="1"/>
    <s v="Delhi"/>
    <x v="5"/>
    <x v="1"/>
    <n v="10"/>
    <x v="0"/>
    <n v="1"/>
    <x v="0"/>
  </r>
  <r>
    <s v="ORD00332"/>
    <x v="171"/>
    <s v="CUST455"/>
    <s v="Riya"/>
    <x v="1"/>
    <x v="37"/>
    <x v="5"/>
    <x v="0"/>
    <x v="5"/>
    <x v="0"/>
    <n v="3"/>
    <n v="3051"/>
    <n v="15"/>
    <n v="1372.95"/>
    <n v="1400.41"/>
    <n v="107"/>
    <n v="9180.4599999999991"/>
    <n v="9287.4599999999991"/>
    <x v="1"/>
    <x v="1"/>
    <s v="Lucknow"/>
    <x v="4"/>
    <x v="1"/>
    <n v="7"/>
    <x v="0"/>
    <n v="5"/>
    <x v="3"/>
  </r>
  <r>
    <s v="ORD00333"/>
    <x v="138"/>
    <s v="CUST278"/>
    <s v="Rahul"/>
    <x v="0"/>
    <x v="29"/>
    <x v="6"/>
    <x v="0"/>
    <x v="6"/>
    <x v="0"/>
    <n v="1"/>
    <n v="48655"/>
    <n v="0"/>
    <n v="0"/>
    <n v="8757.9"/>
    <n v="391"/>
    <n v="57412.9"/>
    <n v="57803.9"/>
    <x v="3"/>
    <x v="1"/>
    <s v="Patiala"/>
    <x v="1"/>
    <x v="1"/>
    <n v="1"/>
    <x v="0"/>
    <n v="3"/>
    <x v="2"/>
  </r>
  <r>
    <s v="ORD00334"/>
    <x v="98"/>
    <s v="CUST520"/>
    <s v="Riya"/>
    <x v="0"/>
    <x v="24"/>
    <x v="5"/>
    <x v="0"/>
    <x v="5"/>
    <x v="8"/>
    <n v="4"/>
    <n v="1414"/>
    <n v="20"/>
    <n v="1131.2"/>
    <n v="814.46"/>
    <n v="128"/>
    <n v="5339.26"/>
    <n v="5467.26"/>
    <x v="2"/>
    <x v="0"/>
    <s v="Pune"/>
    <x v="0"/>
    <x v="0"/>
    <n v="10"/>
    <x v="0"/>
    <n v="3"/>
    <x v="1"/>
  </r>
  <r>
    <s v="ORD00335"/>
    <x v="210"/>
    <s v="CUST678"/>
    <s v="Arjun"/>
    <x v="0"/>
    <x v="27"/>
    <x v="1"/>
    <x v="0"/>
    <x v="1"/>
    <x v="2"/>
    <n v="2"/>
    <n v="48474"/>
    <n v="10"/>
    <n v="9694.7999999999993"/>
    <n v="15705.58"/>
    <n v="419"/>
    <n v="102958.78"/>
    <n v="103377.78"/>
    <x v="1"/>
    <x v="1"/>
    <s v="Bangalore"/>
    <x v="3"/>
    <x v="2"/>
    <n v="6"/>
    <x v="1"/>
    <n v="3"/>
    <x v="0"/>
  </r>
  <r>
    <s v="ORD00336"/>
    <x v="211"/>
    <s v="CUST631"/>
    <s v="Sneha"/>
    <x v="0"/>
    <x v="23"/>
    <x v="6"/>
    <x v="0"/>
    <x v="6"/>
    <x v="2"/>
    <n v="2"/>
    <n v="4505"/>
    <n v="15"/>
    <n v="1351.5"/>
    <n v="1378.53"/>
    <n v="135"/>
    <n v="9037.0300000000007"/>
    <n v="9172.0300000000007"/>
    <x v="1"/>
    <x v="1"/>
    <s v="Chandigarh"/>
    <x v="1"/>
    <x v="1"/>
    <n v="8"/>
    <x v="0"/>
    <n v="1"/>
    <x v="1"/>
  </r>
  <r>
    <s v="ORD00337"/>
    <x v="160"/>
    <s v="CUST976"/>
    <s v="Neha"/>
    <x v="1"/>
    <x v="0"/>
    <x v="5"/>
    <x v="0"/>
    <x v="5"/>
    <x v="0"/>
    <n v="2"/>
    <n v="24276"/>
    <n v="0"/>
    <n v="0"/>
    <n v="8739.36"/>
    <n v="242"/>
    <n v="57291.360000000001"/>
    <n v="57533.36"/>
    <x v="3"/>
    <x v="0"/>
    <s v="Mumbai"/>
    <x v="0"/>
    <x v="0"/>
    <n v="5"/>
    <x v="1"/>
    <n v="3"/>
    <x v="3"/>
  </r>
  <r>
    <s v="ORD00338"/>
    <x v="58"/>
    <s v="CUST579"/>
    <s v="Karan"/>
    <x v="1"/>
    <x v="23"/>
    <x v="2"/>
    <x v="1"/>
    <x v="2"/>
    <x v="0"/>
    <n v="3"/>
    <n v="2724"/>
    <n v="15"/>
    <n v="1225.8"/>
    <n v="1250.32"/>
    <n v="21"/>
    <n v="8196.52"/>
    <n v="8217.52"/>
    <x v="1"/>
    <x v="0"/>
    <s v="Bangalore"/>
    <x v="3"/>
    <x v="2"/>
    <n v="2"/>
    <x v="1"/>
    <n v="2"/>
    <x v="0"/>
  </r>
  <r>
    <s v="ORD00339"/>
    <x v="20"/>
    <s v="CUST712"/>
    <s v="Vikas"/>
    <x v="0"/>
    <x v="15"/>
    <x v="0"/>
    <x v="0"/>
    <x v="0"/>
    <x v="7"/>
    <n v="4"/>
    <n v="37327"/>
    <n v="15"/>
    <n v="22396.2"/>
    <n v="22844.12"/>
    <n v="36"/>
    <n v="149755.92000000001"/>
    <n v="149791.92000000001"/>
    <x v="3"/>
    <x v="1"/>
    <s v="Lucknow"/>
    <x v="4"/>
    <x v="1"/>
    <n v="10"/>
    <x v="0"/>
    <n v="4"/>
    <x v="1"/>
  </r>
  <r>
    <s v="ORD00340"/>
    <x v="155"/>
    <s v="CUST421"/>
    <s v="Anjali"/>
    <x v="0"/>
    <x v="6"/>
    <x v="5"/>
    <x v="0"/>
    <x v="5"/>
    <x v="6"/>
    <n v="5"/>
    <n v="26465"/>
    <n v="5"/>
    <n v="6616.25"/>
    <n v="22627.58"/>
    <n v="473"/>
    <n v="148336.32999999999"/>
    <n v="148809.32999999999"/>
    <x v="0"/>
    <x v="1"/>
    <s v="Mumbai"/>
    <x v="0"/>
    <x v="0"/>
    <n v="1"/>
    <x v="0"/>
    <n v="5"/>
    <x v="2"/>
  </r>
  <r>
    <s v="ORD00341"/>
    <x v="200"/>
    <s v="CUST272"/>
    <s v="Arjun"/>
    <x v="1"/>
    <x v="26"/>
    <x v="3"/>
    <x v="2"/>
    <x v="3"/>
    <x v="3"/>
    <n v="2"/>
    <n v="27129"/>
    <n v="15"/>
    <n v="8138.7"/>
    <n v="8301.4699999999993"/>
    <n v="47"/>
    <n v="54420.77"/>
    <n v="54467.77"/>
    <x v="3"/>
    <x v="0"/>
    <s v="Lucknow"/>
    <x v="4"/>
    <x v="1"/>
    <n v="3"/>
    <x v="0"/>
    <n v="4"/>
    <x v="2"/>
  </r>
  <r>
    <s v="ORD00342"/>
    <x v="212"/>
    <s v="CUST610"/>
    <s v="Riya"/>
    <x v="1"/>
    <x v="21"/>
    <x v="8"/>
    <x v="0"/>
    <x v="8"/>
    <x v="3"/>
    <n v="2"/>
    <n v="37005"/>
    <n v="0"/>
    <n v="0"/>
    <n v="13321.8"/>
    <n v="458"/>
    <n v="87331.8"/>
    <n v="87789.8"/>
    <x v="0"/>
    <x v="0"/>
    <s v="Mumbai"/>
    <x v="0"/>
    <x v="0"/>
    <n v="8"/>
    <x v="1"/>
    <n v="4"/>
    <x v="1"/>
  </r>
  <r>
    <s v="ORD00343"/>
    <x v="213"/>
    <s v="CUST455"/>
    <s v="Priya"/>
    <x v="0"/>
    <x v="15"/>
    <x v="0"/>
    <x v="0"/>
    <x v="0"/>
    <x v="4"/>
    <n v="1"/>
    <n v="42523"/>
    <n v="10"/>
    <n v="4252.3"/>
    <n v="6888.73"/>
    <n v="150"/>
    <n v="45159.43"/>
    <n v="45309.43"/>
    <x v="0"/>
    <x v="0"/>
    <s v="Jaipur"/>
    <x v="2"/>
    <x v="1"/>
    <n v="9"/>
    <x v="1"/>
    <n v="2"/>
    <x v="2"/>
  </r>
  <r>
    <s v="ORD00344"/>
    <x v="214"/>
    <s v="CUST221"/>
    <s v="Rahul"/>
    <x v="1"/>
    <x v="1"/>
    <x v="1"/>
    <x v="0"/>
    <x v="1"/>
    <x v="2"/>
    <n v="4"/>
    <n v="20804"/>
    <n v="0"/>
    <n v="0"/>
    <n v="14978.88"/>
    <n v="308"/>
    <n v="98194.880000000005"/>
    <n v="98502.88"/>
    <x v="2"/>
    <x v="0"/>
    <s v="Patiala"/>
    <x v="1"/>
    <x v="1"/>
    <n v="4"/>
    <x v="0"/>
    <n v="1"/>
    <x v="1"/>
  </r>
  <r>
    <s v="ORD00345"/>
    <x v="215"/>
    <s v="CUST568"/>
    <s v="Sneha"/>
    <x v="1"/>
    <x v="6"/>
    <x v="5"/>
    <x v="0"/>
    <x v="5"/>
    <x v="1"/>
    <n v="1"/>
    <n v="15992"/>
    <n v="5"/>
    <n v="799.6"/>
    <n v="2734.63"/>
    <n v="229"/>
    <n v="17927.03"/>
    <n v="18156.03"/>
    <x v="3"/>
    <x v="1"/>
    <s v="Pune"/>
    <x v="0"/>
    <x v="0"/>
    <n v="9"/>
    <x v="0"/>
    <n v="5"/>
    <x v="2"/>
  </r>
  <r>
    <s v="ORD00346"/>
    <x v="216"/>
    <s v="CUST666"/>
    <s v="Karan"/>
    <x v="1"/>
    <x v="10"/>
    <x v="2"/>
    <x v="1"/>
    <x v="2"/>
    <x v="1"/>
    <n v="5"/>
    <n v="11797"/>
    <n v="0"/>
    <n v="0"/>
    <n v="10617.3"/>
    <n v="45"/>
    <n v="69602.3"/>
    <n v="69647.3"/>
    <x v="2"/>
    <x v="1"/>
    <s v="Mumbai"/>
    <x v="0"/>
    <x v="0"/>
    <n v="3"/>
    <x v="0"/>
    <n v="4"/>
    <x v="0"/>
  </r>
  <r>
    <s v="ORD00347"/>
    <x v="217"/>
    <s v="CUST269"/>
    <s v="Riya"/>
    <x v="1"/>
    <x v="29"/>
    <x v="3"/>
    <x v="2"/>
    <x v="3"/>
    <x v="9"/>
    <n v="1"/>
    <n v="46166"/>
    <n v="15"/>
    <n v="6924.9"/>
    <n v="7063.4"/>
    <n v="461"/>
    <n v="46304.5"/>
    <n v="46765.5"/>
    <x v="2"/>
    <x v="0"/>
    <s v="Pune"/>
    <x v="0"/>
    <x v="0"/>
    <n v="10"/>
    <x v="1"/>
    <n v="5"/>
    <x v="1"/>
  </r>
  <r>
    <s v="ORD00348"/>
    <x v="210"/>
    <s v="CUST911"/>
    <s v="Arjun"/>
    <x v="0"/>
    <x v="26"/>
    <x v="5"/>
    <x v="0"/>
    <x v="5"/>
    <x v="1"/>
    <n v="1"/>
    <n v="36991"/>
    <n v="10"/>
    <n v="3699.1"/>
    <n v="5992.54"/>
    <n v="357"/>
    <n v="39284.44"/>
    <n v="39641.440000000002"/>
    <x v="2"/>
    <x v="1"/>
    <s v="Delhi"/>
    <x v="5"/>
    <x v="1"/>
    <n v="1"/>
    <x v="0"/>
    <n v="3"/>
    <x v="0"/>
  </r>
  <r>
    <s v="ORD00349"/>
    <x v="154"/>
    <s v="CUST860"/>
    <s v="Sneha"/>
    <x v="0"/>
    <x v="18"/>
    <x v="2"/>
    <x v="1"/>
    <x v="2"/>
    <x v="8"/>
    <n v="4"/>
    <n v="28780"/>
    <n v="15"/>
    <n v="17268"/>
    <n v="17613.36"/>
    <n v="127"/>
    <n v="115465.36"/>
    <n v="115592.36"/>
    <x v="3"/>
    <x v="1"/>
    <s v="Patiala"/>
    <x v="1"/>
    <x v="1"/>
    <n v="6"/>
    <x v="1"/>
    <n v="3"/>
    <x v="0"/>
  </r>
  <r>
    <s v="ORD00350"/>
    <x v="10"/>
    <s v="CUST936"/>
    <s v="Arjun"/>
    <x v="0"/>
    <x v="16"/>
    <x v="6"/>
    <x v="0"/>
    <x v="6"/>
    <x v="4"/>
    <n v="4"/>
    <n v="18388"/>
    <n v="20"/>
    <n v="14710.4"/>
    <n v="10591.49"/>
    <n v="469"/>
    <n v="69433.09"/>
    <n v="69902.09"/>
    <x v="3"/>
    <x v="1"/>
    <s v="Mumbai"/>
    <x v="0"/>
    <x v="0"/>
    <n v="4"/>
    <x v="1"/>
    <n v="4"/>
    <x v="3"/>
  </r>
  <r>
    <s v="ORD00351"/>
    <x v="85"/>
    <s v="CUST213"/>
    <s v="Riya"/>
    <x v="1"/>
    <x v="28"/>
    <x v="1"/>
    <x v="0"/>
    <x v="1"/>
    <x v="1"/>
    <n v="4"/>
    <n v="31950"/>
    <n v="0"/>
    <n v="0"/>
    <n v="23004"/>
    <n v="50"/>
    <n v="150804"/>
    <n v="150854"/>
    <x v="3"/>
    <x v="0"/>
    <s v="Mumbai"/>
    <x v="0"/>
    <x v="0"/>
    <n v="6"/>
    <x v="0"/>
    <n v="4"/>
    <x v="2"/>
  </r>
  <r>
    <s v="ORD00352"/>
    <x v="218"/>
    <s v="CUST200"/>
    <s v="Riya"/>
    <x v="0"/>
    <x v="41"/>
    <x v="1"/>
    <x v="0"/>
    <x v="1"/>
    <x v="4"/>
    <n v="1"/>
    <n v="35608"/>
    <n v="20"/>
    <n v="7121.6"/>
    <n v="5127.55"/>
    <n v="412"/>
    <n v="33613.949999999997"/>
    <n v="34025.949999999997"/>
    <x v="3"/>
    <x v="1"/>
    <s v="Patiala"/>
    <x v="1"/>
    <x v="1"/>
    <n v="10"/>
    <x v="1"/>
    <n v="2"/>
    <x v="3"/>
  </r>
  <r>
    <s v="ORD00353"/>
    <x v="111"/>
    <s v="CUST380"/>
    <s v="Neha"/>
    <x v="0"/>
    <x v="17"/>
    <x v="0"/>
    <x v="0"/>
    <x v="0"/>
    <x v="5"/>
    <n v="5"/>
    <n v="23093"/>
    <n v="0"/>
    <n v="0"/>
    <n v="20783.7"/>
    <n v="59"/>
    <n v="136248.70000000001"/>
    <n v="136307.70000000001"/>
    <x v="1"/>
    <x v="1"/>
    <s v="Jaipur"/>
    <x v="2"/>
    <x v="1"/>
    <n v="6"/>
    <x v="0"/>
    <n v="2"/>
    <x v="2"/>
  </r>
  <r>
    <s v="ORD00354"/>
    <x v="219"/>
    <s v="CUST509"/>
    <s v="Neha"/>
    <x v="1"/>
    <x v="16"/>
    <x v="5"/>
    <x v="0"/>
    <x v="5"/>
    <x v="5"/>
    <n v="4"/>
    <n v="27882"/>
    <n v="10"/>
    <n v="11152.8"/>
    <n v="18067.54"/>
    <n v="288"/>
    <n v="118442.74"/>
    <n v="118730.74"/>
    <x v="0"/>
    <x v="1"/>
    <s v="Mumbai"/>
    <x v="0"/>
    <x v="0"/>
    <n v="7"/>
    <x v="1"/>
    <n v="1"/>
    <x v="1"/>
  </r>
  <r>
    <s v="ORD00355"/>
    <x v="131"/>
    <s v="CUST408"/>
    <s v="Priya"/>
    <x v="1"/>
    <x v="38"/>
    <x v="8"/>
    <x v="0"/>
    <x v="8"/>
    <x v="8"/>
    <n v="2"/>
    <n v="44930"/>
    <n v="10"/>
    <n v="8986"/>
    <n v="14557.32"/>
    <n v="262"/>
    <n v="95431.32"/>
    <n v="95693.32"/>
    <x v="2"/>
    <x v="0"/>
    <s v="Pune"/>
    <x v="0"/>
    <x v="0"/>
    <n v="4"/>
    <x v="0"/>
    <n v="1"/>
    <x v="3"/>
  </r>
  <r>
    <s v="ORD00356"/>
    <x v="220"/>
    <s v="CUST923"/>
    <s v="Neha"/>
    <x v="1"/>
    <x v="12"/>
    <x v="9"/>
    <x v="0"/>
    <x v="9"/>
    <x v="1"/>
    <n v="2"/>
    <n v="32991"/>
    <n v="5"/>
    <n v="3299.1"/>
    <n v="11282.92"/>
    <n v="307"/>
    <n v="73965.820000000007"/>
    <n v="74272.820000000007"/>
    <x v="2"/>
    <x v="1"/>
    <s v="Mumbai"/>
    <x v="0"/>
    <x v="0"/>
    <n v="6"/>
    <x v="1"/>
    <n v="4"/>
    <x v="1"/>
  </r>
  <r>
    <s v="ORD00357"/>
    <x v="221"/>
    <s v="CUST813"/>
    <s v="Anjali"/>
    <x v="1"/>
    <x v="39"/>
    <x v="1"/>
    <x v="0"/>
    <x v="1"/>
    <x v="3"/>
    <n v="5"/>
    <n v="45961"/>
    <n v="15"/>
    <n v="34470.75"/>
    <n v="35160.17"/>
    <n v="329"/>
    <n v="230494.42"/>
    <n v="230823.42"/>
    <x v="2"/>
    <x v="0"/>
    <s v="Bangalore"/>
    <x v="3"/>
    <x v="2"/>
    <n v="10"/>
    <x v="1"/>
    <n v="1"/>
    <x v="2"/>
  </r>
  <r>
    <s v="ORD00358"/>
    <x v="103"/>
    <s v="CUST792"/>
    <s v="Rahul"/>
    <x v="1"/>
    <x v="0"/>
    <x v="5"/>
    <x v="0"/>
    <x v="5"/>
    <x v="3"/>
    <n v="1"/>
    <n v="31904"/>
    <n v="5"/>
    <n v="1595.2"/>
    <n v="5455.58"/>
    <n v="374"/>
    <n v="35764.379999999997"/>
    <n v="36138.379999999997"/>
    <x v="2"/>
    <x v="1"/>
    <s v="Bangalore"/>
    <x v="3"/>
    <x v="2"/>
    <n v="6"/>
    <x v="1"/>
    <n v="3"/>
    <x v="1"/>
  </r>
  <r>
    <s v="ORD00359"/>
    <x v="222"/>
    <s v="CUST810"/>
    <s v="Anjali"/>
    <x v="1"/>
    <x v="40"/>
    <x v="8"/>
    <x v="0"/>
    <x v="8"/>
    <x v="7"/>
    <n v="1"/>
    <n v="33120"/>
    <n v="0"/>
    <n v="0"/>
    <n v="5961.6"/>
    <n v="154"/>
    <n v="39081.599999999999"/>
    <n v="39235.599999999999"/>
    <x v="3"/>
    <x v="1"/>
    <s v="Bangalore"/>
    <x v="3"/>
    <x v="2"/>
    <n v="2"/>
    <x v="1"/>
    <n v="4"/>
    <x v="2"/>
  </r>
  <r>
    <s v="ORD00360"/>
    <x v="106"/>
    <s v="CUST364"/>
    <s v="Priya"/>
    <x v="1"/>
    <x v="25"/>
    <x v="1"/>
    <x v="0"/>
    <x v="1"/>
    <x v="4"/>
    <n v="2"/>
    <n v="39261"/>
    <n v="0"/>
    <n v="0"/>
    <n v="14133.96"/>
    <n v="437"/>
    <n v="92655.96"/>
    <n v="93092.96"/>
    <x v="2"/>
    <x v="1"/>
    <s v="Bangalore"/>
    <x v="3"/>
    <x v="2"/>
    <n v="8"/>
    <x v="1"/>
    <n v="1"/>
    <x v="1"/>
  </r>
  <r>
    <s v="ORD00361"/>
    <x v="144"/>
    <s v="CUST474"/>
    <s v="Amit"/>
    <x v="1"/>
    <x v="17"/>
    <x v="3"/>
    <x v="2"/>
    <x v="3"/>
    <x v="1"/>
    <n v="4"/>
    <n v="20027"/>
    <n v="10"/>
    <n v="8010.8"/>
    <n v="12977.5"/>
    <n v="0"/>
    <n v="85074.7"/>
    <n v="85074.7"/>
    <x v="1"/>
    <x v="1"/>
    <s v="Delhi"/>
    <x v="5"/>
    <x v="1"/>
    <n v="1"/>
    <x v="0"/>
    <n v="5"/>
    <x v="3"/>
  </r>
  <r>
    <s v="ORD00362"/>
    <x v="184"/>
    <s v="CUST932"/>
    <s v="Vikas"/>
    <x v="0"/>
    <x v="30"/>
    <x v="9"/>
    <x v="0"/>
    <x v="9"/>
    <x v="3"/>
    <n v="2"/>
    <n v="29124"/>
    <n v="0"/>
    <n v="0"/>
    <n v="10484.64"/>
    <n v="260"/>
    <n v="68732.639999999999"/>
    <n v="68992.639999999999"/>
    <x v="0"/>
    <x v="1"/>
    <s v="Delhi"/>
    <x v="5"/>
    <x v="1"/>
    <n v="8"/>
    <x v="0"/>
    <n v="5"/>
    <x v="2"/>
  </r>
  <r>
    <s v="ORD00363"/>
    <x v="223"/>
    <s v="CUST719"/>
    <s v="Karan"/>
    <x v="0"/>
    <x v="35"/>
    <x v="3"/>
    <x v="2"/>
    <x v="3"/>
    <x v="8"/>
    <n v="3"/>
    <n v="34423"/>
    <n v="10"/>
    <n v="10326.9"/>
    <n v="16729.580000000002"/>
    <n v="223"/>
    <n v="109671.67999999999"/>
    <n v="109894.68"/>
    <x v="3"/>
    <x v="0"/>
    <s v="Lucknow"/>
    <x v="4"/>
    <x v="1"/>
    <n v="7"/>
    <x v="1"/>
    <n v="4"/>
    <x v="3"/>
  </r>
  <r>
    <s v="ORD00364"/>
    <x v="171"/>
    <s v="CUST631"/>
    <s v="Anjali"/>
    <x v="1"/>
    <x v="15"/>
    <x v="4"/>
    <x v="0"/>
    <x v="4"/>
    <x v="9"/>
    <n v="4"/>
    <n v="33019"/>
    <n v="20"/>
    <n v="26415.200000000001"/>
    <n v="19018.939999999999"/>
    <n v="47"/>
    <n v="124679.74"/>
    <n v="124726.74"/>
    <x v="2"/>
    <x v="1"/>
    <s v="Mumbai"/>
    <x v="0"/>
    <x v="0"/>
    <n v="4"/>
    <x v="0"/>
    <n v="2"/>
    <x v="3"/>
  </r>
  <r>
    <s v="ORD00365"/>
    <x v="224"/>
    <s v="CUST721"/>
    <s v="Anjali"/>
    <x v="1"/>
    <x v="32"/>
    <x v="1"/>
    <x v="0"/>
    <x v="1"/>
    <x v="4"/>
    <n v="3"/>
    <n v="42953"/>
    <n v="5"/>
    <n v="6442.95"/>
    <n v="22034.89"/>
    <n v="312"/>
    <n v="144450.94"/>
    <n v="144762.94"/>
    <x v="0"/>
    <x v="1"/>
    <s v="Delhi"/>
    <x v="5"/>
    <x v="1"/>
    <n v="10"/>
    <x v="1"/>
    <n v="1"/>
    <x v="3"/>
  </r>
  <r>
    <s v="ORD00366"/>
    <x v="154"/>
    <s v="CUST980"/>
    <s v="Riya"/>
    <x v="0"/>
    <x v="36"/>
    <x v="7"/>
    <x v="1"/>
    <x v="7"/>
    <x v="0"/>
    <n v="4"/>
    <n v="20988"/>
    <n v="10"/>
    <n v="8395.2000000000007"/>
    <n v="13600.22"/>
    <n v="300"/>
    <n v="89157.02"/>
    <n v="89457.02"/>
    <x v="1"/>
    <x v="1"/>
    <s v="Lucknow"/>
    <x v="4"/>
    <x v="1"/>
    <n v="8"/>
    <x v="0"/>
    <n v="3"/>
    <x v="3"/>
  </r>
  <r>
    <s v="ORD00367"/>
    <x v="60"/>
    <s v="CUST713"/>
    <s v="Vikas"/>
    <x v="0"/>
    <x v="32"/>
    <x v="1"/>
    <x v="0"/>
    <x v="1"/>
    <x v="0"/>
    <n v="5"/>
    <n v="29902"/>
    <n v="0"/>
    <n v="0"/>
    <n v="26911.8"/>
    <n v="252"/>
    <n v="176421.8"/>
    <n v="176673.8"/>
    <x v="1"/>
    <x v="0"/>
    <s v="Lucknow"/>
    <x v="4"/>
    <x v="1"/>
    <n v="4"/>
    <x v="0"/>
    <n v="2"/>
    <x v="3"/>
  </r>
  <r>
    <s v="ORD00368"/>
    <x v="220"/>
    <s v="CUST227"/>
    <s v="Vikas"/>
    <x v="1"/>
    <x v="0"/>
    <x v="5"/>
    <x v="0"/>
    <x v="5"/>
    <x v="0"/>
    <n v="5"/>
    <n v="8265"/>
    <n v="20"/>
    <n v="8265"/>
    <n v="5950.8"/>
    <n v="487"/>
    <n v="39010.800000000003"/>
    <n v="39497.800000000003"/>
    <x v="3"/>
    <x v="1"/>
    <s v="Jaipur"/>
    <x v="2"/>
    <x v="1"/>
    <n v="7"/>
    <x v="1"/>
    <n v="2"/>
    <x v="0"/>
  </r>
  <r>
    <s v="ORD00369"/>
    <x v="214"/>
    <s v="CUST262"/>
    <s v="Rahul"/>
    <x v="0"/>
    <x v="13"/>
    <x v="9"/>
    <x v="0"/>
    <x v="9"/>
    <x v="1"/>
    <n v="1"/>
    <n v="44313"/>
    <n v="10"/>
    <n v="4431.3"/>
    <n v="7178.71"/>
    <n v="103"/>
    <n v="47060.41"/>
    <n v="47163.41"/>
    <x v="1"/>
    <x v="0"/>
    <s v="Bangalore"/>
    <x v="3"/>
    <x v="2"/>
    <n v="1"/>
    <x v="1"/>
    <n v="5"/>
    <x v="3"/>
  </r>
  <r>
    <s v="ORD00370"/>
    <x v="58"/>
    <s v="CUST356"/>
    <s v="Karan"/>
    <x v="1"/>
    <x v="0"/>
    <x v="5"/>
    <x v="0"/>
    <x v="5"/>
    <x v="8"/>
    <n v="5"/>
    <n v="30235"/>
    <n v="20"/>
    <n v="30235"/>
    <n v="21769.200000000001"/>
    <n v="120"/>
    <n v="142709.20000000001"/>
    <n v="142829.20000000001"/>
    <x v="2"/>
    <x v="0"/>
    <s v="Lucknow"/>
    <x v="4"/>
    <x v="1"/>
    <n v="4"/>
    <x v="0"/>
    <n v="1"/>
    <x v="2"/>
  </r>
  <r>
    <s v="ORD00371"/>
    <x v="225"/>
    <s v="CUST878"/>
    <s v="Priya"/>
    <x v="1"/>
    <x v="32"/>
    <x v="6"/>
    <x v="0"/>
    <x v="6"/>
    <x v="6"/>
    <n v="1"/>
    <n v="47817"/>
    <n v="20"/>
    <n v="9563.4"/>
    <n v="6885.65"/>
    <n v="434"/>
    <n v="45139.25"/>
    <n v="45573.25"/>
    <x v="2"/>
    <x v="0"/>
    <s v="Mumbai"/>
    <x v="0"/>
    <x v="0"/>
    <n v="1"/>
    <x v="0"/>
    <n v="2"/>
    <x v="0"/>
  </r>
  <r>
    <s v="ORD00372"/>
    <x v="125"/>
    <s v="CUST118"/>
    <s v="Riya"/>
    <x v="1"/>
    <x v="3"/>
    <x v="2"/>
    <x v="1"/>
    <x v="2"/>
    <x v="5"/>
    <n v="3"/>
    <n v="3210"/>
    <n v="0"/>
    <n v="0"/>
    <n v="1733.4"/>
    <n v="177"/>
    <n v="11363.4"/>
    <n v="11540.4"/>
    <x v="0"/>
    <x v="0"/>
    <s v="Patiala"/>
    <x v="1"/>
    <x v="1"/>
    <n v="7"/>
    <x v="0"/>
    <n v="1"/>
    <x v="1"/>
  </r>
  <r>
    <s v="ORD00373"/>
    <x v="226"/>
    <s v="CUST684"/>
    <s v="Karan"/>
    <x v="0"/>
    <x v="26"/>
    <x v="3"/>
    <x v="2"/>
    <x v="3"/>
    <x v="7"/>
    <n v="3"/>
    <n v="9055"/>
    <n v="0"/>
    <n v="0"/>
    <n v="4889.7"/>
    <n v="444"/>
    <n v="32054.7"/>
    <n v="32498.7"/>
    <x v="0"/>
    <x v="0"/>
    <s v="Lucknow"/>
    <x v="4"/>
    <x v="1"/>
    <n v="4"/>
    <x v="0"/>
    <n v="2"/>
    <x v="3"/>
  </r>
  <r>
    <s v="ORD00374"/>
    <x v="227"/>
    <s v="CUST840"/>
    <s v="Neha"/>
    <x v="0"/>
    <x v="19"/>
    <x v="9"/>
    <x v="0"/>
    <x v="9"/>
    <x v="7"/>
    <n v="5"/>
    <n v="28376"/>
    <n v="10"/>
    <n v="14188"/>
    <n v="22984.560000000001"/>
    <n v="491"/>
    <n v="150676.56"/>
    <n v="151167.56"/>
    <x v="2"/>
    <x v="0"/>
    <s v="Lucknow"/>
    <x v="4"/>
    <x v="1"/>
    <n v="2"/>
    <x v="1"/>
    <n v="4"/>
    <x v="3"/>
  </r>
  <r>
    <s v="ORD00375"/>
    <x v="228"/>
    <s v="CUST350"/>
    <s v="Neha"/>
    <x v="1"/>
    <x v="22"/>
    <x v="3"/>
    <x v="2"/>
    <x v="3"/>
    <x v="7"/>
    <n v="1"/>
    <n v="32505"/>
    <n v="20"/>
    <n v="6501"/>
    <n v="4680.72"/>
    <n v="395"/>
    <n v="30684.720000000001"/>
    <n v="31079.72"/>
    <x v="1"/>
    <x v="0"/>
    <s v="Delhi"/>
    <x v="5"/>
    <x v="1"/>
    <n v="3"/>
    <x v="0"/>
    <n v="1"/>
    <x v="1"/>
  </r>
  <r>
    <s v="ORD00376"/>
    <x v="229"/>
    <s v="CUST824"/>
    <s v="Priya"/>
    <x v="0"/>
    <x v="26"/>
    <x v="9"/>
    <x v="0"/>
    <x v="9"/>
    <x v="2"/>
    <n v="4"/>
    <n v="38052"/>
    <n v="15"/>
    <n v="22831.200000000001"/>
    <n v="23287.82"/>
    <n v="488"/>
    <n v="152664.62"/>
    <n v="153152.62"/>
    <x v="3"/>
    <x v="1"/>
    <s v="Delhi"/>
    <x v="5"/>
    <x v="1"/>
    <n v="7"/>
    <x v="1"/>
    <n v="2"/>
    <x v="0"/>
  </r>
  <r>
    <s v="ORD00377"/>
    <x v="230"/>
    <s v="CUST810"/>
    <s v="Anjali"/>
    <x v="0"/>
    <x v="28"/>
    <x v="6"/>
    <x v="0"/>
    <x v="6"/>
    <x v="9"/>
    <n v="1"/>
    <n v="44961"/>
    <n v="5"/>
    <n v="2248.0500000000002"/>
    <n v="7688.33"/>
    <n v="362"/>
    <n v="50401.279999999999"/>
    <n v="50763.28"/>
    <x v="1"/>
    <x v="1"/>
    <s v="Lucknow"/>
    <x v="4"/>
    <x v="1"/>
    <n v="9"/>
    <x v="0"/>
    <n v="3"/>
    <x v="3"/>
  </r>
  <r>
    <s v="ORD00378"/>
    <x v="182"/>
    <s v="CUST423"/>
    <s v="Sneha"/>
    <x v="0"/>
    <x v="18"/>
    <x v="6"/>
    <x v="0"/>
    <x v="6"/>
    <x v="8"/>
    <n v="2"/>
    <n v="33846"/>
    <n v="0"/>
    <n v="0"/>
    <n v="12184.56"/>
    <n v="189"/>
    <n v="79876.56"/>
    <n v="80065.56"/>
    <x v="3"/>
    <x v="0"/>
    <s v="Lucknow"/>
    <x v="4"/>
    <x v="1"/>
    <n v="2"/>
    <x v="1"/>
    <n v="3"/>
    <x v="0"/>
  </r>
  <r>
    <s v="ORD00379"/>
    <x v="231"/>
    <s v="CUST911"/>
    <s v="Sneha"/>
    <x v="1"/>
    <x v="20"/>
    <x v="5"/>
    <x v="0"/>
    <x v="5"/>
    <x v="7"/>
    <n v="4"/>
    <n v="10257"/>
    <n v="15"/>
    <n v="6154.2"/>
    <n v="6277.28"/>
    <n v="295"/>
    <n v="41151.08"/>
    <n v="41446.080000000002"/>
    <x v="0"/>
    <x v="1"/>
    <s v="Chandigarh"/>
    <x v="1"/>
    <x v="1"/>
    <n v="7"/>
    <x v="0"/>
    <n v="3"/>
    <x v="1"/>
  </r>
  <r>
    <s v="ORD00380"/>
    <x v="196"/>
    <s v="CUST362"/>
    <s v="Riya"/>
    <x v="0"/>
    <x v="33"/>
    <x v="9"/>
    <x v="0"/>
    <x v="9"/>
    <x v="2"/>
    <n v="5"/>
    <n v="35399"/>
    <n v="0"/>
    <n v="0"/>
    <n v="31859.1"/>
    <n v="222"/>
    <n v="208854.1"/>
    <n v="209076.1"/>
    <x v="1"/>
    <x v="1"/>
    <s v="Bangalore"/>
    <x v="3"/>
    <x v="2"/>
    <n v="2"/>
    <x v="1"/>
    <n v="4"/>
    <x v="3"/>
  </r>
  <r>
    <s v="ORD00381"/>
    <x v="208"/>
    <s v="CUST618"/>
    <s v="Riya"/>
    <x v="0"/>
    <x v="19"/>
    <x v="3"/>
    <x v="2"/>
    <x v="3"/>
    <x v="7"/>
    <n v="3"/>
    <n v="38354"/>
    <n v="5"/>
    <n v="5753.1"/>
    <n v="19675.599999999999"/>
    <n v="229"/>
    <n v="128984.5"/>
    <n v="129213.5"/>
    <x v="0"/>
    <x v="0"/>
    <s v="Pune"/>
    <x v="0"/>
    <x v="0"/>
    <n v="3"/>
    <x v="1"/>
    <n v="2"/>
    <x v="1"/>
  </r>
  <r>
    <s v="ORD00382"/>
    <x v="232"/>
    <s v="CUST933"/>
    <s v="Rahul"/>
    <x v="0"/>
    <x v="10"/>
    <x v="5"/>
    <x v="0"/>
    <x v="5"/>
    <x v="6"/>
    <n v="3"/>
    <n v="41789"/>
    <n v="10"/>
    <n v="12536.7"/>
    <n v="20309.45"/>
    <n v="460"/>
    <n v="133139.75"/>
    <n v="133599.75"/>
    <x v="0"/>
    <x v="1"/>
    <s v="Pune"/>
    <x v="0"/>
    <x v="0"/>
    <n v="1"/>
    <x v="1"/>
    <n v="4"/>
    <x v="3"/>
  </r>
  <r>
    <s v="ORD00383"/>
    <x v="150"/>
    <s v="CUST842"/>
    <s v="Karan"/>
    <x v="1"/>
    <x v="28"/>
    <x v="7"/>
    <x v="1"/>
    <x v="7"/>
    <x v="0"/>
    <n v="5"/>
    <n v="40354"/>
    <n v="15"/>
    <n v="30265.5"/>
    <n v="30870.81"/>
    <n v="5"/>
    <n v="202375.31"/>
    <n v="202380.31"/>
    <x v="0"/>
    <x v="0"/>
    <s v="Patiala"/>
    <x v="1"/>
    <x v="1"/>
    <n v="9"/>
    <x v="0"/>
    <n v="5"/>
    <x v="3"/>
  </r>
  <r>
    <s v="ORD00384"/>
    <x v="151"/>
    <s v="CUST823"/>
    <s v="Anjali"/>
    <x v="0"/>
    <x v="24"/>
    <x v="5"/>
    <x v="0"/>
    <x v="5"/>
    <x v="6"/>
    <n v="3"/>
    <n v="44552"/>
    <n v="20"/>
    <n v="26731.200000000001"/>
    <n v="19246.46"/>
    <n v="222"/>
    <n v="126171.26"/>
    <n v="126393.26"/>
    <x v="1"/>
    <x v="0"/>
    <s v="Patiala"/>
    <x v="1"/>
    <x v="1"/>
    <n v="2"/>
    <x v="1"/>
    <n v="1"/>
    <x v="0"/>
  </r>
  <r>
    <s v="ORD00385"/>
    <x v="233"/>
    <s v="CUST259"/>
    <s v="Neha"/>
    <x v="1"/>
    <x v="24"/>
    <x v="4"/>
    <x v="0"/>
    <x v="4"/>
    <x v="3"/>
    <n v="4"/>
    <n v="6838"/>
    <n v="5"/>
    <n v="1367.6"/>
    <n v="4677.1899999999996"/>
    <n v="1"/>
    <n v="30661.59"/>
    <n v="30662.59"/>
    <x v="2"/>
    <x v="0"/>
    <s v="Delhi"/>
    <x v="5"/>
    <x v="1"/>
    <n v="1"/>
    <x v="0"/>
    <n v="3"/>
    <x v="3"/>
  </r>
  <r>
    <s v="ORD00386"/>
    <x v="205"/>
    <s v="CUST289"/>
    <s v="Anjali"/>
    <x v="0"/>
    <x v="28"/>
    <x v="2"/>
    <x v="1"/>
    <x v="2"/>
    <x v="7"/>
    <n v="5"/>
    <n v="38147"/>
    <n v="15"/>
    <n v="28610.25"/>
    <n v="29182.45"/>
    <n v="184"/>
    <n v="191307.2"/>
    <n v="191491.20000000001"/>
    <x v="2"/>
    <x v="0"/>
    <s v="Mumbai"/>
    <x v="0"/>
    <x v="0"/>
    <n v="5"/>
    <x v="1"/>
    <n v="5"/>
    <x v="3"/>
  </r>
  <r>
    <s v="ORD00387"/>
    <x v="234"/>
    <s v="CUST854"/>
    <s v="Vikas"/>
    <x v="1"/>
    <x v="26"/>
    <x v="1"/>
    <x v="0"/>
    <x v="1"/>
    <x v="0"/>
    <n v="4"/>
    <n v="47651"/>
    <n v="5"/>
    <n v="9530.2000000000007"/>
    <n v="32593.279999999999"/>
    <n v="270"/>
    <n v="213667.08"/>
    <n v="213937.08"/>
    <x v="0"/>
    <x v="0"/>
    <s v="Bangalore"/>
    <x v="3"/>
    <x v="2"/>
    <n v="10"/>
    <x v="1"/>
    <n v="2"/>
    <x v="2"/>
  </r>
  <r>
    <s v="ORD00388"/>
    <x v="235"/>
    <s v="CUST913"/>
    <s v="Arjun"/>
    <x v="0"/>
    <x v="12"/>
    <x v="3"/>
    <x v="2"/>
    <x v="3"/>
    <x v="5"/>
    <n v="1"/>
    <n v="35776"/>
    <n v="15"/>
    <n v="5366.4"/>
    <n v="5473.73"/>
    <n v="211"/>
    <n v="35883.33"/>
    <n v="36094.33"/>
    <x v="2"/>
    <x v="0"/>
    <s v="Mumbai"/>
    <x v="0"/>
    <x v="0"/>
    <n v="1"/>
    <x v="1"/>
    <n v="2"/>
    <x v="0"/>
  </r>
  <r>
    <s v="ORD00389"/>
    <x v="236"/>
    <s v="CUST779"/>
    <s v="Karan"/>
    <x v="1"/>
    <x v="19"/>
    <x v="9"/>
    <x v="0"/>
    <x v="9"/>
    <x v="1"/>
    <n v="5"/>
    <n v="38786"/>
    <n v="20"/>
    <n v="38786"/>
    <n v="27925.919999999998"/>
    <n v="346"/>
    <n v="183069.92"/>
    <n v="183415.92"/>
    <x v="0"/>
    <x v="0"/>
    <s v="Bangalore"/>
    <x v="3"/>
    <x v="2"/>
    <n v="10"/>
    <x v="0"/>
    <n v="2"/>
    <x v="0"/>
  </r>
  <r>
    <s v="ORD00390"/>
    <x v="237"/>
    <s v="CUST986"/>
    <s v="Arjun"/>
    <x v="1"/>
    <x v="38"/>
    <x v="0"/>
    <x v="0"/>
    <x v="0"/>
    <x v="0"/>
    <n v="4"/>
    <n v="44570"/>
    <n v="15"/>
    <n v="26742"/>
    <n v="27276.84"/>
    <n v="441"/>
    <n v="178814.84"/>
    <n v="179255.84"/>
    <x v="0"/>
    <x v="0"/>
    <s v="Lucknow"/>
    <x v="4"/>
    <x v="1"/>
    <n v="5"/>
    <x v="1"/>
    <n v="5"/>
    <x v="1"/>
  </r>
  <r>
    <s v="ORD00391"/>
    <x v="109"/>
    <s v="CUST595"/>
    <s v="Anjali"/>
    <x v="1"/>
    <x v="29"/>
    <x v="7"/>
    <x v="1"/>
    <x v="7"/>
    <x v="2"/>
    <n v="2"/>
    <n v="17897"/>
    <n v="15"/>
    <n v="5369.1"/>
    <n v="5476.48"/>
    <n v="381"/>
    <n v="35901.379999999997"/>
    <n v="36282.379999999997"/>
    <x v="2"/>
    <x v="0"/>
    <s v="Jaipur"/>
    <x v="2"/>
    <x v="1"/>
    <n v="2"/>
    <x v="0"/>
    <n v="3"/>
    <x v="0"/>
  </r>
  <r>
    <s v="ORD00392"/>
    <x v="238"/>
    <s v="CUST238"/>
    <s v="Riya"/>
    <x v="1"/>
    <x v="2"/>
    <x v="7"/>
    <x v="1"/>
    <x v="7"/>
    <x v="9"/>
    <n v="2"/>
    <n v="19659"/>
    <n v="5"/>
    <n v="1965.9"/>
    <n v="6723.38"/>
    <n v="60"/>
    <n v="44075.48"/>
    <n v="44135.48"/>
    <x v="2"/>
    <x v="1"/>
    <s v="Chandigarh"/>
    <x v="1"/>
    <x v="1"/>
    <n v="8"/>
    <x v="1"/>
    <n v="2"/>
    <x v="0"/>
  </r>
  <r>
    <s v="ORD00393"/>
    <x v="181"/>
    <s v="CUST677"/>
    <s v="Neha"/>
    <x v="0"/>
    <x v="11"/>
    <x v="1"/>
    <x v="0"/>
    <x v="1"/>
    <x v="9"/>
    <n v="2"/>
    <n v="5458"/>
    <n v="10"/>
    <n v="1091.5999999999999"/>
    <n v="1768.39"/>
    <n v="260"/>
    <n v="11592.79"/>
    <n v="11852.79"/>
    <x v="2"/>
    <x v="1"/>
    <s v="Lucknow"/>
    <x v="4"/>
    <x v="1"/>
    <n v="6"/>
    <x v="1"/>
    <n v="1"/>
    <x v="2"/>
  </r>
  <r>
    <s v="ORD00394"/>
    <x v="239"/>
    <s v="CUST686"/>
    <s v="Amit"/>
    <x v="1"/>
    <x v="38"/>
    <x v="2"/>
    <x v="1"/>
    <x v="2"/>
    <x v="1"/>
    <n v="5"/>
    <n v="11477"/>
    <n v="20"/>
    <n v="11477"/>
    <n v="8263.44"/>
    <n v="383"/>
    <n v="54171.44"/>
    <n v="54554.44"/>
    <x v="3"/>
    <x v="0"/>
    <s v="Delhi"/>
    <x v="5"/>
    <x v="1"/>
    <n v="8"/>
    <x v="0"/>
    <n v="1"/>
    <x v="2"/>
  </r>
  <r>
    <s v="ORD00395"/>
    <x v="240"/>
    <s v="CUST976"/>
    <s v="Sneha"/>
    <x v="1"/>
    <x v="17"/>
    <x v="8"/>
    <x v="0"/>
    <x v="8"/>
    <x v="8"/>
    <n v="5"/>
    <n v="8130"/>
    <n v="0"/>
    <n v="0"/>
    <n v="7317"/>
    <n v="365"/>
    <n v="47967"/>
    <n v="48332"/>
    <x v="2"/>
    <x v="0"/>
    <s v="Jaipur"/>
    <x v="2"/>
    <x v="1"/>
    <n v="5"/>
    <x v="1"/>
    <n v="2"/>
    <x v="2"/>
  </r>
  <r>
    <s v="ORD00396"/>
    <x v="228"/>
    <s v="CUST626"/>
    <s v="Karan"/>
    <x v="1"/>
    <x v="1"/>
    <x v="7"/>
    <x v="1"/>
    <x v="7"/>
    <x v="3"/>
    <n v="5"/>
    <n v="49785"/>
    <n v="10"/>
    <n v="24892.5"/>
    <n v="40325.85"/>
    <n v="307"/>
    <n v="264358.34999999998"/>
    <n v="264665.34999999998"/>
    <x v="1"/>
    <x v="0"/>
    <s v="Jaipur"/>
    <x v="2"/>
    <x v="1"/>
    <n v="10"/>
    <x v="1"/>
    <n v="1"/>
    <x v="1"/>
  </r>
  <r>
    <s v="ORD00397"/>
    <x v="241"/>
    <s v="CUST271"/>
    <s v="Priya"/>
    <x v="1"/>
    <x v="1"/>
    <x v="0"/>
    <x v="0"/>
    <x v="0"/>
    <x v="6"/>
    <n v="1"/>
    <n v="45045"/>
    <n v="10"/>
    <n v="4504.5"/>
    <n v="7297.29"/>
    <n v="227"/>
    <n v="47837.79"/>
    <n v="48064.79"/>
    <x v="0"/>
    <x v="1"/>
    <s v="Patiala"/>
    <x v="1"/>
    <x v="1"/>
    <n v="7"/>
    <x v="1"/>
    <n v="4"/>
    <x v="3"/>
  </r>
  <r>
    <s v="ORD00398"/>
    <x v="242"/>
    <s v="CUST254"/>
    <s v="Priya"/>
    <x v="0"/>
    <x v="8"/>
    <x v="3"/>
    <x v="2"/>
    <x v="3"/>
    <x v="2"/>
    <n v="2"/>
    <n v="37886"/>
    <n v="20"/>
    <n v="15154.4"/>
    <n v="10911.17"/>
    <n v="333"/>
    <n v="71528.77"/>
    <n v="71861.77"/>
    <x v="2"/>
    <x v="1"/>
    <s v="Delhi"/>
    <x v="5"/>
    <x v="1"/>
    <n v="5"/>
    <x v="1"/>
    <n v="1"/>
    <x v="0"/>
  </r>
  <r>
    <s v="ORD00399"/>
    <x v="243"/>
    <s v="CUST999"/>
    <s v="Priya"/>
    <x v="0"/>
    <x v="39"/>
    <x v="8"/>
    <x v="0"/>
    <x v="8"/>
    <x v="7"/>
    <n v="1"/>
    <n v="10479"/>
    <n v="20"/>
    <n v="2095.8000000000002"/>
    <n v="1508.98"/>
    <n v="259"/>
    <n v="9892.18"/>
    <n v="10151.18"/>
    <x v="3"/>
    <x v="0"/>
    <s v="Jaipur"/>
    <x v="2"/>
    <x v="1"/>
    <n v="9"/>
    <x v="0"/>
    <n v="3"/>
    <x v="1"/>
  </r>
  <r>
    <s v="ORD00400"/>
    <x v="89"/>
    <s v="CUST317"/>
    <s v="Riya"/>
    <x v="0"/>
    <x v="38"/>
    <x v="3"/>
    <x v="2"/>
    <x v="3"/>
    <x v="2"/>
    <n v="2"/>
    <n v="25677"/>
    <n v="20"/>
    <n v="10270.799999999999"/>
    <n v="7394.98"/>
    <n v="360"/>
    <n v="48478.18"/>
    <n v="48838.18"/>
    <x v="1"/>
    <x v="1"/>
    <s v="Mumbai"/>
    <x v="0"/>
    <x v="0"/>
    <n v="4"/>
    <x v="1"/>
    <n v="4"/>
    <x v="2"/>
  </r>
  <r>
    <s v="ORD00401"/>
    <x v="115"/>
    <s v="CUST465"/>
    <s v="Arjun"/>
    <x v="1"/>
    <x v="1"/>
    <x v="7"/>
    <x v="1"/>
    <x v="7"/>
    <x v="9"/>
    <n v="1"/>
    <n v="38257"/>
    <n v="0"/>
    <n v="0"/>
    <n v="6886.26"/>
    <n v="77"/>
    <n v="45143.26"/>
    <n v="45220.26"/>
    <x v="2"/>
    <x v="1"/>
    <s v="Chandigarh"/>
    <x v="1"/>
    <x v="1"/>
    <n v="5"/>
    <x v="0"/>
    <n v="1"/>
    <x v="3"/>
  </r>
  <r>
    <s v="ORD00402"/>
    <x v="244"/>
    <s v="CUST747"/>
    <s v="Riya"/>
    <x v="0"/>
    <x v="3"/>
    <x v="3"/>
    <x v="2"/>
    <x v="3"/>
    <x v="4"/>
    <n v="3"/>
    <n v="42836"/>
    <n v="5"/>
    <n v="6425.4"/>
    <n v="21974.87"/>
    <n v="203"/>
    <n v="144057.47"/>
    <n v="144260.47"/>
    <x v="2"/>
    <x v="1"/>
    <s v="Patiala"/>
    <x v="1"/>
    <x v="1"/>
    <n v="8"/>
    <x v="0"/>
    <n v="1"/>
    <x v="1"/>
  </r>
  <r>
    <s v="ORD00403"/>
    <x v="181"/>
    <s v="CUST285"/>
    <s v="Amit"/>
    <x v="1"/>
    <x v="30"/>
    <x v="9"/>
    <x v="0"/>
    <x v="9"/>
    <x v="2"/>
    <n v="5"/>
    <n v="6082"/>
    <n v="10"/>
    <n v="3041"/>
    <n v="4926.42"/>
    <n v="451"/>
    <n v="32295.42"/>
    <n v="32746.42"/>
    <x v="2"/>
    <x v="1"/>
    <s v="Bangalore"/>
    <x v="3"/>
    <x v="2"/>
    <n v="6"/>
    <x v="0"/>
    <n v="4"/>
    <x v="2"/>
  </r>
  <r>
    <s v="ORD00404"/>
    <x v="245"/>
    <s v="CUST445"/>
    <s v="Amit"/>
    <x v="0"/>
    <x v="1"/>
    <x v="6"/>
    <x v="0"/>
    <x v="6"/>
    <x v="3"/>
    <n v="1"/>
    <n v="31058"/>
    <n v="20"/>
    <n v="6211.6"/>
    <n v="4472.3500000000004"/>
    <n v="107"/>
    <n v="29318.75"/>
    <n v="29425.75"/>
    <x v="0"/>
    <x v="0"/>
    <s v="Pune"/>
    <x v="0"/>
    <x v="0"/>
    <n v="2"/>
    <x v="0"/>
    <n v="1"/>
    <x v="0"/>
  </r>
  <r>
    <s v="ORD00405"/>
    <x v="246"/>
    <s v="CUST598"/>
    <s v="Arjun"/>
    <x v="0"/>
    <x v="31"/>
    <x v="0"/>
    <x v="0"/>
    <x v="0"/>
    <x v="3"/>
    <n v="5"/>
    <n v="23952"/>
    <n v="15"/>
    <n v="17964"/>
    <n v="18323.28"/>
    <n v="235"/>
    <n v="120119.28"/>
    <n v="120354.28"/>
    <x v="2"/>
    <x v="0"/>
    <s v="Pune"/>
    <x v="0"/>
    <x v="0"/>
    <n v="8"/>
    <x v="0"/>
    <n v="3"/>
    <x v="2"/>
  </r>
  <r>
    <s v="ORD00406"/>
    <x v="247"/>
    <s v="CUST304"/>
    <s v="Riya"/>
    <x v="0"/>
    <x v="19"/>
    <x v="1"/>
    <x v="0"/>
    <x v="1"/>
    <x v="7"/>
    <n v="3"/>
    <n v="38091"/>
    <n v="20"/>
    <n v="22854.6"/>
    <n v="16455.310000000001"/>
    <n v="45"/>
    <n v="107873.71"/>
    <n v="107918.71"/>
    <x v="1"/>
    <x v="1"/>
    <s v="Patiala"/>
    <x v="1"/>
    <x v="1"/>
    <n v="4"/>
    <x v="0"/>
    <n v="2"/>
    <x v="3"/>
  </r>
  <r>
    <s v="ORD00407"/>
    <x v="33"/>
    <s v="CUST997"/>
    <s v="Neha"/>
    <x v="1"/>
    <x v="7"/>
    <x v="5"/>
    <x v="0"/>
    <x v="5"/>
    <x v="7"/>
    <n v="3"/>
    <n v="26216"/>
    <n v="20"/>
    <n v="15729.6"/>
    <n v="11325.31"/>
    <n v="81"/>
    <n v="74243.710000000006"/>
    <n v="74324.710000000006"/>
    <x v="0"/>
    <x v="0"/>
    <s v="Mumbai"/>
    <x v="0"/>
    <x v="0"/>
    <n v="10"/>
    <x v="1"/>
    <n v="2"/>
    <x v="2"/>
  </r>
  <r>
    <s v="ORD00408"/>
    <x v="171"/>
    <s v="CUST660"/>
    <s v="Rahul"/>
    <x v="0"/>
    <x v="29"/>
    <x v="9"/>
    <x v="0"/>
    <x v="9"/>
    <x v="9"/>
    <n v="1"/>
    <n v="39817"/>
    <n v="0"/>
    <n v="0"/>
    <n v="7167.06"/>
    <n v="338"/>
    <n v="46984.06"/>
    <n v="47322.06"/>
    <x v="3"/>
    <x v="0"/>
    <s v="Patiala"/>
    <x v="1"/>
    <x v="1"/>
    <n v="5"/>
    <x v="0"/>
    <n v="2"/>
    <x v="0"/>
  </r>
  <r>
    <s v="ORD00409"/>
    <x v="62"/>
    <s v="CUST881"/>
    <s v="Karan"/>
    <x v="1"/>
    <x v="42"/>
    <x v="8"/>
    <x v="0"/>
    <x v="8"/>
    <x v="9"/>
    <n v="2"/>
    <n v="13948"/>
    <n v="20"/>
    <n v="5579.2"/>
    <n v="4017.02"/>
    <n v="146"/>
    <n v="26333.82"/>
    <n v="26479.82"/>
    <x v="2"/>
    <x v="0"/>
    <s v="Mumbai"/>
    <x v="0"/>
    <x v="0"/>
    <n v="2"/>
    <x v="1"/>
    <n v="1"/>
    <x v="0"/>
  </r>
  <r>
    <s v="ORD00410"/>
    <x v="248"/>
    <s v="CUST394"/>
    <s v="Rahul"/>
    <x v="1"/>
    <x v="33"/>
    <x v="3"/>
    <x v="2"/>
    <x v="3"/>
    <x v="9"/>
    <n v="2"/>
    <n v="23299"/>
    <n v="10"/>
    <n v="4659.8"/>
    <n v="7548.88"/>
    <n v="416"/>
    <n v="49487.08"/>
    <n v="49903.08"/>
    <x v="0"/>
    <x v="1"/>
    <s v="Bangalore"/>
    <x v="3"/>
    <x v="2"/>
    <n v="1"/>
    <x v="1"/>
    <n v="2"/>
    <x v="2"/>
  </r>
  <r>
    <s v="ORD00411"/>
    <x v="19"/>
    <s v="CUST749"/>
    <s v="Arjun"/>
    <x v="0"/>
    <x v="8"/>
    <x v="5"/>
    <x v="0"/>
    <x v="5"/>
    <x v="1"/>
    <n v="2"/>
    <n v="32677"/>
    <n v="10"/>
    <n v="6535.4"/>
    <n v="10587.35"/>
    <n v="159"/>
    <n v="69405.95"/>
    <n v="69564.95"/>
    <x v="3"/>
    <x v="0"/>
    <s v="Mumbai"/>
    <x v="0"/>
    <x v="0"/>
    <n v="3"/>
    <x v="1"/>
    <n v="4"/>
    <x v="0"/>
  </r>
  <r>
    <s v="ORD00412"/>
    <x v="249"/>
    <s v="CUST950"/>
    <s v="Anjali"/>
    <x v="0"/>
    <x v="42"/>
    <x v="2"/>
    <x v="1"/>
    <x v="2"/>
    <x v="3"/>
    <n v="2"/>
    <n v="31723"/>
    <n v="15"/>
    <n v="9516.9"/>
    <n v="9707.24"/>
    <n v="178"/>
    <n v="63636.34"/>
    <n v="63814.34"/>
    <x v="1"/>
    <x v="1"/>
    <s v="Lucknow"/>
    <x v="4"/>
    <x v="1"/>
    <n v="2"/>
    <x v="0"/>
    <n v="2"/>
    <x v="1"/>
  </r>
  <r>
    <s v="ORD00413"/>
    <x v="161"/>
    <s v="CUST825"/>
    <s v="Neha"/>
    <x v="1"/>
    <x v="3"/>
    <x v="5"/>
    <x v="0"/>
    <x v="5"/>
    <x v="5"/>
    <n v="3"/>
    <n v="32699"/>
    <n v="15"/>
    <n v="14714.55"/>
    <n v="15008.84"/>
    <n v="232"/>
    <n v="98391.29"/>
    <n v="98623.29"/>
    <x v="3"/>
    <x v="0"/>
    <s v="Bangalore"/>
    <x v="3"/>
    <x v="2"/>
    <n v="4"/>
    <x v="0"/>
    <n v="1"/>
    <x v="3"/>
  </r>
  <r>
    <s v="ORD00414"/>
    <x v="250"/>
    <s v="CUST144"/>
    <s v="Sneha"/>
    <x v="1"/>
    <x v="32"/>
    <x v="3"/>
    <x v="2"/>
    <x v="3"/>
    <x v="7"/>
    <n v="5"/>
    <n v="13093"/>
    <n v="15"/>
    <n v="9819.75"/>
    <n v="10016.15"/>
    <n v="119"/>
    <n v="65661.399999999994"/>
    <n v="65780.399999999994"/>
    <x v="1"/>
    <x v="0"/>
    <s v="Mumbai"/>
    <x v="0"/>
    <x v="0"/>
    <n v="9"/>
    <x v="1"/>
    <n v="2"/>
    <x v="1"/>
  </r>
  <r>
    <s v="ORD00415"/>
    <x v="251"/>
    <s v="CUST282"/>
    <s v="Karan"/>
    <x v="0"/>
    <x v="21"/>
    <x v="9"/>
    <x v="0"/>
    <x v="9"/>
    <x v="3"/>
    <n v="1"/>
    <n v="29058"/>
    <n v="15"/>
    <n v="4358.7"/>
    <n v="4445.87"/>
    <n v="483"/>
    <n v="29145.17"/>
    <n v="29628.17"/>
    <x v="0"/>
    <x v="1"/>
    <s v="Patiala"/>
    <x v="1"/>
    <x v="1"/>
    <n v="4"/>
    <x v="1"/>
    <n v="2"/>
    <x v="2"/>
  </r>
  <r>
    <s v="ORD00416"/>
    <x v="133"/>
    <s v="CUST151"/>
    <s v="Arjun"/>
    <x v="0"/>
    <x v="36"/>
    <x v="5"/>
    <x v="0"/>
    <x v="5"/>
    <x v="6"/>
    <n v="4"/>
    <n v="893"/>
    <n v="15"/>
    <n v="535.79999999999995"/>
    <n v="546.52"/>
    <n v="235"/>
    <n v="3582.72"/>
    <n v="3817.72"/>
    <x v="1"/>
    <x v="1"/>
    <s v="Lucknow"/>
    <x v="4"/>
    <x v="1"/>
    <n v="3"/>
    <x v="0"/>
    <n v="5"/>
    <x v="2"/>
  </r>
  <r>
    <s v="ORD00417"/>
    <x v="252"/>
    <s v="CUST564"/>
    <s v="Karan"/>
    <x v="0"/>
    <x v="20"/>
    <x v="2"/>
    <x v="1"/>
    <x v="2"/>
    <x v="2"/>
    <n v="2"/>
    <n v="30884"/>
    <n v="15"/>
    <n v="9265.2000000000007"/>
    <n v="9450.5"/>
    <n v="377"/>
    <n v="61953.3"/>
    <n v="62330.3"/>
    <x v="2"/>
    <x v="0"/>
    <s v="Chandigarh"/>
    <x v="1"/>
    <x v="1"/>
    <n v="4"/>
    <x v="0"/>
    <n v="5"/>
    <x v="2"/>
  </r>
  <r>
    <s v="ORD00418"/>
    <x v="77"/>
    <s v="CUST776"/>
    <s v="Priya"/>
    <x v="0"/>
    <x v="8"/>
    <x v="6"/>
    <x v="0"/>
    <x v="6"/>
    <x v="5"/>
    <n v="1"/>
    <n v="18649"/>
    <n v="10"/>
    <n v="1864.9"/>
    <n v="3021.14"/>
    <n v="223"/>
    <n v="19805.240000000002"/>
    <n v="20028.240000000002"/>
    <x v="0"/>
    <x v="1"/>
    <s v="Delhi"/>
    <x v="5"/>
    <x v="1"/>
    <n v="2"/>
    <x v="1"/>
    <n v="2"/>
    <x v="2"/>
  </r>
  <r>
    <s v="ORD00419"/>
    <x v="253"/>
    <s v="CUST407"/>
    <s v="Rahul"/>
    <x v="1"/>
    <x v="24"/>
    <x v="0"/>
    <x v="0"/>
    <x v="0"/>
    <x v="4"/>
    <n v="4"/>
    <n v="25831"/>
    <n v="0"/>
    <n v="0"/>
    <n v="18598.32"/>
    <n v="290"/>
    <n v="121922.32"/>
    <n v="122212.32"/>
    <x v="2"/>
    <x v="1"/>
    <s v="Pune"/>
    <x v="0"/>
    <x v="0"/>
    <n v="9"/>
    <x v="0"/>
    <n v="5"/>
    <x v="2"/>
  </r>
  <r>
    <s v="ORD00420"/>
    <x v="179"/>
    <s v="CUST173"/>
    <s v="Riya"/>
    <x v="1"/>
    <x v="4"/>
    <x v="7"/>
    <x v="1"/>
    <x v="7"/>
    <x v="2"/>
    <n v="3"/>
    <n v="5184"/>
    <n v="10"/>
    <n v="1555.2"/>
    <n v="2519.42"/>
    <n v="384"/>
    <n v="16516.22"/>
    <n v="16900.22"/>
    <x v="0"/>
    <x v="1"/>
    <s v="Patiala"/>
    <x v="1"/>
    <x v="1"/>
    <n v="10"/>
    <x v="1"/>
    <n v="3"/>
    <x v="3"/>
  </r>
  <r>
    <s v="ORD00421"/>
    <x v="85"/>
    <s v="CUST876"/>
    <s v="Arjun"/>
    <x v="0"/>
    <x v="18"/>
    <x v="2"/>
    <x v="1"/>
    <x v="2"/>
    <x v="5"/>
    <n v="2"/>
    <n v="6464"/>
    <n v="5"/>
    <n v="646.4"/>
    <n v="2210.69"/>
    <n v="494"/>
    <n v="14492.29"/>
    <n v="14986.29"/>
    <x v="1"/>
    <x v="1"/>
    <s v="Patiala"/>
    <x v="1"/>
    <x v="1"/>
    <n v="2"/>
    <x v="0"/>
    <n v="1"/>
    <x v="3"/>
  </r>
  <r>
    <s v="ORD00422"/>
    <x v="234"/>
    <s v="CUST814"/>
    <s v="Rahul"/>
    <x v="1"/>
    <x v="11"/>
    <x v="4"/>
    <x v="0"/>
    <x v="4"/>
    <x v="7"/>
    <n v="1"/>
    <n v="41930"/>
    <n v="20"/>
    <n v="8386"/>
    <n v="6037.92"/>
    <n v="39"/>
    <n v="39581.919999999998"/>
    <n v="39620.92"/>
    <x v="3"/>
    <x v="1"/>
    <s v="Lucknow"/>
    <x v="4"/>
    <x v="1"/>
    <n v="1"/>
    <x v="0"/>
    <n v="3"/>
    <x v="2"/>
  </r>
  <r>
    <s v="ORD00423"/>
    <x v="171"/>
    <s v="CUST867"/>
    <s v="Priya"/>
    <x v="0"/>
    <x v="18"/>
    <x v="7"/>
    <x v="1"/>
    <x v="7"/>
    <x v="8"/>
    <n v="2"/>
    <n v="602"/>
    <n v="5"/>
    <n v="60.2"/>
    <n v="205.88"/>
    <n v="330"/>
    <n v="1349.68"/>
    <n v="1679.68"/>
    <x v="0"/>
    <x v="1"/>
    <s v="Pune"/>
    <x v="0"/>
    <x v="0"/>
    <n v="4"/>
    <x v="1"/>
    <n v="3"/>
    <x v="0"/>
  </r>
  <r>
    <s v="ORD00424"/>
    <x v="254"/>
    <s v="CUST212"/>
    <s v="Riya"/>
    <x v="0"/>
    <x v="21"/>
    <x v="3"/>
    <x v="2"/>
    <x v="3"/>
    <x v="8"/>
    <n v="4"/>
    <n v="32958"/>
    <n v="15"/>
    <n v="19774.8"/>
    <n v="20170.3"/>
    <n v="359"/>
    <n v="132227.5"/>
    <n v="132586.5"/>
    <x v="0"/>
    <x v="1"/>
    <s v="Delhi"/>
    <x v="5"/>
    <x v="1"/>
    <n v="4"/>
    <x v="0"/>
    <n v="3"/>
    <x v="1"/>
  </r>
  <r>
    <s v="ORD00425"/>
    <x v="161"/>
    <s v="CUST649"/>
    <s v="Vikas"/>
    <x v="0"/>
    <x v="2"/>
    <x v="0"/>
    <x v="0"/>
    <x v="0"/>
    <x v="0"/>
    <n v="1"/>
    <n v="22795"/>
    <n v="20"/>
    <n v="4559"/>
    <n v="3282.48"/>
    <n v="408"/>
    <n v="21518.48"/>
    <n v="21926.48"/>
    <x v="1"/>
    <x v="1"/>
    <s v="Bangalore"/>
    <x v="3"/>
    <x v="2"/>
    <n v="10"/>
    <x v="0"/>
    <n v="1"/>
    <x v="0"/>
  </r>
  <r>
    <s v="ORD00426"/>
    <x v="255"/>
    <s v="CUST119"/>
    <s v="Arjun"/>
    <x v="1"/>
    <x v="36"/>
    <x v="8"/>
    <x v="0"/>
    <x v="8"/>
    <x v="3"/>
    <n v="2"/>
    <n v="44955"/>
    <n v="15"/>
    <n v="13486.5"/>
    <n v="13756.23"/>
    <n v="122"/>
    <n v="90179.73"/>
    <n v="90301.73"/>
    <x v="0"/>
    <x v="0"/>
    <s v="Chandigarh"/>
    <x v="1"/>
    <x v="1"/>
    <n v="2"/>
    <x v="0"/>
    <n v="3"/>
    <x v="0"/>
  </r>
  <r>
    <s v="ORD00427"/>
    <x v="256"/>
    <s v="CUST108"/>
    <s v="Sneha"/>
    <x v="0"/>
    <x v="8"/>
    <x v="7"/>
    <x v="1"/>
    <x v="7"/>
    <x v="3"/>
    <n v="3"/>
    <n v="29894"/>
    <n v="5"/>
    <n v="4484.1000000000004"/>
    <n v="15335.62"/>
    <n v="374"/>
    <n v="100533.52"/>
    <n v="100907.52"/>
    <x v="1"/>
    <x v="0"/>
    <s v="Pune"/>
    <x v="0"/>
    <x v="0"/>
    <n v="2"/>
    <x v="0"/>
    <n v="4"/>
    <x v="0"/>
  </r>
  <r>
    <s v="ORD00428"/>
    <x v="101"/>
    <s v="CUST739"/>
    <s v="Rahul"/>
    <x v="0"/>
    <x v="27"/>
    <x v="9"/>
    <x v="0"/>
    <x v="9"/>
    <x v="4"/>
    <n v="1"/>
    <n v="18999"/>
    <n v="20"/>
    <n v="3799.8"/>
    <n v="2735.86"/>
    <n v="252"/>
    <n v="17935.060000000001"/>
    <n v="18187.060000000001"/>
    <x v="2"/>
    <x v="0"/>
    <s v="Patiala"/>
    <x v="1"/>
    <x v="1"/>
    <n v="1"/>
    <x v="1"/>
    <n v="5"/>
    <x v="1"/>
  </r>
  <r>
    <s v="ORD00429"/>
    <x v="58"/>
    <s v="CUST649"/>
    <s v="Rahul"/>
    <x v="0"/>
    <x v="31"/>
    <x v="2"/>
    <x v="1"/>
    <x v="2"/>
    <x v="1"/>
    <n v="2"/>
    <n v="5211"/>
    <n v="10"/>
    <n v="1042.2"/>
    <n v="1688.36"/>
    <n v="185"/>
    <n v="11068.16"/>
    <n v="11253.16"/>
    <x v="2"/>
    <x v="1"/>
    <s v="Lucknow"/>
    <x v="4"/>
    <x v="1"/>
    <n v="2"/>
    <x v="0"/>
    <n v="3"/>
    <x v="3"/>
  </r>
  <r>
    <s v="ORD00430"/>
    <x v="106"/>
    <s v="CUST191"/>
    <s v="Neha"/>
    <x v="1"/>
    <x v="33"/>
    <x v="8"/>
    <x v="0"/>
    <x v="8"/>
    <x v="2"/>
    <n v="2"/>
    <n v="35117"/>
    <n v="20"/>
    <n v="14046.8"/>
    <n v="10113.700000000001"/>
    <n v="188"/>
    <n v="66300.899999999994"/>
    <n v="66488.899999999994"/>
    <x v="0"/>
    <x v="0"/>
    <s v="Bangalore"/>
    <x v="3"/>
    <x v="2"/>
    <n v="8"/>
    <x v="0"/>
    <n v="5"/>
    <x v="1"/>
  </r>
  <r>
    <s v="ORD00431"/>
    <x v="220"/>
    <s v="CUST850"/>
    <s v="Rahul"/>
    <x v="1"/>
    <x v="4"/>
    <x v="0"/>
    <x v="0"/>
    <x v="0"/>
    <x v="5"/>
    <n v="5"/>
    <n v="49331"/>
    <n v="10"/>
    <n v="24665.5"/>
    <n v="39958.11"/>
    <n v="272"/>
    <n v="261947.61"/>
    <n v="262219.61"/>
    <x v="1"/>
    <x v="1"/>
    <s v="Delhi"/>
    <x v="5"/>
    <x v="1"/>
    <n v="6"/>
    <x v="0"/>
    <n v="2"/>
    <x v="0"/>
  </r>
  <r>
    <s v="ORD00432"/>
    <x v="193"/>
    <s v="CUST746"/>
    <s v="Priya"/>
    <x v="0"/>
    <x v="4"/>
    <x v="9"/>
    <x v="0"/>
    <x v="9"/>
    <x v="6"/>
    <n v="4"/>
    <n v="41823"/>
    <n v="5"/>
    <n v="8364.6"/>
    <n v="28606.93"/>
    <n v="269"/>
    <n v="187534.33"/>
    <n v="187803.33"/>
    <x v="3"/>
    <x v="0"/>
    <s v="Bangalore"/>
    <x v="3"/>
    <x v="2"/>
    <n v="3"/>
    <x v="1"/>
    <n v="5"/>
    <x v="1"/>
  </r>
  <r>
    <s v="ORD00433"/>
    <x v="6"/>
    <s v="CUST320"/>
    <s v="Karan"/>
    <x v="1"/>
    <x v="23"/>
    <x v="4"/>
    <x v="0"/>
    <x v="4"/>
    <x v="7"/>
    <n v="2"/>
    <n v="34809"/>
    <n v="15"/>
    <n v="10442.700000000001"/>
    <n v="10651.55"/>
    <n v="154"/>
    <n v="69826.850000000006"/>
    <n v="69980.850000000006"/>
    <x v="0"/>
    <x v="1"/>
    <s v="Patiala"/>
    <x v="1"/>
    <x v="1"/>
    <n v="8"/>
    <x v="0"/>
    <n v="5"/>
    <x v="1"/>
  </r>
  <r>
    <s v="ORD00434"/>
    <x v="17"/>
    <s v="CUST277"/>
    <s v="Amit"/>
    <x v="0"/>
    <x v="28"/>
    <x v="4"/>
    <x v="0"/>
    <x v="4"/>
    <x v="5"/>
    <n v="3"/>
    <n v="4209"/>
    <n v="10"/>
    <n v="1262.7"/>
    <n v="2045.57"/>
    <n v="362"/>
    <n v="13409.87"/>
    <n v="13771.87"/>
    <x v="0"/>
    <x v="0"/>
    <s v="Chandigarh"/>
    <x v="1"/>
    <x v="1"/>
    <n v="9"/>
    <x v="1"/>
    <n v="4"/>
    <x v="3"/>
  </r>
  <r>
    <s v="ORD00435"/>
    <x v="257"/>
    <s v="CUST851"/>
    <s v="Neha"/>
    <x v="1"/>
    <x v="21"/>
    <x v="1"/>
    <x v="0"/>
    <x v="1"/>
    <x v="4"/>
    <n v="1"/>
    <n v="42001"/>
    <n v="5"/>
    <n v="2100.0500000000002"/>
    <n v="7182.17"/>
    <n v="105"/>
    <n v="47083.12"/>
    <n v="47188.12"/>
    <x v="0"/>
    <x v="0"/>
    <s v="Bangalore"/>
    <x v="3"/>
    <x v="2"/>
    <n v="2"/>
    <x v="0"/>
    <n v="4"/>
    <x v="2"/>
  </r>
  <r>
    <s v="ORD00436"/>
    <x v="111"/>
    <s v="CUST914"/>
    <s v="Priya"/>
    <x v="1"/>
    <x v="3"/>
    <x v="6"/>
    <x v="0"/>
    <x v="6"/>
    <x v="1"/>
    <n v="3"/>
    <n v="49226"/>
    <n v="20"/>
    <n v="29535.599999999999"/>
    <n v="21265.63"/>
    <n v="215"/>
    <n v="139408.03"/>
    <n v="139623.03"/>
    <x v="2"/>
    <x v="1"/>
    <s v="Chandigarh"/>
    <x v="1"/>
    <x v="1"/>
    <n v="7"/>
    <x v="1"/>
    <n v="5"/>
    <x v="2"/>
  </r>
  <r>
    <s v="ORD00437"/>
    <x v="258"/>
    <s v="CUST567"/>
    <s v="Amit"/>
    <x v="0"/>
    <x v="42"/>
    <x v="5"/>
    <x v="0"/>
    <x v="5"/>
    <x v="3"/>
    <n v="1"/>
    <n v="5104"/>
    <n v="20"/>
    <n v="1020.8"/>
    <n v="734.98"/>
    <n v="17"/>
    <n v="4818.18"/>
    <n v="4835.18"/>
    <x v="0"/>
    <x v="0"/>
    <s v="Chandigarh"/>
    <x v="1"/>
    <x v="1"/>
    <n v="2"/>
    <x v="1"/>
    <n v="5"/>
    <x v="3"/>
  </r>
  <r>
    <s v="ORD00438"/>
    <x v="259"/>
    <s v="CUST550"/>
    <s v="Rahul"/>
    <x v="0"/>
    <x v="41"/>
    <x v="9"/>
    <x v="0"/>
    <x v="9"/>
    <x v="2"/>
    <n v="5"/>
    <n v="27737"/>
    <n v="5"/>
    <n v="6934.25"/>
    <n v="23715.13"/>
    <n v="280"/>
    <n v="155465.89000000001"/>
    <n v="155745.89000000001"/>
    <x v="1"/>
    <x v="1"/>
    <s v="Pune"/>
    <x v="0"/>
    <x v="0"/>
    <n v="1"/>
    <x v="1"/>
    <n v="3"/>
    <x v="0"/>
  </r>
  <r>
    <s v="ORD00439"/>
    <x v="260"/>
    <s v="CUST645"/>
    <s v="Priya"/>
    <x v="1"/>
    <x v="13"/>
    <x v="0"/>
    <x v="0"/>
    <x v="0"/>
    <x v="3"/>
    <n v="2"/>
    <n v="2476"/>
    <n v="5"/>
    <n v="247.6"/>
    <n v="846.79"/>
    <n v="332"/>
    <n v="5551.19"/>
    <n v="5883.19"/>
    <x v="3"/>
    <x v="0"/>
    <s v="Chandigarh"/>
    <x v="1"/>
    <x v="1"/>
    <n v="10"/>
    <x v="0"/>
    <n v="4"/>
    <x v="1"/>
  </r>
  <r>
    <s v="ORD00440"/>
    <x v="209"/>
    <s v="CUST690"/>
    <s v="Vikas"/>
    <x v="1"/>
    <x v="40"/>
    <x v="2"/>
    <x v="1"/>
    <x v="2"/>
    <x v="4"/>
    <n v="5"/>
    <n v="41823"/>
    <n v="10"/>
    <n v="20911.5"/>
    <n v="33876.629999999997"/>
    <n v="228"/>
    <n v="222080.13"/>
    <n v="222308.13"/>
    <x v="2"/>
    <x v="0"/>
    <s v="Jaipur"/>
    <x v="2"/>
    <x v="1"/>
    <n v="1"/>
    <x v="0"/>
    <n v="5"/>
    <x v="2"/>
  </r>
  <r>
    <s v="ORD00441"/>
    <x v="219"/>
    <s v="CUST578"/>
    <s v="Sneha"/>
    <x v="0"/>
    <x v="6"/>
    <x v="0"/>
    <x v="0"/>
    <x v="0"/>
    <x v="6"/>
    <n v="4"/>
    <n v="24006"/>
    <n v="0"/>
    <n v="0"/>
    <n v="17284.32"/>
    <n v="134"/>
    <n v="113308.32"/>
    <n v="113442.32"/>
    <x v="1"/>
    <x v="0"/>
    <s v="Pune"/>
    <x v="0"/>
    <x v="0"/>
    <n v="2"/>
    <x v="1"/>
    <n v="5"/>
    <x v="0"/>
  </r>
  <r>
    <s v="ORD00442"/>
    <x v="137"/>
    <s v="CUST272"/>
    <s v="Rahul"/>
    <x v="1"/>
    <x v="21"/>
    <x v="5"/>
    <x v="0"/>
    <x v="5"/>
    <x v="0"/>
    <n v="5"/>
    <n v="23260"/>
    <n v="10"/>
    <n v="11630"/>
    <n v="18840.599999999999"/>
    <n v="403"/>
    <n v="123510.6"/>
    <n v="123913.60000000001"/>
    <x v="3"/>
    <x v="0"/>
    <s v="Patiala"/>
    <x v="1"/>
    <x v="1"/>
    <n v="10"/>
    <x v="1"/>
    <n v="2"/>
    <x v="2"/>
  </r>
  <r>
    <s v="ORD00443"/>
    <x v="160"/>
    <s v="CUST109"/>
    <s v="Neha"/>
    <x v="1"/>
    <x v="15"/>
    <x v="1"/>
    <x v="0"/>
    <x v="1"/>
    <x v="8"/>
    <n v="5"/>
    <n v="3544"/>
    <n v="0"/>
    <n v="0"/>
    <n v="3189.6"/>
    <n v="294"/>
    <n v="20909.599999999999"/>
    <n v="21203.599999999999"/>
    <x v="0"/>
    <x v="1"/>
    <s v="Bangalore"/>
    <x v="3"/>
    <x v="2"/>
    <n v="2"/>
    <x v="1"/>
    <n v="1"/>
    <x v="3"/>
  </r>
  <r>
    <s v="ORD00444"/>
    <x v="87"/>
    <s v="CUST435"/>
    <s v="Karan"/>
    <x v="1"/>
    <x v="24"/>
    <x v="4"/>
    <x v="0"/>
    <x v="4"/>
    <x v="7"/>
    <n v="3"/>
    <n v="45381"/>
    <n v="15"/>
    <n v="20421.45"/>
    <n v="20829.88"/>
    <n v="110"/>
    <n v="136551.43"/>
    <n v="136661.43"/>
    <x v="2"/>
    <x v="0"/>
    <s v="Lucknow"/>
    <x v="4"/>
    <x v="1"/>
    <n v="6"/>
    <x v="1"/>
    <n v="3"/>
    <x v="1"/>
  </r>
  <r>
    <s v="ORD00445"/>
    <x v="220"/>
    <s v="CUST772"/>
    <s v="Rahul"/>
    <x v="0"/>
    <x v="7"/>
    <x v="8"/>
    <x v="0"/>
    <x v="8"/>
    <x v="9"/>
    <n v="1"/>
    <n v="12252"/>
    <n v="5"/>
    <n v="612.6"/>
    <n v="2095.09"/>
    <n v="379"/>
    <n v="13734.49"/>
    <n v="14113.49"/>
    <x v="0"/>
    <x v="1"/>
    <s v="Mumbai"/>
    <x v="0"/>
    <x v="0"/>
    <n v="8"/>
    <x v="0"/>
    <n v="1"/>
    <x v="3"/>
  </r>
  <r>
    <s v="ORD00446"/>
    <x v="242"/>
    <s v="CUST456"/>
    <s v="Sneha"/>
    <x v="1"/>
    <x v="25"/>
    <x v="3"/>
    <x v="2"/>
    <x v="3"/>
    <x v="7"/>
    <n v="4"/>
    <n v="30619"/>
    <n v="0"/>
    <n v="0"/>
    <n v="22045.68"/>
    <n v="231"/>
    <n v="144521.68"/>
    <n v="144752.68"/>
    <x v="1"/>
    <x v="0"/>
    <s v="Patiala"/>
    <x v="1"/>
    <x v="1"/>
    <n v="4"/>
    <x v="0"/>
    <n v="2"/>
    <x v="1"/>
  </r>
  <r>
    <s v="ORD00447"/>
    <x v="174"/>
    <s v="CUST907"/>
    <s v="Neha"/>
    <x v="1"/>
    <x v="31"/>
    <x v="0"/>
    <x v="0"/>
    <x v="0"/>
    <x v="1"/>
    <n v="1"/>
    <n v="23553"/>
    <n v="20"/>
    <n v="4710.6000000000004"/>
    <n v="3391.63"/>
    <n v="243"/>
    <n v="22234.03"/>
    <n v="22477.03"/>
    <x v="1"/>
    <x v="0"/>
    <s v="Mumbai"/>
    <x v="0"/>
    <x v="0"/>
    <n v="8"/>
    <x v="1"/>
    <n v="4"/>
    <x v="3"/>
  </r>
  <r>
    <s v="ORD00448"/>
    <x v="9"/>
    <s v="CUST207"/>
    <s v="Karan"/>
    <x v="1"/>
    <x v="7"/>
    <x v="1"/>
    <x v="0"/>
    <x v="1"/>
    <x v="1"/>
    <n v="2"/>
    <n v="6603"/>
    <n v="5"/>
    <n v="660.3"/>
    <n v="2258.23"/>
    <n v="343"/>
    <n v="14803.93"/>
    <n v="15146.93"/>
    <x v="1"/>
    <x v="0"/>
    <s v="Pune"/>
    <x v="0"/>
    <x v="0"/>
    <n v="7"/>
    <x v="1"/>
    <n v="3"/>
    <x v="1"/>
  </r>
  <r>
    <s v="ORD00449"/>
    <x v="4"/>
    <s v="CUST934"/>
    <s v="Arjun"/>
    <x v="1"/>
    <x v="6"/>
    <x v="3"/>
    <x v="2"/>
    <x v="3"/>
    <x v="1"/>
    <n v="4"/>
    <n v="22851"/>
    <n v="20"/>
    <n v="18280.8"/>
    <n v="13162.18"/>
    <n v="359"/>
    <n v="86285.38"/>
    <n v="86644.38"/>
    <x v="1"/>
    <x v="0"/>
    <s v="Bangalore"/>
    <x v="3"/>
    <x v="2"/>
    <n v="7"/>
    <x v="1"/>
    <n v="3"/>
    <x v="1"/>
  </r>
  <r>
    <s v="ORD00450"/>
    <x v="76"/>
    <s v="CUST764"/>
    <s v="Rahul"/>
    <x v="0"/>
    <x v="15"/>
    <x v="8"/>
    <x v="0"/>
    <x v="8"/>
    <x v="3"/>
    <n v="1"/>
    <n v="25609"/>
    <n v="5"/>
    <n v="1280.45"/>
    <n v="4379.1400000000003"/>
    <n v="97"/>
    <n v="28707.69"/>
    <n v="28804.69"/>
    <x v="2"/>
    <x v="0"/>
    <s v="Patiala"/>
    <x v="1"/>
    <x v="1"/>
    <n v="1"/>
    <x v="0"/>
    <n v="5"/>
    <x v="1"/>
  </r>
  <r>
    <s v="ORD00451"/>
    <x v="136"/>
    <s v="CUST804"/>
    <s v="Rahul"/>
    <x v="1"/>
    <x v="38"/>
    <x v="0"/>
    <x v="0"/>
    <x v="0"/>
    <x v="5"/>
    <n v="2"/>
    <n v="14636"/>
    <n v="5"/>
    <n v="1463.6"/>
    <n v="5005.51"/>
    <n v="189"/>
    <n v="32813.910000000003"/>
    <n v="33002.910000000003"/>
    <x v="3"/>
    <x v="1"/>
    <s v="Mumbai"/>
    <x v="0"/>
    <x v="0"/>
    <n v="2"/>
    <x v="0"/>
    <n v="4"/>
    <x v="1"/>
  </r>
  <r>
    <s v="ORD00452"/>
    <x v="136"/>
    <s v="CUST633"/>
    <s v="Vikas"/>
    <x v="1"/>
    <x v="25"/>
    <x v="1"/>
    <x v="0"/>
    <x v="1"/>
    <x v="2"/>
    <n v="2"/>
    <n v="38206"/>
    <n v="0"/>
    <n v="0"/>
    <n v="13754.16"/>
    <n v="460"/>
    <n v="90166.16"/>
    <n v="90626.16"/>
    <x v="0"/>
    <x v="0"/>
    <s v="Delhi"/>
    <x v="5"/>
    <x v="1"/>
    <n v="7"/>
    <x v="0"/>
    <n v="5"/>
    <x v="1"/>
  </r>
  <r>
    <s v="ORD00453"/>
    <x v="116"/>
    <s v="CUST838"/>
    <s v="Arjun"/>
    <x v="1"/>
    <x v="7"/>
    <x v="0"/>
    <x v="0"/>
    <x v="0"/>
    <x v="2"/>
    <n v="4"/>
    <n v="16160"/>
    <n v="20"/>
    <n v="12928"/>
    <n v="9308.16"/>
    <n v="422"/>
    <n v="61020.160000000003"/>
    <n v="61442.16"/>
    <x v="0"/>
    <x v="1"/>
    <s v="Bangalore"/>
    <x v="3"/>
    <x v="2"/>
    <n v="5"/>
    <x v="0"/>
    <n v="1"/>
    <x v="2"/>
  </r>
  <r>
    <s v="ORD00454"/>
    <x v="261"/>
    <s v="CUST448"/>
    <s v="Anjali"/>
    <x v="0"/>
    <x v="8"/>
    <x v="9"/>
    <x v="0"/>
    <x v="9"/>
    <x v="7"/>
    <n v="5"/>
    <n v="31197"/>
    <n v="15"/>
    <n v="23397.75"/>
    <n v="23865.7"/>
    <n v="389"/>
    <n v="156452.95000000001"/>
    <n v="156841.95000000001"/>
    <x v="0"/>
    <x v="1"/>
    <s v="Lucknow"/>
    <x v="4"/>
    <x v="1"/>
    <n v="6"/>
    <x v="0"/>
    <n v="2"/>
    <x v="0"/>
  </r>
  <r>
    <s v="ORD00455"/>
    <x v="37"/>
    <s v="CUST889"/>
    <s v="Anjali"/>
    <x v="0"/>
    <x v="2"/>
    <x v="0"/>
    <x v="0"/>
    <x v="0"/>
    <x v="2"/>
    <n v="4"/>
    <n v="10812"/>
    <n v="0"/>
    <n v="0"/>
    <n v="7784.64"/>
    <n v="76"/>
    <n v="51032.639999999999"/>
    <n v="51108.639999999999"/>
    <x v="0"/>
    <x v="0"/>
    <s v="Delhi"/>
    <x v="5"/>
    <x v="1"/>
    <n v="6"/>
    <x v="1"/>
    <n v="3"/>
    <x v="2"/>
  </r>
  <r>
    <s v="ORD00456"/>
    <x v="231"/>
    <s v="CUST772"/>
    <s v="Rahul"/>
    <x v="0"/>
    <x v="32"/>
    <x v="9"/>
    <x v="0"/>
    <x v="9"/>
    <x v="9"/>
    <n v="1"/>
    <n v="13238"/>
    <n v="20"/>
    <n v="2647.6"/>
    <n v="1906.27"/>
    <n v="33"/>
    <n v="12496.67"/>
    <n v="12529.67"/>
    <x v="0"/>
    <x v="1"/>
    <s v="Bangalore"/>
    <x v="3"/>
    <x v="2"/>
    <n v="7"/>
    <x v="1"/>
    <n v="1"/>
    <x v="2"/>
  </r>
  <r>
    <s v="ORD00457"/>
    <x v="262"/>
    <s v="CUST174"/>
    <s v="Amit"/>
    <x v="1"/>
    <x v="21"/>
    <x v="6"/>
    <x v="0"/>
    <x v="6"/>
    <x v="3"/>
    <n v="2"/>
    <n v="19330"/>
    <n v="5"/>
    <n v="1933"/>
    <n v="6610.86"/>
    <n v="455"/>
    <n v="43337.86"/>
    <n v="43792.86"/>
    <x v="3"/>
    <x v="0"/>
    <s v="Lucknow"/>
    <x v="4"/>
    <x v="1"/>
    <n v="10"/>
    <x v="1"/>
    <n v="3"/>
    <x v="0"/>
  </r>
  <r>
    <s v="ORD00458"/>
    <x v="120"/>
    <s v="CUST208"/>
    <s v="Karan"/>
    <x v="0"/>
    <x v="33"/>
    <x v="4"/>
    <x v="0"/>
    <x v="4"/>
    <x v="1"/>
    <n v="5"/>
    <n v="36209"/>
    <n v="10"/>
    <n v="18104.5"/>
    <n v="29329.29"/>
    <n v="361"/>
    <n v="192269.79"/>
    <n v="192630.79"/>
    <x v="1"/>
    <x v="1"/>
    <s v="Jaipur"/>
    <x v="2"/>
    <x v="1"/>
    <n v="3"/>
    <x v="0"/>
    <n v="3"/>
    <x v="3"/>
  </r>
  <r>
    <s v="ORD00459"/>
    <x v="12"/>
    <s v="CUST503"/>
    <s v="Rahul"/>
    <x v="1"/>
    <x v="19"/>
    <x v="2"/>
    <x v="1"/>
    <x v="2"/>
    <x v="4"/>
    <n v="1"/>
    <n v="29971"/>
    <n v="10"/>
    <n v="2997.1"/>
    <n v="4855.3"/>
    <n v="401"/>
    <n v="31829.200000000001"/>
    <n v="32230.2"/>
    <x v="3"/>
    <x v="1"/>
    <s v="Mumbai"/>
    <x v="0"/>
    <x v="0"/>
    <n v="3"/>
    <x v="1"/>
    <n v="5"/>
    <x v="3"/>
  </r>
  <r>
    <s v="ORD00460"/>
    <x v="121"/>
    <s v="CUST569"/>
    <s v="Anjali"/>
    <x v="1"/>
    <x v="35"/>
    <x v="9"/>
    <x v="0"/>
    <x v="9"/>
    <x v="3"/>
    <n v="2"/>
    <n v="32711"/>
    <n v="10"/>
    <n v="6542.2"/>
    <n v="10598.36"/>
    <n v="374"/>
    <n v="69478.16"/>
    <n v="69852.160000000003"/>
    <x v="2"/>
    <x v="1"/>
    <s v="Lucknow"/>
    <x v="4"/>
    <x v="1"/>
    <n v="9"/>
    <x v="1"/>
    <n v="5"/>
    <x v="2"/>
  </r>
  <r>
    <s v="ORD00461"/>
    <x v="44"/>
    <s v="CUST359"/>
    <s v="Anjali"/>
    <x v="0"/>
    <x v="41"/>
    <x v="9"/>
    <x v="0"/>
    <x v="9"/>
    <x v="2"/>
    <n v="2"/>
    <n v="8328"/>
    <n v="5"/>
    <n v="832.8"/>
    <n v="2848.18"/>
    <n v="251"/>
    <n v="18671.38"/>
    <n v="18922.38"/>
    <x v="0"/>
    <x v="1"/>
    <s v="Bangalore"/>
    <x v="3"/>
    <x v="2"/>
    <n v="3"/>
    <x v="1"/>
    <n v="3"/>
    <x v="3"/>
  </r>
  <r>
    <s v="ORD00462"/>
    <x v="25"/>
    <s v="CUST698"/>
    <s v="Vikas"/>
    <x v="0"/>
    <x v="13"/>
    <x v="6"/>
    <x v="0"/>
    <x v="6"/>
    <x v="9"/>
    <n v="4"/>
    <n v="35256"/>
    <n v="10"/>
    <n v="14102.4"/>
    <n v="22845.89"/>
    <n v="104"/>
    <n v="149767.49"/>
    <n v="149871.49"/>
    <x v="3"/>
    <x v="1"/>
    <s v="Patiala"/>
    <x v="1"/>
    <x v="1"/>
    <n v="9"/>
    <x v="1"/>
    <n v="5"/>
    <x v="1"/>
  </r>
  <r>
    <s v="ORD00463"/>
    <x v="227"/>
    <s v="CUST957"/>
    <s v="Amit"/>
    <x v="1"/>
    <x v="6"/>
    <x v="0"/>
    <x v="0"/>
    <x v="0"/>
    <x v="3"/>
    <n v="2"/>
    <n v="45154"/>
    <n v="20"/>
    <n v="18061.599999999999"/>
    <n v="13004.35"/>
    <n v="214"/>
    <n v="85250.75"/>
    <n v="85464.75"/>
    <x v="3"/>
    <x v="0"/>
    <s v="Mumbai"/>
    <x v="0"/>
    <x v="0"/>
    <n v="6"/>
    <x v="0"/>
    <n v="3"/>
    <x v="0"/>
  </r>
  <r>
    <s v="ORD00464"/>
    <x v="124"/>
    <s v="CUST272"/>
    <s v="Karan"/>
    <x v="0"/>
    <x v="39"/>
    <x v="0"/>
    <x v="0"/>
    <x v="0"/>
    <x v="1"/>
    <n v="4"/>
    <n v="12691"/>
    <n v="5"/>
    <n v="2538.1999999999998"/>
    <n v="8680.64"/>
    <n v="366"/>
    <n v="56906.44"/>
    <n v="57272.44"/>
    <x v="1"/>
    <x v="1"/>
    <s v="Bangalore"/>
    <x v="3"/>
    <x v="2"/>
    <n v="3"/>
    <x v="1"/>
    <n v="4"/>
    <x v="3"/>
  </r>
  <r>
    <s v="ORD00465"/>
    <x v="70"/>
    <s v="CUST382"/>
    <s v="Rahul"/>
    <x v="0"/>
    <x v="24"/>
    <x v="2"/>
    <x v="1"/>
    <x v="2"/>
    <x v="8"/>
    <n v="1"/>
    <n v="34542"/>
    <n v="20"/>
    <n v="6908.4"/>
    <n v="4974.05"/>
    <n v="179"/>
    <n v="32607.65"/>
    <n v="32786.65"/>
    <x v="3"/>
    <x v="1"/>
    <s v="Jaipur"/>
    <x v="2"/>
    <x v="1"/>
    <n v="8"/>
    <x v="0"/>
    <n v="2"/>
    <x v="2"/>
  </r>
  <r>
    <s v="ORD00466"/>
    <x v="105"/>
    <s v="CUST391"/>
    <s v="Karan"/>
    <x v="1"/>
    <x v="42"/>
    <x v="9"/>
    <x v="0"/>
    <x v="9"/>
    <x v="4"/>
    <n v="2"/>
    <n v="43091"/>
    <n v="5"/>
    <n v="4309.1000000000004"/>
    <n v="14737.12"/>
    <n v="410"/>
    <n v="96610.02"/>
    <n v="97020.02"/>
    <x v="1"/>
    <x v="1"/>
    <s v="Pune"/>
    <x v="0"/>
    <x v="0"/>
    <n v="1"/>
    <x v="1"/>
    <n v="2"/>
    <x v="3"/>
  </r>
  <r>
    <s v="ORD00467"/>
    <x v="208"/>
    <s v="CUST932"/>
    <s v="Rahul"/>
    <x v="0"/>
    <x v="27"/>
    <x v="7"/>
    <x v="1"/>
    <x v="7"/>
    <x v="1"/>
    <n v="4"/>
    <n v="8212"/>
    <n v="5"/>
    <n v="1642.4"/>
    <n v="5617.01"/>
    <n v="456"/>
    <n v="36822.61"/>
    <n v="37278.61"/>
    <x v="3"/>
    <x v="0"/>
    <s v="Patiala"/>
    <x v="1"/>
    <x v="1"/>
    <n v="5"/>
    <x v="1"/>
    <n v="2"/>
    <x v="0"/>
  </r>
  <r>
    <s v="ORD00468"/>
    <x v="47"/>
    <s v="CUST150"/>
    <s v="Priya"/>
    <x v="0"/>
    <x v="39"/>
    <x v="7"/>
    <x v="1"/>
    <x v="7"/>
    <x v="0"/>
    <n v="2"/>
    <n v="20842"/>
    <n v="5"/>
    <n v="2084.1999999999998"/>
    <n v="7127.96"/>
    <n v="476"/>
    <n v="46727.76"/>
    <n v="47203.76"/>
    <x v="3"/>
    <x v="0"/>
    <s v="Jaipur"/>
    <x v="2"/>
    <x v="1"/>
    <n v="6"/>
    <x v="0"/>
    <n v="5"/>
    <x v="0"/>
  </r>
  <r>
    <s v="ORD00469"/>
    <x v="160"/>
    <s v="CUST330"/>
    <s v="Sneha"/>
    <x v="0"/>
    <x v="35"/>
    <x v="1"/>
    <x v="0"/>
    <x v="1"/>
    <x v="1"/>
    <n v="1"/>
    <n v="47724"/>
    <n v="0"/>
    <n v="0"/>
    <n v="8590.32"/>
    <n v="1"/>
    <n v="56314.32"/>
    <n v="56315.32"/>
    <x v="0"/>
    <x v="1"/>
    <s v="Delhi"/>
    <x v="5"/>
    <x v="1"/>
    <n v="9"/>
    <x v="1"/>
    <n v="5"/>
    <x v="1"/>
  </r>
  <r>
    <s v="ORD00470"/>
    <x v="263"/>
    <s v="CUST732"/>
    <s v="Rahul"/>
    <x v="0"/>
    <x v="32"/>
    <x v="5"/>
    <x v="0"/>
    <x v="5"/>
    <x v="7"/>
    <n v="4"/>
    <n v="10839"/>
    <n v="0"/>
    <n v="0"/>
    <n v="7804.08"/>
    <n v="263"/>
    <n v="51160.08"/>
    <n v="51423.08"/>
    <x v="3"/>
    <x v="1"/>
    <s v="Patiala"/>
    <x v="1"/>
    <x v="1"/>
    <n v="10"/>
    <x v="1"/>
    <n v="2"/>
    <x v="0"/>
  </r>
  <r>
    <s v="ORD00471"/>
    <x v="30"/>
    <s v="CUST155"/>
    <s v="Amit"/>
    <x v="0"/>
    <x v="22"/>
    <x v="0"/>
    <x v="0"/>
    <x v="0"/>
    <x v="3"/>
    <n v="3"/>
    <n v="26534"/>
    <n v="20"/>
    <n v="15920.4"/>
    <n v="11462.69"/>
    <n v="204"/>
    <n v="75144.289999999994"/>
    <n v="75348.289999999994"/>
    <x v="1"/>
    <x v="0"/>
    <s v="Patiala"/>
    <x v="1"/>
    <x v="1"/>
    <n v="1"/>
    <x v="0"/>
    <n v="3"/>
    <x v="3"/>
  </r>
  <r>
    <s v="ORD00472"/>
    <x v="264"/>
    <s v="CUST813"/>
    <s v="Amit"/>
    <x v="0"/>
    <x v="18"/>
    <x v="8"/>
    <x v="0"/>
    <x v="8"/>
    <x v="2"/>
    <n v="4"/>
    <n v="31580"/>
    <n v="0"/>
    <n v="0"/>
    <n v="22737.599999999999"/>
    <n v="323"/>
    <n v="149057.60000000001"/>
    <n v="149380.6"/>
    <x v="3"/>
    <x v="1"/>
    <s v="Mumbai"/>
    <x v="0"/>
    <x v="0"/>
    <n v="9"/>
    <x v="1"/>
    <n v="4"/>
    <x v="1"/>
  </r>
  <r>
    <s v="ORD00473"/>
    <x v="265"/>
    <s v="CUST586"/>
    <s v="Priya"/>
    <x v="1"/>
    <x v="5"/>
    <x v="1"/>
    <x v="0"/>
    <x v="1"/>
    <x v="7"/>
    <n v="2"/>
    <n v="35161"/>
    <n v="15"/>
    <n v="10548.3"/>
    <n v="10759.27"/>
    <n v="349"/>
    <n v="70532.97"/>
    <n v="70881.97"/>
    <x v="1"/>
    <x v="1"/>
    <s v="Jaipur"/>
    <x v="2"/>
    <x v="1"/>
    <n v="3"/>
    <x v="0"/>
    <n v="2"/>
    <x v="2"/>
  </r>
  <r>
    <s v="ORD00474"/>
    <x v="65"/>
    <s v="CUST156"/>
    <s v="Anjali"/>
    <x v="0"/>
    <x v="40"/>
    <x v="8"/>
    <x v="0"/>
    <x v="8"/>
    <x v="4"/>
    <n v="3"/>
    <n v="48636"/>
    <n v="0"/>
    <n v="0"/>
    <n v="26263.439999999999"/>
    <n v="268"/>
    <n v="172171.44"/>
    <n v="172439.44"/>
    <x v="2"/>
    <x v="0"/>
    <s v="Pune"/>
    <x v="0"/>
    <x v="0"/>
    <n v="6"/>
    <x v="0"/>
    <n v="3"/>
    <x v="2"/>
  </r>
  <r>
    <s v="ORD00475"/>
    <x v="237"/>
    <s v="CUST781"/>
    <s v="Anjali"/>
    <x v="1"/>
    <x v="13"/>
    <x v="3"/>
    <x v="2"/>
    <x v="3"/>
    <x v="4"/>
    <n v="2"/>
    <n v="31744"/>
    <n v="20"/>
    <n v="12697.6"/>
    <n v="9142.27"/>
    <n v="209"/>
    <n v="59932.67"/>
    <n v="60141.67"/>
    <x v="3"/>
    <x v="0"/>
    <s v="Chandigarh"/>
    <x v="1"/>
    <x v="1"/>
    <n v="7"/>
    <x v="0"/>
    <n v="5"/>
    <x v="3"/>
  </r>
  <r>
    <s v="ORD00476"/>
    <x v="221"/>
    <s v="CUST381"/>
    <s v="Priya"/>
    <x v="1"/>
    <x v="8"/>
    <x v="0"/>
    <x v="0"/>
    <x v="0"/>
    <x v="5"/>
    <n v="4"/>
    <n v="31822"/>
    <n v="0"/>
    <n v="0"/>
    <n v="22911.84"/>
    <n v="60"/>
    <n v="150199.84"/>
    <n v="150259.84"/>
    <x v="1"/>
    <x v="1"/>
    <s v="Lucknow"/>
    <x v="4"/>
    <x v="1"/>
    <n v="1"/>
    <x v="0"/>
    <n v="3"/>
    <x v="1"/>
  </r>
  <r>
    <s v="ORD00477"/>
    <x v="10"/>
    <s v="CUST124"/>
    <s v="Riya"/>
    <x v="0"/>
    <x v="30"/>
    <x v="7"/>
    <x v="1"/>
    <x v="7"/>
    <x v="1"/>
    <n v="4"/>
    <n v="2368"/>
    <n v="20"/>
    <n v="1894.4"/>
    <n v="1363.97"/>
    <n v="373"/>
    <n v="8941.57"/>
    <n v="9314.57"/>
    <x v="1"/>
    <x v="0"/>
    <s v="Jaipur"/>
    <x v="2"/>
    <x v="1"/>
    <n v="6"/>
    <x v="1"/>
    <n v="1"/>
    <x v="1"/>
  </r>
  <r>
    <s v="ORD00478"/>
    <x v="266"/>
    <s v="CUST363"/>
    <s v="Priya"/>
    <x v="0"/>
    <x v="31"/>
    <x v="7"/>
    <x v="1"/>
    <x v="7"/>
    <x v="0"/>
    <n v="5"/>
    <n v="48760"/>
    <n v="5"/>
    <n v="12190"/>
    <n v="41689.800000000003"/>
    <n v="420"/>
    <n v="273299.8"/>
    <n v="273719.8"/>
    <x v="0"/>
    <x v="0"/>
    <s v="Lucknow"/>
    <x v="4"/>
    <x v="1"/>
    <n v="7"/>
    <x v="1"/>
    <n v="4"/>
    <x v="1"/>
  </r>
  <r>
    <s v="ORD00479"/>
    <x v="70"/>
    <s v="CUST349"/>
    <s v="Amit"/>
    <x v="1"/>
    <x v="41"/>
    <x v="0"/>
    <x v="0"/>
    <x v="0"/>
    <x v="2"/>
    <n v="5"/>
    <n v="39991"/>
    <n v="10"/>
    <n v="19995.5"/>
    <n v="32392.71"/>
    <n v="310"/>
    <n v="212352.21"/>
    <n v="212662.21"/>
    <x v="0"/>
    <x v="0"/>
    <s v="Pune"/>
    <x v="0"/>
    <x v="0"/>
    <n v="8"/>
    <x v="0"/>
    <n v="5"/>
    <x v="1"/>
  </r>
  <r>
    <s v="ORD00480"/>
    <x v="60"/>
    <s v="CUST970"/>
    <s v="Vikas"/>
    <x v="1"/>
    <x v="27"/>
    <x v="5"/>
    <x v="0"/>
    <x v="5"/>
    <x v="6"/>
    <n v="1"/>
    <n v="47402"/>
    <n v="5"/>
    <n v="2370.1"/>
    <n v="8105.74"/>
    <n v="192"/>
    <n v="53137.64"/>
    <n v="53329.64"/>
    <x v="2"/>
    <x v="1"/>
    <s v="Chandigarh"/>
    <x v="1"/>
    <x v="1"/>
    <n v="5"/>
    <x v="0"/>
    <n v="2"/>
    <x v="2"/>
  </r>
  <r>
    <s v="ORD00481"/>
    <x v="65"/>
    <s v="CUST614"/>
    <s v="Priya"/>
    <x v="1"/>
    <x v="36"/>
    <x v="6"/>
    <x v="0"/>
    <x v="6"/>
    <x v="8"/>
    <n v="3"/>
    <n v="42924"/>
    <n v="20"/>
    <n v="25754.400000000001"/>
    <n v="18543.169999999998"/>
    <n v="373"/>
    <n v="121560.77"/>
    <n v="121933.77"/>
    <x v="2"/>
    <x v="0"/>
    <s v="Patiala"/>
    <x v="1"/>
    <x v="1"/>
    <n v="2"/>
    <x v="1"/>
    <n v="4"/>
    <x v="3"/>
  </r>
  <r>
    <s v="ORD00482"/>
    <x v="267"/>
    <s v="CUST239"/>
    <s v="Anjali"/>
    <x v="1"/>
    <x v="2"/>
    <x v="1"/>
    <x v="0"/>
    <x v="1"/>
    <x v="2"/>
    <n v="2"/>
    <n v="43493"/>
    <n v="5"/>
    <n v="4349.3"/>
    <n v="14874.61"/>
    <n v="499"/>
    <n v="97511.31"/>
    <n v="98010.31"/>
    <x v="3"/>
    <x v="1"/>
    <s v="Mumbai"/>
    <x v="0"/>
    <x v="0"/>
    <n v="10"/>
    <x v="1"/>
    <n v="4"/>
    <x v="0"/>
  </r>
  <r>
    <s v="ORD00483"/>
    <x v="49"/>
    <s v="CUST477"/>
    <s v="Neha"/>
    <x v="0"/>
    <x v="7"/>
    <x v="7"/>
    <x v="1"/>
    <x v="7"/>
    <x v="4"/>
    <n v="1"/>
    <n v="23370"/>
    <n v="0"/>
    <n v="0"/>
    <n v="4206.6000000000004"/>
    <n v="413"/>
    <n v="27576.6"/>
    <n v="27989.599999999999"/>
    <x v="3"/>
    <x v="1"/>
    <s v="Bangalore"/>
    <x v="3"/>
    <x v="2"/>
    <n v="6"/>
    <x v="0"/>
    <n v="4"/>
    <x v="1"/>
  </r>
  <r>
    <s v="ORD00484"/>
    <x v="173"/>
    <s v="CUST128"/>
    <s v="Neha"/>
    <x v="1"/>
    <x v="9"/>
    <x v="0"/>
    <x v="0"/>
    <x v="0"/>
    <x v="1"/>
    <n v="3"/>
    <n v="47124"/>
    <n v="10"/>
    <n v="14137.2"/>
    <n v="22902.26"/>
    <n v="40"/>
    <n v="150137.06"/>
    <n v="150177.06"/>
    <x v="2"/>
    <x v="1"/>
    <s v="Delhi"/>
    <x v="5"/>
    <x v="1"/>
    <n v="4"/>
    <x v="0"/>
    <n v="3"/>
    <x v="3"/>
  </r>
  <r>
    <s v="ORD00485"/>
    <x v="268"/>
    <s v="CUST113"/>
    <s v="Karan"/>
    <x v="0"/>
    <x v="18"/>
    <x v="9"/>
    <x v="0"/>
    <x v="9"/>
    <x v="9"/>
    <n v="1"/>
    <n v="27733"/>
    <n v="5"/>
    <n v="1386.65"/>
    <n v="4742.34"/>
    <n v="481"/>
    <n v="31088.69"/>
    <n v="31569.69"/>
    <x v="3"/>
    <x v="0"/>
    <s v="Pune"/>
    <x v="0"/>
    <x v="0"/>
    <n v="8"/>
    <x v="0"/>
    <n v="3"/>
    <x v="0"/>
  </r>
  <r>
    <s v="ORD00486"/>
    <x v="38"/>
    <s v="CUST364"/>
    <s v="Neha"/>
    <x v="0"/>
    <x v="33"/>
    <x v="4"/>
    <x v="0"/>
    <x v="4"/>
    <x v="9"/>
    <n v="1"/>
    <n v="16619"/>
    <n v="5"/>
    <n v="830.95"/>
    <n v="2841.85"/>
    <n v="416"/>
    <n v="18629.900000000001"/>
    <n v="19045.900000000001"/>
    <x v="2"/>
    <x v="0"/>
    <s v="Bangalore"/>
    <x v="3"/>
    <x v="2"/>
    <n v="4"/>
    <x v="0"/>
    <n v="1"/>
    <x v="1"/>
  </r>
  <r>
    <s v="ORD00487"/>
    <x v="118"/>
    <s v="CUST930"/>
    <s v="Rahul"/>
    <x v="1"/>
    <x v="38"/>
    <x v="7"/>
    <x v="1"/>
    <x v="7"/>
    <x v="6"/>
    <n v="3"/>
    <n v="16882"/>
    <n v="10"/>
    <n v="5064.6000000000004"/>
    <n v="8204.65"/>
    <n v="146"/>
    <n v="53786.05"/>
    <n v="53932.05"/>
    <x v="0"/>
    <x v="1"/>
    <s v="Delhi"/>
    <x v="5"/>
    <x v="1"/>
    <n v="2"/>
    <x v="0"/>
    <n v="5"/>
    <x v="3"/>
  </r>
  <r>
    <s v="ORD00488"/>
    <x v="6"/>
    <s v="CUST494"/>
    <s v="Amit"/>
    <x v="0"/>
    <x v="7"/>
    <x v="4"/>
    <x v="0"/>
    <x v="4"/>
    <x v="7"/>
    <n v="3"/>
    <n v="42848"/>
    <n v="15"/>
    <n v="19281.599999999999"/>
    <n v="19667.23"/>
    <n v="22"/>
    <n v="128929.63"/>
    <n v="128951.63"/>
    <x v="2"/>
    <x v="0"/>
    <s v="Patiala"/>
    <x v="1"/>
    <x v="1"/>
    <n v="3"/>
    <x v="0"/>
    <n v="2"/>
    <x v="1"/>
  </r>
  <r>
    <s v="ORD00489"/>
    <x v="51"/>
    <s v="CUST202"/>
    <s v="Sneha"/>
    <x v="1"/>
    <x v="10"/>
    <x v="3"/>
    <x v="2"/>
    <x v="3"/>
    <x v="2"/>
    <n v="3"/>
    <n v="17988"/>
    <n v="10"/>
    <n v="5396.4"/>
    <n v="8742.17"/>
    <n v="462"/>
    <n v="57309.77"/>
    <n v="57771.77"/>
    <x v="3"/>
    <x v="0"/>
    <s v="Jaipur"/>
    <x v="2"/>
    <x v="1"/>
    <n v="10"/>
    <x v="0"/>
    <n v="2"/>
    <x v="3"/>
  </r>
  <r>
    <s v="ORD00490"/>
    <x v="32"/>
    <s v="CUST228"/>
    <s v="Vikas"/>
    <x v="1"/>
    <x v="12"/>
    <x v="7"/>
    <x v="1"/>
    <x v="7"/>
    <x v="5"/>
    <n v="4"/>
    <n v="20757"/>
    <n v="0"/>
    <n v="0"/>
    <n v="14945.04"/>
    <n v="65"/>
    <n v="97973.04"/>
    <n v="98038.04"/>
    <x v="2"/>
    <x v="0"/>
    <s v="Patiala"/>
    <x v="1"/>
    <x v="1"/>
    <n v="6"/>
    <x v="1"/>
    <n v="4"/>
    <x v="2"/>
  </r>
  <r>
    <s v="ORD00491"/>
    <x v="137"/>
    <s v="CUST636"/>
    <s v="Arjun"/>
    <x v="1"/>
    <x v="16"/>
    <x v="8"/>
    <x v="0"/>
    <x v="8"/>
    <x v="4"/>
    <n v="2"/>
    <n v="36202"/>
    <n v="10"/>
    <n v="7240.4"/>
    <n v="11729.45"/>
    <n v="49"/>
    <n v="76893.05"/>
    <n v="76942.05"/>
    <x v="2"/>
    <x v="1"/>
    <s v="Delhi"/>
    <x v="5"/>
    <x v="1"/>
    <n v="10"/>
    <x v="1"/>
    <n v="3"/>
    <x v="2"/>
  </r>
  <r>
    <s v="ORD00492"/>
    <x v="269"/>
    <s v="CUST362"/>
    <s v="Amit"/>
    <x v="1"/>
    <x v="14"/>
    <x v="5"/>
    <x v="0"/>
    <x v="5"/>
    <x v="2"/>
    <n v="5"/>
    <n v="8252"/>
    <n v="20"/>
    <n v="8252"/>
    <n v="5941.44"/>
    <n v="389"/>
    <n v="38949.440000000002"/>
    <n v="39338.44"/>
    <x v="2"/>
    <x v="0"/>
    <s v="Pune"/>
    <x v="0"/>
    <x v="0"/>
    <n v="5"/>
    <x v="1"/>
    <n v="3"/>
    <x v="3"/>
  </r>
  <r>
    <s v="ORD00493"/>
    <x v="40"/>
    <s v="CUST228"/>
    <s v="Amit"/>
    <x v="0"/>
    <x v="28"/>
    <x v="3"/>
    <x v="2"/>
    <x v="3"/>
    <x v="2"/>
    <n v="1"/>
    <n v="49467"/>
    <n v="20"/>
    <n v="9893.4"/>
    <n v="7123.25"/>
    <n v="217"/>
    <n v="46696.85"/>
    <n v="46913.85"/>
    <x v="2"/>
    <x v="1"/>
    <s v="Bangalore"/>
    <x v="3"/>
    <x v="2"/>
    <n v="5"/>
    <x v="0"/>
    <n v="3"/>
    <x v="2"/>
  </r>
  <r>
    <s v="ORD00494"/>
    <x v="115"/>
    <s v="CUST395"/>
    <s v="Neha"/>
    <x v="0"/>
    <x v="14"/>
    <x v="2"/>
    <x v="1"/>
    <x v="2"/>
    <x v="5"/>
    <n v="4"/>
    <n v="21774"/>
    <n v="20"/>
    <n v="17419.2"/>
    <n v="12541.82"/>
    <n v="11"/>
    <n v="82218.62"/>
    <n v="82229.62"/>
    <x v="2"/>
    <x v="1"/>
    <s v="Lucknow"/>
    <x v="4"/>
    <x v="1"/>
    <n v="5"/>
    <x v="1"/>
    <n v="1"/>
    <x v="3"/>
  </r>
  <r>
    <s v="ORD00495"/>
    <x v="148"/>
    <s v="CUST540"/>
    <s v="Amit"/>
    <x v="1"/>
    <x v="16"/>
    <x v="4"/>
    <x v="0"/>
    <x v="4"/>
    <x v="6"/>
    <n v="4"/>
    <n v="47507"/>
    <n v="5"/>
    <n v="9501.4"/>
    <n v="32494.79"/>
    <n v="181"/>
    <n v="213021.39"/>
    <n v="213202.39"/>
    <x v="0"/>
    <x v="1"/>
    <s v="Lucknow"/>
    <x v="4"/>
    <x v="1"/>
    <n v="7"/>
    <x v="1"/>
    <n v="2"/>
    <x v="3"/>
  </r>
  <r>
    <s v="ORD00496"/>
    <x v="260"/>
    <s v="CUST302"/>
    <s v="Sneha"/>
    <x v="1"/>
    <x v="2"/>
    <x v="9"/>
    <x v="0"/>
    <x v="9"/>
    <x v="6"/>
    <n v="3"/>
    <n v="36790"/>
    <n v="10"/>
    <n v="11037"/>
    <n v="17879.939999999999"/>
    <n v="0"/>
    <n v="117212.94"/>
    <n v="117212.94"/>
    <x v="0"/>
    <x v="1"/>
    <s v="Lucknow"/>
    <x v="4"/>
    <x v="1"/>
    <n v="7"/>
    <x v="0"/>
    <n v="1"/>
    <x v="3"/>
  </r>
  <r>
    <s v="ORD00497"/>
    <x v="116"/>
    <s v="CUST549"/>
    <s v="Vikas"/>
    <x v="0"/>
    <x v="4"/>
    <x v="4"/>
    <x v="0"/>
    <x v="4"/>
    <x v="2"/>
    <n v="1"/>
    <n v="29785"/>
    <n v="20"/>
    <n v="5957"/>
    <n v="4289.04"/>
    <n v="223"/>
    <n v="28117.040000000001"/>
    <n v="28340.04"/>
    <x v="0"/>
    <x v="1"/>
    <s v="Pune"/>
    <x v="0"/>
    <x v="0"/>
    <n v="1"/>
    <x v="1"/>
    <n v="1"/>
    <x v="3"/>
  </r>
  <r>
    <s v="ORD00498"/>
    <x v="20"/>
    <s v="CUST384"/>
    <s v="Sneha"/>
    <x v="0"/>
    <x v="42"/>
    <x v="6"/>
    <x v="0"/>
    <x v="6"/>
    <x v="4"/>
    <n v="3"/>
    <n v="44354"/>
    <n v="0"/>
    <n v="0"/>
    <n v="23951.16"/>
    <n v="395"/>
    <n v="157013.16"/>
    <n v="157408.16"/>
    <x v="2"/>
    <x v="0"/>
    <s v="Patiala"/>
    <x v="1"/>
    <x v="1"/>
    <n v="4"/>
    <x v="1"/>
    <n v="3"/>
    <x v="1"/>
  </r>
  <r>
    <s v="ORD00499"/>
    <x v="270"/>
    <s v="CUST559"/>
    <s v="Amit"/>
    <x v="0"/>
    <x v="33"/>
    <x v="3"/>
    <x v="2"/>
    <x v="3"/>
    <x v="3"/>
    <n v="4"/>
    <n v="42490"/>
    <n v="10"/>
    <n v="16996"/>
    <n v="27533.52"/>
    <n v="135"/>
    <n v="180497.52"/>
    <n v="180632.52"/>
    <x v="2"/>
    <x v="1"/>
    <s v="Delhi"/>
    <x v="5"/>
    <x v="1"/>
    <n v="3"/>
    <x v="0"/>
    <n v="3"/>
    <x v="3"/>
  </r>
  <r>
    <s v="ORD00500"/>
    <x v="21"/>
    <s v="CUST936"/>
    <s v="Riya"/>
    <x v="1"/>
    <x v="6"/>
    <x v="6"/>
    <x v="0"/>
    <x v="6"/>
    <x v="8"/>
    <n v="1"/>
    <n v="7815"/>
    <n v="0"/>
    <n v="0"/>
    <n v="1406.7"/>
    <n v="306"/>
    <n v="9221.7000000000007"/>
    <n v="9527.7000000000007"/>
    <x v="1"/>
    <x v="1"/>
    <s v="Delhi"/>
    <x v="5"/>
    <x v="1"/>
    <n v="7"/>
    <x v="1"/>
    <n v="1"/>
    <x v="0"/>
  </r>
  <r>
    <s v="ORD00501"/>
    <x v="129"/>
    <s v="CUST497"/>
    <s v="Anjali"/>
    <x v="0"/>
    <x v="25"/>
    <x v="6"/>
    <x v="0"/>
    <x v="6"/>
    <x v="6"/>
    <n v="1"/>
    <n v="36934"/>
    <n v="20"/>
    <n v="7386.8"/>
    <n v="5318.5"/>
    <n v="83"/>
    <n v="34865.699999999997"/>
    <n v="34948.699999999997"/>
    <x v="2"/>
    <x v="0"/>
    <s v="Pune"/>
    <x v="0"/>
    <x v="0"/>
    <n v="4"/>
    <x v="0"/>
    <n v="3"/>
    <x v="1"/>
  </r>
  <r>
    <s v="ORD00502"/>
    <x v="152"/>
    <s v="CUST999"/>
    <s v="Vikas"/>
    <x v="1"/>
    <x v="10"/>
    <x v="5"/>
    <x v="0"/>
    <x v="5"/>
    <x v="0"/>
    <n v="4"/>
    <n v="22888"/>
    <n v="0"/>
    <n v="0"/>
    <n v="16479.36"/>
    <n v="377"/>
    <n v="108031.36"/>
    <n v="108408.36"/>
    <x v="3"/>
    <x v="0"/>
    <s v="Patiala"/>
    <x v="1"/>
    <x v="1"/>
    <n v="10"/>
    <x v="0"/>
    <n v="1"/>
    <x v="0"/>
  </r>
  <r>
    <s v="ORD00503"/>
    <x v="232"/>
    <s v="CUST157"/>
    <s v="Rahul"/>
    <x v="1"/>
    <x v="29"/>
    <x v="7"/>
    <x v="1"/>
    <x v="7"/>
    <x v="2"/>
    <n v="4"/>
    <n v="36131"/>
    <n v="0"/>
    <n v="0"/>
    <n v="26014.32"/>
    <n v="402"/>
    <n v="170538.32"/>
    <n v="170940.32"/>
    <x v="1"/>
    <x v="1"/>
    <s v="Patiala"/>
    <x v="1"/>
    <x v="1"/>
    <n v="4"/>
    <x v="0"/>
    <n v="4"/>
    <x v="2"/>
  </r>
  <r>
    <s v="ORD00504"/>
    <x v="90"/>
    <s v="CUST469"/>
    <s v="Vikas"/>
    <x v="1"/>
    <x v="20"/>
    <x v="1"/>
    <x v="0"/>
    <x v="1"/>
    <x v="1"/>
    <n v="2"/>
    <n v="1030"/>
    <n v="0"/>
    <n v="0"/>
    <n v="370.8"/>
    <n v="174"/>
    <n v="2430.8000000000002"/>
    <n v="2604.8000000000002"/>
    <x v="1"/>
    <x v="0"/>
    <s v="Mumbai"/>
    <x v="0"/>
    <x v="0"/>
    <n v="7"/>
    <x v="1"/>
    <n v="2"/>
    <x v="3"/>
  </r>
  <r>
    <s v="ORD00505"/>
    <x v="204"/>
    <s v="CUST453"/>
    <s v="Sneha"/>
    <x v="0"/>
    <x v="14"/>
    <x v="3"/>
    <x v="2"/>
    <x v="3"/>
    <x v="0"/>
    <n v="3"/>
    <n v="22483"/>
    <n v="15"/>
    <n v="10117.35"/>
    <n v="10319.700000000001"/>
    <n v="275"/>
    <n v="67651.350000000006"/>
    <n v="67926.350000000006"/>
    <x v="2"/>
    <x v="0"/>
    <s v="Pune"/>
    <x v="0"/>
    <x v="0"/>
    <n v="7"/>
    <x v="0"/>
    <n v="5"/>
    <x v="2"/>
  </r>
  <r>
    <s v="ORD00506"/>
    <x v="184"/>
    <s v="CUST947"/>
    <s v="Rahul"/>
    <x v="1"/>
    <x v="33"/>
    <x v="5"/>
    <x v="0"/>
    <x v="5"/>
    <x v="1"/>
    <n v="4"/>
    <n v="7865"/>
    <n v="0"/>
    <n v="0"/>
    <n v="5662.8"/>
    <n v="311"/>
    <n v="37122.800000000003"/>
    <n v="37433.800000000003"/>
    <x v="0"/>
    <x v="0"/>
    <s v="Delhi"/>
    <x v="5"/>
    <x v="1"/>
    <n v="8"/>
    <x v="0"/>
    <n v="3"/>
    <x v="2"/>
  </r>
  <r>
    <s v="ORD00507"/>
    <x v="42"/>
    <s v="CUST523"/>
    <s v="Vikas"/>
    <x v="0"/>
    <x v="29"/>
    <x v="7"/>
    <x v="1"/>
    <x v="7"/>
    <x v="5"/>
    <n v="5"/>
    <n v="20520"/>
    <n v="20"/>
    <n v="20520"/>
    <n v="14774.4"/>
    <n v="70"/>
    <n v="96854.399999999994"/>
    <n v="96924.4"/>
    <x v="0"/>
    <x v="1"/>
    <s v="Lucknow"/>
    <x v="4"/>
    <x v="1"/>
    <n v="10"/>
    <x v="0"/>
    <n v="5"/>
    <x v="3"/>
  </r>
  <r>
    <s v="ORD00508"/>
    <x v="271"/>
    <s v="CUST968"/>
    <s v="Neha"/>
    <x v="1"/>
    <x v="8"/>
    <x v="8"/>
    <x v="0"/>
    <x v="8"/>
    <x v="3"/>
    <n v="3"/>
    <n v="31680"/>
    <n v="0"/>
    <n v="0"/>
    <n v="17107.2"/>
    <n v="218"/>
    <n v="112147.2"/>
    <n v="112365.2"/>
    <x v="3"/>
    <x v="1"/>
    <s v="Chandigarh"/>
    <x v="1"/>
    <x v="1"/>
    <n v="7"/>
    <x v="0"/>
    <n v="5"/>
    <x v="1"/>
  </r>
  <r>
    <s v="ORD00509"/>
    <x v="179"/>
    <s v="CUST258"/>
    <s v="Priya"/>
    <x v="0"/>
    <x v="17"/>
    <x v="4"/>
    <x v="0"/>
    <x v="4"/>
    <x v="1"/>
    <n v="5"/>
    <n v="9895"/>
    <n v="20"/>
    <n v="9895"/>
    <n v="7124.4"/>
    <n v="285"/>
    <n v="46704.4"/>
    <n v="46989.4"/>
    <x v="1"/>
    <x v="1"/>
    <s v="Chandigarh"/>
    <x v="1"/>
    <x v="1"/>
    <n v="10"/>
    <x v="0"/>
    <n v="3"/>
    <x v="2"/>
  </r>
  <r>
    <s v="ORD00510"/>
    <x v="272"/>
    <s v="CUST266"/>
    <s v="Karan"/>
    <x v="0"/>
    <x v="19"/>
    <x v="0"/>
    <x v="0"/>
    <x v="0"/>
    <x v="9"/>
    <n v="4"/>
    <n v="11370"/>
    <n v="10"/>
    <n v="4548"/>
    <n v="7367.76"/>
    <n v="129"/>
    <n v="48299.76"/>
    <n v="48428.76"/>
    <x v="3"/>
    <x v="1"/>
    <s v="Pune"/>
    <x v="0"/>
    <x v="0"/>
    <n v="4"/>
    <x v="1"/>
    <n v="4"/>
    <x v="0"/>
  </r>
  <r>
    <s v="ORD00511"/>
    <x v="218"/>
    <s v="CUST140"/>
    <s v="Neha"/>
    <x v="1"/>
    <x v="12"/>
    <x v="7"/>
    <x v="1"/>
    <x v="7"/>
    <x v="8"/>
    <n v="1"/>
    <n v="47284"/>
    <n v="15"/>
    <n v="7092.6"/>
    <n v="7234.45"/>
    <n v="432"/>
    <n v="47425.85"/>
    <n v="47857.85"/>
    <x v="0"/>
    <x v="0"/>
    <s v="Jaipur"/>
    <x v="2"/>
    <x v="1"/>
    <n v="9"/>
    <x v="0"/>
    <n v="4"/>
    <x v="3"/>
  </r>
  <r>
    <s v="ORD00512"/>
    <x v="115"/>
    <s v="CUST676"/>
    <s v="Riya"/>
    <x v="0"/>
    <x v="34"/>
    <x v="6"/>
    <x v="0"/>
    <x v="6"/>
    <x v="2"/>
    <n v="5"/>
    <n v="15893"/>
    <n v="15"/>
    <n v="11919.75"/>
    <n v="12158.15"/>
    <n v="282"/>
    <n v="79703.399999999994"/>
    <n v="79985.399999999994"/>
    <x v="0"/>
    <x v="0"/>
    <s v="Bangalore"/>
    <x v="3"/>
    <x v="2"/>
    <n v="9"/>
    <x v="1"/>
    <n v="4"/>
    <x v="3"/>
  </r>
  <r>
    <s v="ORD00513"/>
    <x v="118"/>
    <s v="CUST214"/>
    <s v="Rahul"/>
    <x v="1"/>
    <x v="35"/>
    <x v="4"/>
    <x v="0"/>
    <x v="4"/>
    <x v="6"/>
    <n v="5"/>
    <n v="27748"/>
    <n v="10"/>
    <n v="13874"/>
    <n v="22475.88"/>
    <n v="237"/>
    <n v="147341.88"/>
    <n v="147578.88"/>
    <x v="0"/>
    <x v="0"/>
    <s v="Jaipur"/>
    <x v="2"/>
    <x v="1"/>
    <n v="9"/>
    <x v="1"/>
    <n v="2"/>
    <x v="3"/>
  </r>
  <r>
    <s v="ORD00514"/>
    <x v="238"/>
    <s v="CUST420"/>
    <s v="Karan"/>
    <x v="1"/>
    <x v="18"/>
    <x v="3"/>
    <x v="2"/>
    <x v="3"/>
    <x v="6"/>
    <n v="1"/>
    <n v="48180"/>
    <n v="0"/>
    <n v="0"/>
    <n v="8672.4"/>
    <n v="48"/>
    <n v="56852.4"/>
    <n v="56900.4"/>
    <x v="0"/>
    <x v="1"/>
    <s v="Pune"/>
    <x v="0"/>
    <x v="0"/>
    <n v="7"/>
    <x v="0"/>
    <n v="3"/>
    <x v="0"/>
  </r>
  <r>
    <s v="ORD00515"/>
    <x v="273"/>
    <s v="CUST167"/>
    <s v="Sneha"/>
    <x v="0"/>
    <x v="34"/>
    <x v="7"/>
    <x v="1"/>
    <x v="7"/>
    <x v="9"/>
    <n v="3"/>
    <n v="13292"/>
    <n v="15"/>
    <n v="5981.4"/>
    <n v="6101.03"/>
    <n v="233"/>
    <n v="39995.629999999997"/>
    <n v="40228.629999999997"/>
    <x v="3"/>
    <x v="0"/>
    <s v="Patiala"/>
    <x v="1"/>
    <x v="1"/>
    <n v="1"/>
    <x v="0"/>
    <n v="4"/>
    <x v="2"/>
  </r>
  <r>
    <s v="ORD00516"/>
    <x v="39"/>
    <s v="CUST735"/>
    <s v="Vikas"/>
    <x v="0"/>
    <x v="11"/>
    <x v="8"/>
    <x v="0"/>
    <x v="8"/>
    <x v="9"/>
    <n v="4"/>
    <n v="48469"/>
    <n v="20"/>
    <n v="38775.199999999997"/>
    <n v="27918.14"/>
    <n v="368"/>
    <n v="183018.94"/>
    <n v="183386.94"/>
    <x v="1"/>
    <x v="1"/>
    <s v="Mumbai"/>
    <x v="0"/>
    <x v="0"/>
    <n v="6"/>
    <x v="0"/>
    <n v="2"/>
    <x v="3"/>
  </r>
  <r>
    <s v="ORD00517"/>
    <x v="144"/>
    <s v="CUST722"/>
    <s v="Riya"/>
    <x v="1"/>
    <x v="27"/>
    <x v="9"/>
    <x v="0"/>
    <x v="9"/>
    <x v="4"/>
    <n v="5"/>
    <n v="31571"/>
    <n v="5"/>
    <n v="7892.75"/>
    <n v="26993.200000000001"/>
    <n v="388"/>
    <n v="176955.45"/>
    <n v="177343.45"/>
    <x v="2"/>
    <x v="1"/>
    <s v="Delhi"/>
    <x v="5"/>
    <x v="1"/>
    <n v="2"/>
    <x v="0"/>
    <n v="2"/>
    <x v="1"/>
  </r>
  <r>
    <s v="ORD00518"/>
    <x v="209"/>
    <s v="CUST326"/>
    <s v="Riya"/>
    <x v="1"/>
    <x v="37"/>
    <x v="2"/>
    <x v="1"/>
    <x v="2"/>
    <x v="2"/>
    <n v="3"/>
    <n v="48754"/>
    <n v="10"/>
    <n v="14626.2"/>
    <n v="23694.44"/>
    <n v="56"/>
    <n v="155330.23999999999"/>
    <n v="155386.23999999999"/>
    <x v="3"/>
    <x v="1"/>
    <s v="Delhi"/>
    <x v="5"/>
    <x v="1"/>
    <n v="4"/>
    <x v="1"/>
    <n v="2"/>
    <x v="0"/>
  </r>
  <r>
    <s v="ORD00519"/>
    <x v="76"/>
    <s v="CUST528"/>
    <s v="Arjun"/>
    <x v="1"/>
    <x v="22"/>
    <x v="7"/>
    <x v="1"/>
    <x v="7"/>
    <x v="7"/>
    <n v="5"/>
    <n v="49241"/>
    <n v="20"/>
    <n v="49241"/>
    <n v="35453.519999999997"/>
    <n v="323"/>
    <n v="232417.52"/>
    <n v="232740.52"/>
    <x v="1"/>
    <x v="1"/>
    <s v="Mumbai"/>
    <x v="0"/>
    <x v="0"/>
    <n v="9"/>
    <x v="1"/>
    <n v="3"/>
    <x v="2"/>
  </r>
  <r>
    <s v="ORD00520"/>
    <x v="150"/>
    <s v="CUST688"/>
    <s v="Amit"/>
    <x v="1"/>
    <x v="7"/>
    <x v="8"/>
    <x v="0"/>
    <x v="8"/>
    <x v="4"/>
    <n v="2"/>
    <n v="17576"/>
    <n v="10"/>
    <n v="3515.2"/>
    <n v="5694.62"/>
    <n v="234"/>
    <n v="37331.42"/>
    <n v="37565.42"/>
    <x v="2"/>
    <x v="0"/>
    <s v="Chandigarh"/>
    <x v="1"/>
    <x v="1"/>
    <n v="8"/>
    <x v="1"/>
    <n v="4"/>
    <x v="3"/>
  </r>
  <r>
    <s v="ORD00521"/>
    <x v="65"/>
    <s v="CUST315"/>
    <s v="Sneha"/>
    <x v="1"/>
    <x v="19"/>
    <x v="7"/>
    <x v="1"/>
    <x v="7"/>
    <x v="9"/>
    <n v="4"/>
    <n v="14213"/>
    <n v="5"/>
    <n v="2842.6"/>
    <n v="9721.69"/>
    <n v="74"/>
    <n v="63731.09"/>
    <n v="63805.09"/>
    <x v="1"/>
    <x v="0"/>
    <s v="Mumbai"/>
    <x v="0"/>
    <x v="0"/>
    <n v="8"/>
    <x v="1"/>
    <n v="5"/>
    <x v="3"/>
  </r>
  <r>
    <s v="ORD00522"/>
    <x v="64"/>
    <s v="CUST118"/>
    <s v="Riya"/>
    <x v="1"/>
    <x v="0"/>
    <x v="3"/>
    <x v="2"/>
    <x v="3"/>
    <x v="9"/>
    <n v="1"/>
    <n v="43439"/>
    <n v="0"/>
    <n v="0"/>
    <n v="7819.02"/>
    <n v="403"/>
    <n v="51258.02"/>
    <n v="51661.02"/>
    <x v="1"/>
    <x v="1"/>
    <s v="Mumbai"/>
    <x v="0"/>
    <x v="0"/>
    <n v="3"/>
    <x v="0"/>
    <n v="1"/>
    <x v="2"/>
  </r>
  <r>
    <s v="ORD00523"/>
    <x v="274"/>
    <s v="CUST464"/>
    <s v="Sneha"/>
    <x v="1"/>
    <x v="5"/>
    <x v="2"/>
    <x v="1"/>
    <x v="2"/>
    <x v="6"/>
    <n v="1"/>
    <n v="35941"/>
    <n v="5"/>
    <n v="1797.05"/>
    <n v="6145.91"/>
    <n v="20"/>
    <n v="40289.86"/>
    <n v="40309.86"/>
    <x v="1"/>
    <x v="1"/>
    <s v="Pune"/>
    <x v="0"/>
    <x v="0"/>
    <n v="2"/>
    <x v="0"/>
    <n v="2"/>
    <x v="2"/>
  </r>
  <r>
    <s v="ORD00524"/>
    <x v="181"/>
    <s v="CUST436"/>
    <s v="Rahul"/>
    <x v="1"/>
    <x v="17"/>
    <x v="0"/>
    <x v="0"/>
    <x v="0"/>
    <x v="1"/>
    <n v="2"/>
    <n v="6043"/>
    <n v="15"/>
    <n v="1812.9"/>
    <n v="1849.16"/>
    <n v="480"/>
    <n v="12122.26"/>
    <n v="12602.26"/>
    <x v="0"/>
    <x v="0"/>
    <s v="Jaipur"/>
    <x v="2"/>
    <x v="1"/>
    <n v="7"/>
    <x v="1"/>
    <n v="5"/>
    <x v="1"/>
  </r>
  <r>
    <s v="ORD00525"/>
    <x v="140"/>
    <s v="CUST339"/>
    <s v="Priya"/>
    <x v="1"/>
    <x v="9"/>
    <x v="5"/>
    <x v="0"/>
    <x v="5"/>
    <x v="5"/>
    <n v="3"/>
    <n v="26460"/>
    <n v="5"/>
    <n v="3969"/>
    <n v="13573.98"/>
    <n v="340"/>
    <n v="88984.98"/>
    <n v="89324.98"/>
    <x v="2"/>
    <x v="1"/>
    <s v="Chandigarh"/>
    <x v="1"/>
    <x v="1"/>
    <n v="2"/>
    <x v="0"/>
    <n v="4"/>
    <x v="3"/>
  </r>
  <r>
    <s v="ORD00526"/>
    <x v="56"/>
    <s v="CUST440"/>
    <s v="Rahul"/>
    <x v="0"/>
    <x v="12"/>
    <x v="0"/>
    <x v="0"/>
    <x v="0"/>
    <x v="8"/>
    <n v="5"/>
    <n v="37592"/>
    <n v="10"/>
    <n v="18796"/>
    <n v="30449.52"/>
    <n v="380"/>
    <n v="199613.52"/>
    <n v="199993.52"/>
    <x v="2"/>
    <x v="1"/>
    <s v="Jaipur"/>
    <x v="2"/>
    <x v="1"/>
    <n v="4"/>
    <x v="1"/>
    <n v="1"/>
    <x v="3"/>
  </r>
  <r>
    <s v="ORD00527"/>
    <x v="138"/>
    <s v="CUST543"/>
    <s v="Karan"/>
    <x v="0"/>
    <x v="24"/>
    <x v="4"/>
    <x v="0"/>
    <x v="4"/>
    <x v="0"/>
    <n v="1"/>
    <n v="21149"/>
    <n v="20"/>
    <n v="4229.8"/>
    <n v="3045.46"/>
    <n v="298"/>
    <n v="19964.66"/>
    <n v="20262.66"/>
    <x v="3"/>
    <x v="1"/>
    <s v="Chandigarh"/>
    <x v="1"/>
    <x v="1"/>
    <n v="1"/>
    <x v="1"/>
    <n v="5"/>
    <x v="0"/>
  </r>
  <r>
    <s v="ORD00528"/>
    <x v="26"/>
    <s v="CUST497"/>
    <s v="Neha"/>
    <x v="0"/>
    <x v="2"/>
    <x v="9"/>
    <x v="0"/>
    <x v="9"/>
    <x v="7"/>
    <n v="2"/>
    <n v="7542"/>
    <n v="0"/>
    <n v="0"/>
    <n v="2715.12"/>
    <n v="336"/>
    <n v="17799.12"/>
    <n v="18135.12"/>
    <x v="3"/>
    <x v="0"/>
    <s v="Chandigarh"/>
    <x v="1"/>
    <x v="1"/>
    <n v="4"/>
    <x v="0"/>
    <n v="2"/>
    <x v="0"/>
  </r>
  <r>
    <s v="ORD00529"/>
    <x v="207"/>
    <s v="CUST174"/>
    <s v="Neha"/>
    <x v="1"/>
    <x v="21"/>
    <x v="4"/>
    <x v="0"/>
    <x v="4"/>
    <x v="6"/>
    <n v="1"/>
    <n v="13196"/>
    <n v="15"/>
    <n v="1979.4"/>
    <n v="2018.99"/>
    <n v="439"/>
    <n v="13235.59"/>
    <n v="13674.59"/>
    <x v="1"/>
    <x v="1"/>
    <s v="Chandigarh"/>
    <x v="1"/>
    <x v="1"/>
    <n v="8"/>
    <x v="1"/>
    <n v="2"/>
    <x v="0"/>
  </r>
  <r>
    <s v="ORD00530"/>
    <x v="248"/>
    <s v="CUST276"/>
    <s v="Anjali"/>
    <x v="0"/>
    <x v="3"/>
    <x v="4"/>
    <x v="0"/>
    <x v="4"/>
    <x v="0"/>
    <n v="4"/>
    <n v="14222"/>
    <n v="0"/>
    <n v="0"/>
    <n v="10239.84"/>
    <n v="498"/>
    <n v="67127.839999999997"/>
    <n v="67625.84"/>
    <x v="3"/>
    <x v="0"/>
    <s v="Lucknow"/>
    <x v="4"/>
    <x v="1"/>
    <n v="8"/>
    <x v="1"/>
    <n v="4"/>
    <x v="2"/>
  </r>
  <r>
    <s v="ORD00531"/>
    <x v="235"/>
    <s v="CUST597"/>
    <s v="Vikas"/>
    <x v="1"/>
    <x v="30"/>
    <x v="1"/>
    <x v="0"/>
    <x v="1"/>
    <x v="7"/>
    <n v="4"/>
    <n v="19887"/>
    <n v="10"/>
    <n v="7954.8"/>
    <n v="12886.78"/>
    <n v="318"/>
    <n v="84479.98"/>
    <n v="84797.98"/>
    <x v="0"/>
    <x v="1"/>
    <s v="Mumbai"/>
    <x v="0"/>
    <x v="0"/>
    <n v="2"/>
    <x v="1"/>
    <n v="4"/>
    <x v="3"/>
  </r>
  <r>
    <s v="ORD00532"/>
    <x v="16"/>
    <s v="CUST637"/>
    <s v="Arjun"/>
    <x v="0"/>
    <x v="12"/>
    <x v="9"/>
    <x v="0"/>
    <x v="9"/>
    <x v="0"/>
    <n v="2"/>
    <n v="7873"/>
    <n v="5"/>
    <n v="787.3"/>
    <n v="2692.57"/>
    <n v="155"/>
    <n v="17651.27"/>
    <n v="17806.27"/>
    <x v="0"/>
    <x v="0"/>
    <s v="Lucknow"/>
    <x v="4"/>
    <x v="1"/>
    <n v="7"/>
    <x v="1"/>
    <n v="5"/>
    <x v="3"/>
  </r>
  <r>
    <s v="ORD00533"/>
    <x v="10"/>
    <s v="CUST339"/>
    <s v="Rahul"/>
    <x v="0"/>
    <x v="40"/>
    <x v="1"/>
    <x v="0"/>
    <x v="1"/>
    <x v="0"/>
    <n v="1"/>
    <n v="42929"/>
    <n v="20"/>
    <n v="8585.7999999999993"/>
    <n v="6181.78"/>
    <n v="228"/>
    <n v="40524.980000000003"/>
    <n v="40752.980000000003"/>
    <x v="3"/>
    <x v="0"/>
    <s v="Delhi"/>
    <x v="5"/>
    <x v="1"/>
    <n v="10"/>
    <x v="0"/>
    <n v="3"/>
    <x v="3"/>
  </r>
  <r>
    <s v="ORD00534"/>
    <x v="33"/>
    <s v="CUST694"/>
    <s v="Karan"/>
    <x v="0"/>
    <x v="20"/>
    <x v="5"/>
    <x v="0"/>
    <x v="5"/>
    <x v="4"/>
    <n v="1"/>
    <n v="41961"/>
    <n v="10"/>
    <n v="4196.1000000000004"/>
    <n v="6797.68"/>
    <n v="63"/>
    <n v="44562.58"/>
    <n v="44625.58"/>
    <x v="2"/>
    <x v="1"/>
    <s v="Jaipur"/>
    <x v="2"/>
    <x v="1"/>
    <n v="8"/>
    <x v="1"/>
    <n v="5"/>
    <x v="3"/>
  </r>
  <r>
    <s v="ORD00535"/>
    <x v="68"/>
    <s v="CUST607"/>
    <s v="Amit"/>
    <x v="0"/>
    <x v="23"/>
    <x v="8"/>
    <x v="0"/>
    <x v="8"/>
    <x v="6"/>
    <n v="5"/>
    <n v="6154"/>
    <n v="15"/>
    <n v="4615.5"/>
    <n v="4707.8100000000004"/>
    <n v="460"/>
    <n v="30862.31"/>
    <n v="31322.31"/>
    <x v="2"/>
    <x v="1"/>
    <s v="Chandigarh"/>
    <x v="1"/>
    <x v="1"/>
    <n v="10"/>
    <x v="1"/>
    <n v="1"/>
    <x v="0"/>
  </r>
  <r>
    <s v="ORD00536"/>
    <x v="275"/>
    <s v="CUST156"/>
    <s v="Amit"/>
    <x v="1"/>
    <x v="21"/>
    <x v="3"/>
    <x v="2"/>
    <x v="3"/>
    <x v="8"/>
    <n v="2"/>
    <n v="43139"/>
    <n v="20"/>
    <n v="17255.599999999999"/>
    <n v="12424.03"/>
    <n v="165"/>
    <n v="81446.429999999993"/>
    <n v="81611.429999999993"/>
    <x v="2"/>
    <x v="0"/>
    <s v="Chandigarh"/>
    <x v="1"/>
    <x v="1"/>
    <n v="1"/>
    <x v="0"/>
    <n v="5"/>
    <x v="1"/>
  </r>
  <r>
    <s v="ORD00537"/>
    <x v="79"/>
    <s v="CUST871"/>
    <s v="Amit"/>
    <x v="1"/>
    <x v="33"/>
    <x v="2"/>
    <x v="1"/>
    <x v="2"/>
    <x v="2"/>
    <n v="4"/>
    <n v="39551"/>
    <n v="0"/>
    <n v="0"/>
    <n v="28476.720000000001"/>
    <n v="416"/>
    <n v="186680.72"/>
    <n v="187096.72"/>
    <x v="0"/>
    <x v="1"/>
    <s v="Bangalore"/>
    <x v="3"/>
    <x v="2"/>
    <n v="5"/>
    <x v="1"/>
    <n v="4"/>
    <x v="1"/>
  </r>
  <r>
    <s v="ORD00538"/>
    <x v="197"/>
    <s v="CUST927"/>
    <s v="Karan"/>
    <x v="0"/>
    <x v="29"/>
    <x v="8"/>
    <x v="0"/>
    <x v="8"/>
    <x v="0"/>
    <n v="4"/>
    <n v="48917"/>
    <n v="0"/>
    <n v="0"/>
    <n v="35220.239999999998"/>
    <n v="296"/>
    <n v="230888.24"/>
    <n v="231184.24"/>
    <x v="3"/>
    <x v="1"/>
    <s v="Patiala"/>
    <x v="1"/>
    <x v="1"/>
    <n v="6"/>
    <x v="1"/>
    <n v="4"/>
    <x v="0"/>
  </r>
  <r>
    <s v="ORD00539"/>
    <x v="276"/>
    <s v="CUST185"/>
    <s v="Rahul"/>
    <x v="1"/>
    <x v="25"/>
    <x v="4"/>
    <x v="0"/>
    <x v="4"/>
    <x v="8"/>
    <n v="3"/>
    <n v="40702"/>
    <n v="20"/>
    <n v="24421.200000000001"/>
    <n v="17583.259999999998"/>
    <n v="193"/>
    <n v="115268.06"/>
    <n v="115461.06"/>
    <x v="3"/>
    <x v="1"/>
    <s v="Bangalore"/>
    <x v="3"/>
    <x v="2"/>
    <n v="5"/>
    <x v="0"/>
    <n v="2"/>
    <x v="0"/>
  </r>
  <r>
    <s v="ORD00540"/>
    <x v="74"/>
    <s v="CUST546"/>
    <s v="Amit"/>
    <x v="0"/>
    <x v="9"/>
    <x v="8"/>
    <x v="0"/>
    <x v="8"/>
    <x v="8"/>
    <n v="2"/>
    <n v="4559"/>
    <n v="0"/>
    <n v="0"/>
    <n v="1641.24"/>
    <n v="387"/>
    <n v="10759.24"/>
    <n v="11146.24"/>
    <x v="0"/>
    <x v="1"/>
    <s v="Patiala"/>
    <x v="1"/>
    <x v="1"/>
    <n v="6"/>
    <x v="1"/>
    <n v="1"/>
    <x v="1"/>
  </r>
  <r>
    <s v="ORD00541"/>
    <x v="141"/>
    <s v="CUST504"/>
    <s v="Rahul"/>
    <x v="1"/>
    <x v="36"/>
    <x v="4"/>
    <x v="0"/>
    <x v="4"/>
    <x v="0"/>
    <n v="5"/>
    <n v="2350"/>
    <n v="10"/>
    <n v="1175"/>
    <n v="1903.5"/>
    <n v="454"/>
    <n v="12478.5"/>
    <n v="12932.5"/>
    <x v="0"/>
    <x v="1"/>
    <s v="Chandigarh"/>
    <x v="1"/>
    <x v="1"/>
    <n v="2"/>
    <x v="0"/>
    <n v="3"/>
    <x v="2"/>
  </r>
  <r>
    <s v="ORD00542"/>
    <x v="100"/>
    <s v="CUST543"/>
    <s v="Riya"/>
    <x v="0"/>
    <x v="11"/>
    <x v="4"/>
    <x v="0"/>
    <x v="4"/>
    <x v="3"/>
    <n v="2"/>
    <n v="25923"/>
    <n v="0"/>
    <n v="0"/>
    <n v="9332.2800000000007"/>
    <n v="274"/>
    <n v="61178.28"/>
    <n v="61452.28"/>
    <x v="0"/>
    <x v="0"/>
    <s v="Pune"/>
    <x v="0"/>
    <x v="0"/>
    <n v="6"/>
    <x v="1"/>
    <n v="3"/>
    <x v="0"/>
  </r>
  <r>
    <s v="ORD00543"/>
    <x v="9"/>
    <s v="CUST784"/>
    <s v="Sneha"/>
    <x v="0"/>
    <x v="39"/>
    <x v="2"/>
    <x v="1"/>
    <x v="2"/>
    <x v="9"/>
    <n v="5"/>
    <n v="27464"/>
    <n v="20"/>
    <n v="27464"/>
    <n v="19774.080000000002"/>
    <n v="74"/>
    <n v="129630.08"/>
    <n v="129704.08"/>
    <x v="1"/>
    <x v="1"/>
    <s v="Mumbai"/>
    <x v="0"/>
    <x v="0"/>
    <n v="8"/>
    <x v="1"/>
    <n v="5"/>
    <x v="1"/>
  </r>
  <r>
    <s v="ORD00544"/>
    <x v="277"/>
    <s v="CUST625"/>
    <s v="Vikas"/>
    <x v="0"/>
    <x v="38"/>
    <x v="2"/>
    <x v="1"/>
    <x v="2"/>
    <x v="8"/>
    <n v="3"/>
    <n v="17597"/>
    <n v="5"/>
    <n v="2639.55"/>
    <n v="9027.26"/>
    <n v="297"/>
    <n v="59178.71"/>
    <n v="59475.71"/>
    <x v="3"/>
    <x v="1"/>
    <s v="Bangalore"/>
    <x v="3"/>
    <x v="2"/>
    <n v="5"/>
    <x v="1"/>
    <n v="1"/>
    <x v="2"/>
  </r>
  <r>
    <s v="ORD00545"/>
    <x v="278"/>
    <s v="CUST722"/>
    <s v="Neha"/>
    <x v="1"/>
    <x v="21"/>
    <x v="0"/>
    <x v="0"/>
    <x v="0"/>
    <x v="6"/>
    <n v="5"/>
    <n v="4399"/>
    <n v="0"/>
    <n v="0"/>
    <n v="3959.1"/>
    <n v="41"/>
    <n v="25954.1"/>
    <n v="25995.1"/>
    <x v="0"/>
    <x v="1"/>
    <s v="Lucknow"/>
    <x v="4"/>
    <x v="1"/>
    <n v="3"/>
    <x v="1"/>
    <n v="3"/>
    <x v="0"/>
  </r>
  <r>
    <s v="ORD00546"/>
    <x v="128"/>
    <s v="CUST499"/>
    <s v="Amit"/>
    <x v="0"/>
    <x v="40"/>
    <x v="0"/>
    <x v="0"/>
    <x v="0"/>
    <x v="2"/>
    <n v="4"/>
    <n v="16338"/>
    <n v="5"/>
    <n v="3267.6"/>
    <n v="11175.19"/>
    <n v="104"/>
    <n v="73259.59"/>
    <n v="73363.59"/>
    <x v="0"/>
    <x v="0"/>
    <s v="Bangalore"/>
    <x v="3"/>
    <x v="2"/>
    <n v="9"/>
    <x v="1"/>
    <n v="5"/>
    <x v="2"/>
  </r>
  <r>
    <s v="ORD00547"/>
    <x v="279"/>
    <s v="CUST421"/>
    <s v="Priya"/>
    <x v="1"/>
    <x v="37"/>
    <x v="9"/>
    <x v="0"/>
    <x v="9"/>
    <x v="2"/>
    <n v="5"/>
    <n v="41403"/>
    <n v="5"/>
    <n v="10350.75"/>
    <n v="35399.56"/>
    <n v="376"/>
    <n v="232063.82"/>
    <n v="232439.82"/>
    <x v="3"/>
    <x v="0"/>
    <s v="Patiala"/>
    <x v="1"/>
    <x v="1"/>
    <n v="4"/>
    <x v="1"/>
    <n v="5"/>
    <x v="3"/>
  </r>
  <r>
    <s v="ORD00548"/>
    <x v="260"/>
    <s v="CUST159"/>
    <s v="Neha"/>
    <x v="0"/>
    <x v="2"/>
    <x v="8"/>
    <x v="0"/>
    <x v="8"/>
    <x v="1"/>
    <n v="2"/>
    <n v="19158"/>
    <n v="5"/>
    <n v="1915.8"/>
    <n v="6552.04"/>
    <n v="419"/>
    <n v="42952.24"/>
    <n v="43371.24"/>
    <x v="1"/>
    <x v="1"/>
    <s v="Jaipur"/>
    <x v="2"/>
    <x v="1"/>
    <n v="4"/>
    <x v="1"/>
    <n v="2"/>
    <x v="2"/>
  </r>
  <r>
    <s v="ORD00549"/>
    <x v="75"/>
    <s v="CUST754"/>
    <s v="Anjali"/>
    <x v="1"/>
    <x v="11"/>
    <x v="4"/>
    <x v="0"/>
    <x v="4"/>
    <x v="1"/>
    <n v="4"/>
    <n v="9541"/>
    <n v="20"/>
    <n v="7632.8"/>
    <n v="5495.62"/>
    <n v="462"/>
    <n v="36026.82"/>
    <n v="36488.82"/>
    <x v="1"/>
    <x v="0"/>
    <s v="Mumbai"/>
    <x v="0"/>
    <x v="0"/>
    <n v="10"/>
    <x v="1"/>
    <n v="3"/>
    <x v="2"/>
  </r>
  <r>
    <s v="ORD00550"/>
    <x v="280"/>
    <s v="CUST731"/>
    <s v="Rahul"/>
    <x v="1"/>
    <x v="37"/>
    <x v="5"/>
    <x v="0"/>
    <x v="5"/>
    <x v="9"/>
    <n v="2"/>
    <n v="37411"/>
    <n v="15"/>
    <n v="11223.3"/>
    <n v="11447.77"/>
    <n v="407"/>
    <n v="75046.47"/>
    <n v="75453.47"/>
    <x v="0"/>
    <x v="0"/>
    <s v="Delhi"/>
    <x v="5"/>
    <x v="1"/>
    <n v="1"/>
    <x v="0"/>
    <n v="3"/>
    <x v="0"/>
  </r>
  <r>
    <s v="ORD00551"/>
    <x v="175"/>
    <s v="CUST399"/>
    <s v="Amit"/>
    <x v="1"/>
    <x v="0"/>
    <x v="9"/>
    <x v="0"/>
    <x v="9"/>
    <x v="7"/>
    <n v="3"/>
    <n v="20654"/>
    <n v="10"/>
    <n v="6196.2"/>
    <n v="10037.84"/>
    <n v="467"/>
    <n v="65803.64"/>
    <n v="66270.64"/>
    <x v="1"/>
    <x v="1"/>
    <s v="Bangalore"/>
    <x v="3"/>
    <x v="2"/>
    <n v="2"/>
    <x v="1"/>
    <n v="4"/>
    <x v="3"/>
  </r>
  <r>
    <s v="ORD00552"/>
    <x v="70"/>
    <s v="CUST233"/>
    <s v="Riya"/>
    <x v="1"/>
    <x v="14"/>
    <x v="4"/>
    <x v="0"/>
    <x v="4"/>
    <x v="4"/>
    <n v="1"/>
    <n v="20050"/>
    <n v="5"/>
    <n v="1002.5"/>
    <n v="3428.55"/>
    <n v="205"/>
    <n v="22476.05"/>
    <n v="22681.05"/>
    <x v="2"/>
    <x v="0"/>
    <s v="Jaipur"/>
    <x v="2"/>
    <x v="1"/>
    <n v="5"/>
    <x v="1"/>
    <n v="2"/>
    <x v="3"/>
  </r>
  <r>
    <s v="ORD00553"/>
    <x v="281"/>
    <s v="CUST112"/>
    <s v="Sneha"/>
    <x v="1"/>
    <x v="23"/>
    <x v="5"/>
    <x v="0"/>
    <x v="5"/>
    <x v="4"/>
    <n v="5"/>
    <n v="26702"/>
    <n v="0"/>
    <n v="0"/>
    <n v="24031.8"/>
    <n v="215"/>
    <n v="157541.79999999999"/>
    <n v="157756.79999999999"/>
    <x v="2"/>
    <x v="1"/>
    <s v="Mumbai"/>
    <x v="0"/>
    <x v="0"/>
    <n v="4"/>
    <x v="1"/>
    <n v="4"/>
    <x v="1"/>
  </r>
  <r>
    <s v="ORD00554"/>
    <x v="282"/>
    <s v="CUST624"/>
    <s v="Karan"/>
    <x v="1"/>
    <x v="41"/>
    <x v="5"/>
    <x v="0"/>
    <x v="5"/>
    <x v="1"/>
    <n v="1"/>
    <n v="49429"/>
    <n v="0"/>
    <n v="0"/>
    <n v="8897.2199999999993"/>
    <n v="491"/>
    <n v="58326.22"/>
    <n v="58817.22"/>
    <x v="2"/>
    <x v="1"/>
    <s v="Patiala"/>
    <x v="1"/>
    <x v="1"/>
    <n v="5"/>
    <x v="1"/>
    <n v="2"/>
    <x v="2"/>
  </r>
  <r>
    <s v="ORD00555"/>
    <x v="272"/>
    <s v="CUST410"/>
    <s v="Anjali"/>
    <x v="0"/>
    <x v="31"/>
    <x v="1"/>
    <x v="0"/>
    <x v="1"/>
    <x v="7"/>
    <n v="5"/>
    <n v="5569"/>
    <n v="10"/>
    <n v="2784.5"/>
    <n v="4510.8900000000003"/>
    <n v="202"/>
    <n v="29571.39"/>
    <n v="29773.39"/>
    <x v="2"/>
    <x v="1"/>
    <s v="Patiala"/>
    <x v="1"/>
    <x v="1"/>
    <n v="1"/>
    <x v="1"/>
    <n v="3"/>
    <x v="0"/>
  </r>
  <r>
    <s v="ORD00556"/>
    <x v="6"/>
    <s v="CUST994"/>
    <s v="Neha"/>
    <x v="0"/>
    <x v="11"/>
    <x v="1"/>
    <x v="0"/>
    <x v="1"/>
    <x v="6"/>
    <n v="1"/>
    <n v="4090"/>
    <n v="0"/>
    <n v="0"/>
    <n v="736.2"/>
    <n v="158"/>
    <n v="4826.2"/>
    <n v="4984.2"/>
    <x v="1"/>
    <x v="0"/>
    <s v="Jaipur"/>
    <x v="2"/>
    <x v="1"/>
    <n v="1"/>
    <x v="0"/>
    <n v="2"/>
    <x v="3"/>
  </r>
  <r>
    <s v="ORD00557"/>
    <x v="153"/>
    <s v="CUST131"/>
    <s v="Vikas"/>
    <x v="0"/>
    <x v="39"/>
    <x v="7"/>
    <x v="1"/>
    <x v="7"/>
    <x v="2"/>
    <n v="2"/>
    <n v="36676"/>
    <n v="10"/>
    <n v="7335.2"/>
    <n v="11883.02"/>
    <n v="71"/>
    <n v="77899.820000000007"/>
    <n v="77970.820000000007"/>
    <x v="1"/>
    <x v="0"/>
    <s v="Chandigarh"/>
    <x v="1"/>
    <x v="1"/>
    <n v="2"/>
    <x v="1"/>
    <n v="4"/>
    <x v="3"/>
  </r>
  <r>
    <s v="ORD00558"/>
    <x v="283"/>
    <s v="CUST503"/>
    <s v="Vikas"/>
    <x v="0"/>
    <x v="15"/>
    <x v="5"/>
    <x v="0"/>
    <x v="5"/>
    <x v="9"/>
    <n v="3"/>
    <n v="7820"/>
    <n v="5"/>
    <n v="1173"/>
    <n v="4011.66"/>
    <n v="161"/>
    <n v="26298.66"/>
    <n v="26459.66"/>
    <x v="0"/>
    <x v="1"/>
    <s v="Chandigarh"/>
    <x v="1"/>
    <x v="1"/>
    <n v="7"/>
    <x v="0"/>
    <n v="5"/>
    <x v="1"/>
  </r>
  <r>
    <s v="ORD00559"/>
    <x v="8"/>
    <s v="CUST358"/>
    <s v="Priya"/>
    <x v="1"/>
    <x v="14"/>
    <x v="7"/>
    <x v="1"/>
    <x v="7"/>
    <x v="1"/>
    <n v="2"/>
    <n v="13342"/>
    <n v="0"/>
    <n v="0"/>
    <n v="4803.12"/>
    <n v="174"/>
    <n v="31487.119999999999"/>
    <n v="31661.119999999999"/>
    <x v="1"/>
    <x v="0"/>
    <s v="Bangalore"/>
    <x v="3"/>
    <x v="2"/>
    <n v="4"/>
    <x v="0"/>
    <n v="5"/>
    <x v="2"/>
  </r>
  <r>
    <s v="ORD00560"/>
    <x v="145"/>
    <s v="CUST936"/>
    <s v="Rahul"/>
    <x v="1"/>
    <x v="23"/>
    <x v="7"/>
    <x v="1"/>
    <x v="7"/>
    <x v="0"/>
    <n v="1"/>
    <n v="22384"/>
    <n v="0"/>
    <n v="0"/>
    <n v="4029.12"/>
    <n v="175"/>
    <n v="26413.119999999999"/>
    <n v="26588.12"/>
    <x v="0"/>
    <x v="1"/>
    <s v="Delhi"/>
    <x v="5"/>
    <x v="1"/>
    <n v="2"/>
    <x v="1"/>
    <n v="2"/>
    <x v="1"/>
  </r>
  <r>
    <s v="ORD00561"/>
    <x v="181"/>
    <s v="CUST242"/>
    <s v="Vikas"/>
    <x v="1"/>
    <x v="1"/>
    <x v="1"/>
    <x v="0"/>
    <x v="1"/>
    <x v="9"/>
    <n v="2"/>
    <n v="22350"/>
    <n v="0"/>
    <n v="0"/>
    <n v="8046"/>
    <n v="119"/>
    <n v="52746"/>
    <n v="52865"/>
    <x v="2"/>
    <x v="0"/>
    <s v="Jaipur"/>
    <x v="2"/>
    <x v="1"/>
    <n v="9"/>
    <x v="1"/>
    <n v="3"/>
    <x v="2"/>
  </r>
  <r>
    <s v="ORD00562"/>
    <x v="51"/>
    <s v="CUST697"/>
    <s v="Arjun"/>
    <x v="1"/>
    <x v="15"/>
    <x v="1"/>
    <x v="0"/>
    <x v="1"/>
    <x v="2"/>
    <n v="1"/>
    <n v="30336"/>
    <n v="5"/>
    <n v="1516.8"/>
    <n v="5187.46"/>
    <n v="83"/>
    <n v="34006.660000000003"/>
    <n v="34089.660000000003"/>
    <x v="0"/>
    <x v="0"/>
    <s v="Delhi"/>
    <x v="5"/>
    <x v="1"/>
    <n v="9"/>
    <x v="0"/>
    <n v="4"/>
    <x v="0"/>
  </r>
  <r>
    <s v="ORD00563"/>
    <x v="186"/>
    <s v="CUST246"/>
    <s v="Arjun"/>
    <x v="0"/>
    <x v="25"/>
    <x v="6"/>
    <x v="0"/>
    <x v="6"/>
    <x v="4"/>
    <n v="5"/>
    <n v="14793"/>
    <n v="10"/>
    <n v="7396.5"/>
    <n v="11982.33"/>
    <n v="384"/>
    <n v="78550.83"/>
    <n v="78934.83"/>
    <x v="3"/>
    <x v="0"/>
    <s v="Delhi"/>
    <x v="5"/>
    <x v="1"/>
    <n v="10"/>
    <x v="1"/>
    <n v="3"/>
    <x v="3"/>
  </r>
  <r>
    <s v="ORD00564"/>
    <x v="1"/>
    <s v="CUST316"/>
    <s v="Neha"/>
    <x v="0"/>
    <x v="30"/>
    <x v="4"/>
    <x v="0"/>
    <x v="4"/>
    <x v="6"/>
    <n v="3"/>
    <n v="38101"/>
    <n v="10"/>
    <n v="11430.3"/>
    <n v="18517.09"/>
    <n v="123"/>
    <n v="121389.79"/>
    <n v="121512.79"/>
    <x v="3"/>
    <x v="1"/>
    <s v="Lucknow"/>
    <x v="4"/>
    <x v="1"/>
    <n v="4"/>
    <x v="0"/>
    <n v="1"/>
    <x v="3"/>
  </r>
  <r>
    <s v="ORD00565"/>
    <x v="284"/>
    <s v="CUST777"/>
    <s v="Karan"/>
    <x v="0"/>
    <x v="29"/>
    <x v="3"/>
    <x v="2"/>
    <x v="3"/>
    <x v="2"/>
    <n v="2"/>
    <n v="20386"/>
    <n v="20"/>
    <n v="8154.4"/>
    <n v="5871.17"/>
    <n v="48"/>
    <n v="38488.769999999997"/>
    <n v="38536.769999999997"/>
    <x v="3"/>
    <x v="1"/>
    <s v="Pune"/>
    <x v="0"/>
    <x v="0"/>
    <n v="10"/>
    <x v="0"/>
    <n v="1"/>
    <x v="3"/>
  </r>
  <r>
    <s v="ORD00566"/>
    <x v="285"/>
    <s v="CUST689"/>
    <s v="Sneha"/>
    <x v="0"/>
    <x v="6"/>
    <x v="5"/>
    <x v="0"/>
    <x v="5"/>
    <x v="0"/>
    <n v="2"/>
    <n v="12947"/>
    <n v="10"/>
    <n v="2589.4"/>
    <n v="4194.83"/>
    <n v="401"/>
    <n v="27499.43"/>
    <n v="27900.43"/>
    <x v="2"/>
    <x v="0"/>
    <s v="Pune"/>
    <x v="0"/>
    <x v="0"/>
    <n v="1"/>
    <x v="1"/>
    <n v="1"/>
    <x v="2"/>
  </r>
  <r>
    <s v="ORD00567"/>
    <x v="95"/>
    <s v="CUST990"/>
    <s v="Rahul"/>
    <x v="1"/>
    <x v="2"/>
    <x v="3"/>
    <x v="2"/>
    <x v="3"/>
    <x v="7"/>
    <n v="1"/>
    <n v="45669"/>
    <n v="20"/>
    <n v="9133.7999999999993"/>
    <n v="6576.34"/>
    <n v="84"/>
    <n v="43111.54"/>
    <n v="43195.54"/>
    <x v="3"/>
    <x v="0"/>
    <s v="Delhi"/>
    <x v="5"/>
    <x v="1"/>
    <n v="9"/>
    <x v="1"/>
    <n v="1"/>
    <x v="2"/>
  </r>
  <r>
    <s v="ORD00568"/>
    <x v="130"/>
    <s v="CUST662"/>
    <s v="Vikas"/>
    <x v="0"/>
    <x v="29"/>
    <x v="1"/>
    <x v="0"/>
    <x v="1"/>
    <x v="8"/>
    <n v="5"/>
    <n v="32363"/>
    <n v="15"/>
    <n v="24272.25"/>
    <n v="24757.69"/>
    <n v="55"/>
    <n v="162300.45000000001"/>
    <n v="162355.45000000001"/>
    <x v="0"/>
    <x v="1"/>
    <s v="Delhi"/>
    <x v="5"/>
    <x v="1"/>
    <n v="4"/>
    <x v="1"/>
    <n v="3"/>
    <x v="0"/>
  </r>
  <r>
    <s v="ORD00569"/>
    <x v="286"/>
    <s v="CUST179"/>
    <s v="Anjali"/>
    <x v="0"/>
    <x v="3"/>
    <x v="5"/>
    <x v="0"/>
    <x v="5"/>
    <x v="9"/>
    <n v="2"/>
    <n v="26083"/>
    <n v="5"/>
    <n v="2608.3000000000002"/>
    <n v="8920.39"/>
    <n v="148"/>
    <n v="58478.09"/>
    <n v="58626.09"/>
    <x v="1"/>
    <x v="0"/>
    <s v="Lucknow"/>
    <x v="4"/>
    <x v="1"/>
    <n v="4"/>
    <x v="0"/>
    <n v="2"/>
    <x v="0"/>
  </r>
  <r>
    <s v="ORD00570"/>
    <x v="280"/>
    <s v="CUST155"/>
    <s v="Neha"/>
    <x v="1"/>
    <x v="6"/>
    <x v="5"/>
    <x v="0"/>
    <x v="5"/>
    <x v="6"/>
    <n v="4"/>
    <n v="18529"/>
    <n v="20"/>
    <n v="14823.2"/>
    <n v="10672.7"/>
    <n v="326"/>
    <n v="69965.5"/>
    <n v="70291.5"/>
    <x v="0"/>
    <x v="1"/>
    <s v="Bangalore"/>
    <x v="3"/>
    <x v="2"/>
    <n v="10"/>
    <x v="0"/>
    <n v="4"/>
    <x v="3"/>
  </r>
  <r>
    <s v="ORD00571"/>
    <x v="215"/>
    <s v="CUST611"/>
    <s v="Sneha"/>
    <x v="0"/>
    <x v="4"/>
    <x v="1"/>
    <x v="0"/>
    <x v="1"/>
    <x v="0"/>
    <n v="5"/>
    <n v="48092"/>
    <n v="0"/>
    <n v="0"/>
    <n v="43282.8"/>
    <n v="210"/>
    <n v="283742.8"/>
    <n v="283952.8"/>
    <x v="2"/>
    <x v="0"/>
    <s v="Lucknow"/>
    <x v="4"/>
    <x v="1"/>
    <n v="3"/>
    <x v="0"/>
    <n v="1"/>
    <x v="1"/>
  </r>
  <r>
    <s v="ORD00572"/>
    <x v="63"/>
    <s v="CUST436"/>
    <s v="Riya"/>
    <x v="1"/>
    <x v="6"/>
    <x v="2"/>
    <x v="1"/>
    <x v="2"/>
    <x v="5"/>
    <n v="1"/>
    <n v="46450"/>
    <n v="10"/>
    <n v="4645"/>
    <n v="7524.9"/>
    <n v="11"/>
    <n v="49329.9"/>
    <n v="49340.9"/>
    <x v="2"/>
    <x v="0"/>
    <s v="Bangalore"/>
    <x v="3"/>
    <x v="2"/>
    <n v="8"/>
    <x v="0"/>
    <n v="5"/>
    <x v="0"/>
  </r>
  <r>
    <s v="ORD00573"/>
    <x v="287"/>
    <s v="CUST934"/>
    <s v="Anjali"/>
    <x v="1"/>
    <x v="11"/>
    <x v="1"/>
    <x v="0"/>
    <x v="1"/>
    <x v="1"/>
    <n v="2"/>
    <n v="7461"/>
    <n v="5"/>
    <n v="746.1"/>
    <n v="2551.66"/>
    <n v="462"/>
    <n v="16727.560000000001"/>
    <n v="17189.560000000001"/>
    <x v="2"/>
    <x v="1"/>
    <s v="Bangalore"/>
    <x v="3"/>
    <x v="2"/>
    <n v="4"/>
    <x v="1"/>
    <n v="5"/>
    <x v="3"/>
  </r>
  <r>
    <s v="ORD00574"/>
    <x v="288"/>
    <s v="CUST596"/>
    <s v="Karan"/>
    <x v="0"/>
    <x v="33"/>
    <x v="6"/>
    <x v="0"/>
    <x v="6"/>
    <x v="9"/>
    <n v="4"/>
    <n v="34693"/>
    <n v="20"/>
    <n v="27754.400000000001"/>
    <n v="19983.169999999998"/>
    <n v="92"/>
    <n v="131000.76999999999"/>
    <n v="131092.76999999999"/>
    <x v="3"/>
    <x v="0"/>
    <s v="Mumbai"/>
    <x v="0"/>
    <x v="0"/>
    <n v="6"/>
    <x v="1"/>
    <n v="3"/>
    <x v="3"/>
  </r>
  <r>
    <s v="ORD00575"/>
    <x v="289"/>
    <s v="CUST732"/>
    <s v="Arjun"/>
    <x v="1"/>
    <x v="2"/>
    <x v="5"/>
    <x v="0"/>
    <x v="5"/>
    <x v="6"/>
    <n v="1"/>
    <n v="32825"/>
    <n v="10"/>
    <n v="3282.5"/>
    <n v="5317.65"/>
    <n v="116"/>
    <n v="34860.15"/>
    <n v="34976.15"/>
    <x v="1"/>
    <x v="1"/>
    <s v="Delhi"/>
    <x v="5"/>
    <x v="1"/>
    <n v="7"/>
    <x v="1"/>
    <n v="4"/>
    <x v="0"/>
  </r>
  <r>
    <s v="ORD00576"/>
    <x v="117"/>
    <s v="CUST254"/>
    <s v="Neha"/>
    <x v="0"/>
    <x v="30"/>
    <x v="1"/>
    <x v="0"/>
    <x v="1"/>
    <x v="6"/>
    <n v="3"/>
    <n v="10600"/>
    <n v="20"/>
    <n v="6360"/>
    <n v="4579.2"/>
    <n v="129"/>
    <n v="30019.200000000001"/>
    <n v="30148.2"/>
    <x v="3"/>
    <x v="0"/>
    <s v="Chandigarh"/>
    <x v="1"/>
    <x v="1"/>
    <n v="10"/>
    <x v="1"/>
    <n v="2"/>
    <x v="3"/>
  </r>
  <r>
    <s v="ORD00577"/>
    <x v="232"/>
    <s v="CUST537"/>
    <s v="Priya"/>
    <x v="0"/>
    <x v="28"/>
    <x v="3"/>
    <x v="2"/>
    <x v="3"/>
    <x v="1"/>
    <n v="3"/>
    <n v="36848"/>
    <n v="5"/>
    <n v="5527.2"/>
    <n v="18903.02"/>
    <n v="368"/>
    <n v="123919.82"/>
    <n v="124287.82"/>
    <x v="1"/>
    <x v="1"/>
    <s v="Chandigarh"/>
    <x v="1"/>
    <x v="1"/>
    <n v="3"/>
    <x v="0"/>
    <n v="1"/>
    <x v="2"/>
  </r>
  <r>
    <s v="ORD00578"/>
    <x v="246"/>
    <s v="CUST858"/>
    <s v="Amit"/>
    <x v="1"/>
    <x v="8"/>
    <x v="3"/>
    <x v="2"/>
    <x v="3"/>
    <x v="6"/>
    <n v="3"/>
    <n v="35709"/>
    <n v="0"/>
    <n v="0"/>
    <n v="19282.86"/>
    <n v="36"/>
    <n v="126409.86"/>
    <n v="126445.86"/>
    <x v="0"/>
    <x v="0"/>
    <s v="Delhi"/>
    <x v="5"/>
    <x v="1"/>
    <n v="7"/>
    <x v="0"/>
    <n v="4"/>
    <x v="3"/>
  </r>
  <r>
    <s v="ORD00579"/>
    <x v="173"/>
    <s v="CUST272"/>
    <s v="Priya"/>
    <x v="1"/>
    <x v="29"/>
    <x v="5"/>
    <x v="0"/>
    <x v="5"/>
    <x v="7"/>
    <n v="4"/>
    <n v="20644"/>
    <n v="5"/>
    <n v="4128.8"/>
    <n v="14120.5"/>
    <n v="344"/>
    <n v="92567.7"/>
    <n v="92911.7"/>
    <x v="3"/>
    <x v="1"/>
    <s v="Patiala"/>
    <x v="1"/>
    <x v="1"/>
    <n v="6"/>
    <x v="0"/>
    <n v="3"/>
    <x v="3"/>
  </r>
  <r>
    <s v="ORD00580"/>
    <x v="152"/>
    <s v="CUST839"/>
    <s v="Neha"/>
    <x v="1"/>
    <x v="32"/>
    <x v="0"/>
    <x v="0"/>
    <x v="0"/>
    <x v="8"/>
    <n v="2"/>
    <n v="6782"/>
    <n v="10"/>
    <n v="1356.4"/>
    <n v="2197.37"/>
    <n v="59"/>
    <n v="14404.97"/>
    <n v="14463.97"/>
    <x v="3"/>
    <x v="0"/>
    <s v="Lucknow"/>
    <x v="4"/>
    <x v="1"/>
    <n v="2"/>
    <x v="0"/>
    <n v="1"/>
    <x v="0"/>
  </r>
  <r>
    <s v="ORD00581"/>
    <x v="290"/>
    <s v="CUST585"/>
    <s v="Neha"/>
    <x v="1"/>
    <x v="30"/>
    <x v="7"/>
    <x v="1"/>
    <x v="7"/>
    <x v="7"/>
    <n v="3"/>
    <n v="30995"/>
    <n v="5"/>
    <n v="4649.25"/>
    <n v="15900.43"/>
    <n v="207"/>
    <n v="104236.18"/>
    <n v="104443.18"/>
    <x v="1"/>
    <x v="1"/>
    <s v="Chandigarh"/>
    <x v="1"/>
    <x v="1"/>
    <n v="6"/>
    <x v="0"/>
    <n v="5"/>
    <x v="3"/>
  </r>
  <r>
    <s v="ORD00582"/>
    <x v="4"/>
    <s v="CUST817"/>
    <s v="Priya"/>
    <x v="1"/>
    <x v="11"/>
    <x v="1"/>
    <x v="0"/>
    <x v="1"/>
    <x v="5"/>
    <n v="1"/>
    <n v="31065"/>
    <n v="20"/>
    <n v="6213"/>
    <n v="4473.3599999999997"/>
    <n v="485"/>
    <n v="29325.360000000001"/>
    <n v="29810.36"/>
    <x v="1"/>
    <x v="1"/>
    <s v="Patiala"/>
    <x v="1"/>
    <x v="1"/>
    <n v="8"/>
    <x v="1"/>
    <n v="4"/>
    <x v="0"/>
  </r>
  <r>
    <s v="ORD00583"/>
    <x v="158"/>
    <s v="CUST795"/>
    <s v="Arjun"/>
    <x v="1"/>
    <x v="37"/>
    <x v="2"/>
    <x v="1"/>
    <x v="2"/>
    <x v="6"/>
    <n v="4"/>
    <n v="25638"/>
    <n v="5"/>
    <n v="5127.6000000000004"/>
    <n v="17536.39"/>
    <n v="105"/>
    <n v="114960.79"/>
    <n v="115065.79"/>
    <x v="0"/>
    <x v="1"/>
    <s v="Patiala"/>
    <x v="1"/>
    <x v="1"/>
    <n v="6"/>
    <x v="0"/>
    <n v="5"/>
    <x v="3"/>
  </r>
  <r>
    <s v="ORD00584"/>
    <x v="253"/>
    <s v="CUST363"/>
    <s v="Neha"/>
    <x v="1"/>
    <x v="21"/>
    <x v="2"/>
    <x v="1"/>
    <x v="2"/>
    <x v="9"/>
    <n v="3"/>
    <n v="36997"/>
    <n v="20"/>
    <n v="22198.2"/>
    <n v="15982.7"/>
    <n v="276"/>
    <n v="104775.5"/>
    <n v="105051.5"/>
    <x v="0"/>
    <x v="1"/>
    <s v="Lucknow"/>
    <x v="4"/>
    <x v="1"/>
    <n v="7"/>
    <x v="1"/>
    <n v="2"/>
    <x v="1"/>
  </r>
  <r>
    <s v="ORD00585"/>
    <x v="285"/>
    <s v="CUST689"/>
    <s v="Priya"/>
    <x v="0"/>
    <x v="24"/>
    <x v="7"/>
    <x v="1"/>
    <x v="7"/>
    <x v="7"/>
    <n v="2"/>
    <n v="22302"/>
    <n v="0"/>
    <n v="0"/>
    <n v="8028.72"/>
    <n v="137"/>
    <n v="52632.72"/>
    <n v="52769.72"/>
    <x v="3"/>
    <x v="0"/>
    <s v="Lucknow"/>
    <x v="4"/>
    <x v="1"/>
    <n v="9"/>
    <x v="1"/>
    <n v="2"/>
    <x v="2"/>
  </r>
  <r>
    <s v="ORD00586"/>
    <x v="291"/>
    <s v="CUST137"/>
    <s v="Rahul"/>
    <x v="0"/>
    <x v="16"/>
    <x v="7"/>
    <x v="1"/>
    <x v="7"/>
    <x v="3"/>
    <n v="4"/>
    <n v="27890"/>
    <n v="5"/>
    <n v="5578"/>
    <n v="19076.759999999998"/>
    <n v="263"/>
    <n v="125058.76"/>
    <n v="125321.76"/>
    <x v="3"/>
    <x v="1"/>
    <s v="Jaipur"/>
    <x v="2"/>
    <x v="1"/>
    <n v="4"/>
    <x v="0"/>
    <n v="5"/>
    <x v="3"/>
  </r>
  <r>
    <s v="ORD00587"/>
    <x v="172"/>
    <s v="CUST910"/>
    <s v="Arjun"/>
    <x v="1"/>
    <x v="20"/>
    <x v="7"/>
    <x v="1"/>
    <x v="7"/>
    <x v="1"/>
    <n v="1"/>
    <n v="3325"/>
    <n v="15"/>
    <n v="498.75"/>
    <n v="508.72"/>
    <n v="182"/>
    <n v="3334.97"/>
    <n v="3516.97"/>
    <x v="0"/>
    <x v="1"/>
    <s v="Delhi"/>
    <x v="5"/>
    <x v="1"/>
    <n v="6"/>
    <x v="1"/>
    <n v="5"/>
    <x v="1"/>
  </r>
  <r>
    <s v="ORD00588"/>
    <x v="292"/>
    <s v="CUST874"/>
    <s v="Sneha"/>
    <x v="1"/>
    <x v="5"/>
    <x v="1"/>
    <x v="0"/>
    <x v="1"/>
    <x v="9"/>
    <n v="1"/>
    <n v="46035"/>
    <n v="0"/>
    <n v="0"/>
    <n v="8286.2999999999993"/>
    <n v="39"/>
    <n v="54321.3"/>
    <n v="54360.3"/>
    <x v="0"/>
    <x v="1"/>
    <s v="Bangalore"/>
    <x v="3"/>
    <x v="2"/>
    <n v="2"/>
    <x v="0"/>
    <n v="2"/>
    <x v="1"/>
  </r>
  <r>
    <s v="ORD00589"/>
    <x v="61"/>
    <s v="CUST536"/>
    <s v="Karan"/>
    <x v="1"/>
    <x v="33"/>
    <x v="1"/>
    <x v="0"/>
    <x v="1"/>
    <x v="3"/>
    <n v="4"/>
    <n v="43793"/>
    <n v="0"/>
    <n v="0"/>
    <n v="31530.959999999999"/>
    <n v="187"/>
    <n v="206702.96"/>
    <n v="206889.96"/>
    <x v="0"/>
    <x v="1"/>
    <s v="Delhi"/>
    <x v="5"/>
    <x v="1"/>
    <n v="2"/>
    <x v="0"/>
    <n v="5"/>
    <x v="1"/>
  </r>
  <r>
    <s v="ORD00590"/>
    <x v="91"/>
    <s v="CUST447"/>
    <s v="Amit"/>
    <x v="1"/>
    <x v="12"/>
    <x v="2"/>
    <x v="1"/>
    <x v="2"/>
    <x v="4"/>
    <n v="1"/>
    <n v="36558"/>
    <n v="10"/>
    <n v="3655.8"/>
    <n v="5922.4"/>
    <n v="204"/>
    <n v="38824.6"/>
    <n v="39028.6"/>
    <x v="0"/>
    <x v="0"/>
    <s v="Delhi"/>
    <x v="5"/>
    <x v="1"/>
    <n v="10"/>
    <x v="1"/>
    <n v="2"/>
    <x v="0"/>
  </r>
  <r>
    <s v="ORD00591"/>
    <x v="93"/>
    <s v="CUST336"/>
    <s v="Vikas"/>
    <x v="0"/>
    <x v="4"/>
    <x v="4"/>
    <x v="0"/>
    <x v="4"/>
    <x v="4"/>
    <n v="1"/>
    <n v="11976"/>
    <n v="10"/>
    <n v="1197.5999999999999"/>
    <n v="1940.11"/>
    <n v="188"/>
    <n v="12718.51"/>
    <n v="12906.51"/>
    <x v="3"/>
    <x v="1"/>
    <s v="Pune"/>
    <x v="0"/>
    <x v="0"/>
    <n v="9"/>
    <x v="1"/>
    <n v="3"/>
    <x v="3"/>
  </r>
  <r>
    <s v="ORD00592"/>
    <x v="187"/>
    <s v="CUST759"/>
    <s v="Priya"/>
    <x v="1"/>
    <x v="30"/>
    <x v="4"/>
    <x v="0"/>
    <x v="4"/>
    <x v="3"/>
    <n v="2"/>
    <n v="30404"/>
    <n v="15"/>
    <n v="9121.2000000000007"/>
    <n v="9303.6200000000008"/>
    <n v="243"/>
    <n v="60990.42"/>
    <n v="61233.42"/>
    <x v="2"/>
    <x v="1"/>
    <s v="Bangalore"/>
    <x v="3"/>
    <x v="2"/>
    <n v="6"/>
    <x v="1"/>
    <n v="2"/>
    <x v="1"/>
  </r>
  <r>
    <s v="ORD00593"/>
    <x v="151"/>
    <s v="CUST410"/>
    <s v="Riya"/>
    <x v="1"/>
    <x v="0"/>
    <x v="8"/>
    <x v="0"/>
    <x v="8"/>
    <x v="2"/>
    <n v="5"/>
    <n v="19190"/>
    <n v="15"/>
    <n v="14392.5"/>
    <n v="14680.35"/>
    <n v="285"/>
    <n v="96237.85"/>
    <n v="96522.85"/>
    <x v="2"/>
    <x v="1"/>
    <s v="Bangalore"/>
    <x v="3"/>
    <x v="2"/>
    <n v="2"/>
    <x v="1"/>
    <n v="2"/>
    <x v="2"/>
  </r>
  <r>
    <s v="ORD00594"/>
    <x v="60"/>
    <s v="CUST598"/>
    <s v="Sneha"/>
    <x v="1"/>
    <x v="21"/>
    <x v="5"/>
    <x v="0"/>
    <x v="5"/>
    <x v="8"/>
    <n v="2"/>
    <n v="13865"/>
    <n v="15"/>
    <n v="4159.5"/>
    <n v="4242.6899999999996"/>
    <n v="362"/>
    <n v="27813.19"/>
    <n v="28175.19"/>
    <x v="0"/>
    <x v="1"/>
    <s v="Lucknow"/>
    <x v="4"/>
    <x v="1"/>
    <n v="4"/>
    <x v="0"/>
    <n v="1"/>
    <x v="2"/>
  </r>
  <r>
    <s v="ORD00595"/>
    <x v="5"/>
    <s v="CUST707"/>
    <s v="Amit"/>
    <x v="1"/>
    <x v="31"/>
    <x v="6"/>
    <x v="0"/>
    <x v="6"/>
    <x v="4"/>
    <n v="5"/>
    <n v="45732"/>
    <n v="20"/>
    <n v="45732"/>
    <n v="32927.040000000001"/>
    <n v="346"/>
    <n v="215855.04"/>
    <n v="216201.04"/>
    <x v="2"/>
    <x v="0"/>
    <s v="Jaipur"/>
    <x v="2"/>
    <x v="1"/>
    <n v="6"/>
    <x v="0"/>
    <n v="5"/>
    <x v="2"/>
  </r>
  <r>
    <s v="ORD00596"/>
    <x v="293"/>
    <s v="CUST638"/>
    <s v="Amit"/>
    <x v="0"/>
    <x v="26"/>
    <x v="8"/>
    <x v="0"/>
    <x v="8"/>
    <x v="1"/>
    <n v="3"/>
    <n v="13690"/>
    <n v="0"/>
    <n v="0"/>
    <n v="7392.6"/>
    <n v="496"/>
    <n v="48462.6"/>
    <n v="48958.6"/>
    <x v="0"/>
    <x v="0"/>
    <s v="Chandigarh"/>
    <x v="1"/>
    <x v="1"/>
    <n v="8"/>
    <x v="0"/>
    <n v="4"/>
    <x v="3"/>
  </r>
  <r>
    <s v="ORD00597"/>
    <x v="294"/>
    <s v="CUST376"/>
    <s v="Anjali"/>
    <x v="0"/>
    <x v="25"/>
    <x v="6"/>
    <x v="0"/>
    <x v="6"/>
    <x v="8"/>
    <n v="5"/>
    <n v="35073"/>
    <n v="5"/>
    <n v="8768.25"/>
    <n v="29987.41"/>
    <n v="32"/>
    <n v="196584.17"/>
    <n v="196616.17"/>
    <x v="3"/>
    <x v="0"/>
    <s v="Pune"/>
    <x v="0"/>
    <x v="0"/>
    <n v="1"/>
    <x v="1"/>
    <n v="5"/>
    <x v="0"/>
  </r>
  <r>
    <s v="ORD00598"/>
    <x v="111"/>
    <s v="CUST497"/>
    <s v="Arjun"/>
    <x v="0"/>
    <x v="17"/>
    <x v="6"/>
    <x v="0"/>
    <x v="6"/>
    <x v="5"/>
    <n v="2"/>
    <n v="24176"/>
    <n v="20"/>
    <n v="9670.4"/>
    <n v="6962.69"/>
    <n v="241"/>
    <n v="45644.29"/>
    <n v="45885.29"/>
    <x v="0"/>
    <x v="0"/>
    <s v="Bangalore"/>
    <x v="3"/>
    <x v="2"/>
    <n v="10"/>
    <x v="1"/>
    <n v="3"/>
    <x v="3"/>
  </r>
  <r>
    <s v="ORD00599"/>
    <x v="217"/>
    <s v="CUST439"/>
    <s v="Anjali"/>
    <x v="0"/>
    <x v="6"/>
    <x v="8"/>
    <x v="0"/>
    <x v="8"/>
    <x v="9"/>
    <n v="4"/>
    <n v="3776"/>
    <n v="5"/>
    <n v="755.2"/>
    <n v="2582.7800000000002"/>
    <n v="358"/>
    <n v="16931.580000000002"/>
    <n v="17289.580000000002"/>
    <x v="2"/>
    <x v="0"/>
    <s v="Bangalore"/>
    <x v="3"/>
    <x v="2"/>
    <n v="1"/>
    <x v="1"/>
    <n v="5"/>
    <x v="3"/>
  </r>
  <r>
    <s v="ORD00600"/>
    <x v="206"/>
    <s v="CUST431"/>
    <s v="Sneha"/>
    <x v="1"/>
    <x v="19"/>
    <x v="5"/>
    <x v="0"/>
    <x v="5"/>
    <x v="3"/>
    <n v="2"/>
    <n v="31074"/>
    <n v="20"/>
    <n v="12429.6"/>
    <n v="8949.31"/>
    <n v="343"/>
    <n v="58667.71"/>
    <n v="59010.71"/>
    <x v="2"/>
    <x v="1"/>
    <s v="Mumbai"/>
    <x v="0"/>
    <x v="0"/>
    <n v="7"/>
    <x v="1"/>
    <n v="4"/>
    <x v="0"/>
  </r>
  <r>
    <s v="ORD00601"/>
    <x v="177"/>
    <s v="CUST143"/>
    <s v="Anjali"/>
    <x v="1"/>
    <x v="14"/>
    <x v="1"/>
    <x v="0"/>
    <x v="1"/>
    <x v="9"/>
    <n v="4"/>
    <n v="34430"/>
    <n v="20"/>
    <n v="27544"/>
    <n v="19831.68"/>
    <n v="63"/>
    <n v="130007.67999999999"/>
    <n v="130070.68"/>
    <x v="2"/>
    <x v="1"/>
    <s v="Jaipur"/>
    <x v="2"/>
    <x v="1"/>
    <n v="1"/>
    <x v="1"/>
    <n v="2"/>
    <x v="2"/>
  </r>
  <r>
    <s v="ORD00602"/>
    <x v="120"/>
    <s v="CUST726"/>
    <s v="Arjun"/>
    <x v="0"/>
    <x v="17"/>
    <x v="9"/>
    <x v="0"/>
    <x v="9"/>
    <x v="4"/>
    <n v="2"/>
    <n v="39830"/>
    <n v="10"/>
    <n v="7966"/>
    <n v="12904.92"/>
    <n v="432"/>
    <n v="84598.92"/>
    <n v="85030.92"/>
    <x v="1"/>
    <x v="1"/>
    <s v="Chandigarh"/>
    <x v="1"/>
    <x v="1"/>
    <n v="8"/>
    <x v="1"/>
    <n v="2"/>
    <x v="1"/>
  </r>
  <r>
    <s v="ORD00603"/>
    <x v="291"/>
    <s v="CUST767"/>
    <s v="Priya"/>
    <x v="0"/>
    <x v="42"/>
    <x v="9"/>
    <x v="0"/>
    <x v="9"/>
    <x v="2"/>
    <n v="2"/>
    <n v="41119"/>
    <n v="5"/>
    <n v="4111.8999999999996"/>
    <n v="14062.7"/>
    <n v="355"/>
    <n v="92188.800000000003"/>
    <n v="92543.8"/>
    <x v="0"/>
    <x v="0"/>
    <s v="Delhi"/>
    <x v="5"/>
    <x v="1"/>
    <n v="7"/>
    <x v="1"/>
    <n v="3"/>
    <x v="0"/>
  </r>
  <r>
    <s v="ORD00604"/>
    <x v="231"/>
    <s v="CUST364"/>
    <s v="Amit"/>
    <x v="1"/>
    <x v="29"/>
    <x v="5"/>
    <x v="0"/>
    <x v="5"/>
    <x v="6"/>
    <n v="2"/>
    <n v="35061"/>
    <n v="5"/>
    <n v="3506.1"/>
    <n v="11990.86"/>
    <n v="303"/>
    <n v="78606.759999999995"/>
    <n v="78909.759999999995"/>
    <x v="2"/>
    <x v="0"/>
    <s v="Chandigarh"/>
    <x v="1"/>
    <x v="1"/>
    <n v="6"/>
    <x v="0"/>
    <n v="1"/>
    <x v="3"/>
  </r>
  <r>
    <s v="ORD00605"/>
    <x v="295"/>
    <s v="CUST351"/>
    <s v="Karan"/>
    <x v="1"/>
    <x v="10"/>
    <x v="0"/>
    <x v="0"/>
    <x v="0"/>
    <x v="2"/>
    <n v="5"/>
    <n v="13176"/>
    <n v="20"/>
    <n v="13176"/>
    <n v="9486.7199999999993"/>
    <n v="109"/>
    <n v="62190.720000000001"/>
    <n v="62299.72"/>
    <x v="1"/>
    <x v="1"/>
    <s v="Pune"/>
    <x v="0"/>
    <x v="0"/>
    <n v="1"/>
    <x v="1"/>
    <n v="4"/>
    <x v="2"/>
  </r>
  <r>
    <s v="ORD00606"/>
    <x v="80"/>
    <s v="CUST699"/>
    <s v="Karan"/>
    <x v="1"/>
    <x v="5"/>
    <x v="7"/>
    <x v="1"/>
    <x v="7"/>
    <x v="2"/>
    <n v="5"/>
    <n v="38288"/>
    <n v="10"/>
    <n v="19144"/>
    <n v="31013.279999999999"/>
    <n v="33"/>
    <n v="203309.28"/>
    <n v="203342.28"/>
    <x v="0"/>
    <x v="1"/>
    <s v="Chandigarh"/>
    <x v="1"/>
    <x v="1"/>
    <n v="2"/>
    <x v="1"/>
    <n v="2"/>
    <x v="3"/>
  </r>
  <r>
    <s v="ORD00607"/>
    <x v="282"/>
    <s v="CUST372"/>
    <s v="Amit"/>
    <x v="0"/>
    <x v="37"/>
    <x v="2"/>
    <x v="1"/>
    <x v="2"/>
    <x v="0"/>
    <n v="5"/>
    <n v="34595"/>
    <n v="0"/>
    <n v="0"/>
    <n v="31135.5"/>
    <n v="278"/>
    <n v="204110.5"/>
    <n v="204388.5"/>
    <x v="1"/>
    <x v="0"/>
    <s v="Chandigarh"/>
    <x v="1"/>
    <x v="1"/>
    <n v="7"/>
    <x v="1"/>
    <n v="4"/>
    <x v="2"/>
  </r>
  <r>
    <s v="ORD00608"/>
    <x v="296"/>
    <s v="CUST786"/>
    <s v="Vikas"/>
    <x v="1"/>
    <x v="1"/>
    <x v="6"/>
    <x v="0"/>
    <x v="6"/>
    <x v="9"/>
    <n v="4"/>
    <n v="14803"/>
    <n v="5"/>
    <n v="2960.6"/>
    <n v="10125.25"/>
    <n v="444"/>
    <n v="66376.649999999994"/>
    <n v="66820.649999999994"/>
    <x v="3"/>
    <x v="0"/>
    <s v="Lucknow"/>
    <x v="4"/>
    <x v="1"/>
    <n v="1"/>
    <x v="0"/>
    <n v="4"/>
    <x v="0"/>
  </r>
  <r>
    <s v="ORD00609"/>
    <x v="97"/>
    <s v="CUST436"/>
    <s v="Karan"/>
    <x v="1"/>
    <x v="37"/>
    <x v="7"/>
    <x v="1"/>
    <x v="7"/>
    <x v="9"/>
    <n v="4"/>
    <n v="46728"/>
    <n v="20"/>
    <n v="37382.400000000001"/>
    <n v="26915.33"/>
    <n v="488"/>
    <n v="176444.93"/>
    <n v="176932.93"/>
    <x v="0"/>
    <x v="1"/>
    <s v="Pune"/>
    <x v="0"/>
    <x v="0"/>
    <n v="6"/>
    <x v="0"/>
    <n v="3"/>
    <x v="3"/>
  </r>
  <r>
    <s v="ORD00610"/>
    <x v="294"/>
    <s v="CUST179"/>
    <s v="Amit"/>
    <x v="1"/>
    <x v="17"/>
    <x v="2"/>
    <x v="1"/>
    <x v="2"/>
    <x v="4"/>
    <n v="1"/>
    <n v="27870"/>
    <n v="10"/>
    <n v="2787"/>
    <n v="4514.9399999999996"/>
    <n v="498"/>
    <n v="29597.94"/>
    <n v="30095.94"/>
    <x v="0"/>
    <x v="1"/>
    <s v="Delhi"/>
    <x v="5"/>
    <x v="1"/>
    <n v="8"/>
    <x v="1"/>
    <n v="5"/>
    <x v="1"/>
  </r>
  <r>
    <s v="ORD00611"/>
    <x v="143"/>
    <s v="CUST167"/>
    <s v="Riya"/>
    <x v="1"/>
    <x v="1"/>
    <x v="2"/>
    <x v="1"/>
    <x v="2"/>
    <x v="8"/>
    <n v="2"/>
    <n v="19119"/>
    <n v="20"/>
    <n v="7647.6"/>
    <n v="5506.27"/>
    <n v="309"/>
    <n v="36096.67"/>
    <n v="36405.67"/>
    <x v="0"/>
    <x v="1"/>
    <s v="Jaipur"/>
    <x v="2"/>
    <x v="1"/>
    <n v="5"/>
    <x v="0"/>
    <n v="3"/>
    <x v="3"/>
  </r>
  <r>
    <s v="ORD00612"/>
    <x v="135"/>
    <s v="CUST760"/>
    <s v="Rahul"/>
    <x v="0"/>
    <x v="18"/>
    <x v="7"/>
    <x v="1"/>
    <x v="7"/>
    <x v="6"/>
    <n v="5"/>
    <n v="17738"/>
    <n v="20"/>
    <n v="17738"/>
    <n v="12771.36"/>
    <n v="196"/>
    <n v="83723.360000000001"/>
    <n v="83919.360000000001"/>
    <x v="3"/>
    <x v="0"/>
    <s v="Pune"/>
    <x v="0"/>
    <x v="0"/>
    <n v="10"/>
    <x v="0"/>
    <n v="2"/>
    <x v="2"/>
  </r>
  <r>
    <s v="ORD00613"/>
    <x v="297"/>
    <s v="CUST673"/>
    <s v="Anjali"/>
    <x v="0"/>
    <x v="23"/>
    <x v="2"/>
    <x v="1"/>
    <x v="2"/>
    <x v="8"/>
    <n v="5"/>
    <n v="43569"/>
    <n v="20"/>
    <n v="43569"/>
    <n v="31369.68"/>
    <n v="221"/>
    <n v="205645.68"/>
    <n v="205866.68"/>
    <x v="2"/>
    <x v="1"/>
    <s v="Jaipur"/>
    <x v="2"/>
    <x v="1"/>
    <n v="10"/>
    <x v="1"/>
    <n v="2"/>
    <x v="1"/>
  </r>
  <r>
    <s v="ORD00614"/>
    <x v="298"/>
    <s v="CUST132"/>
    <s v="Anjali"/>
    <x v="1"/>
    <x v="0"/>
    <x v="2"/>
    <x v="1"/>
    <x v="2"/>
    <x v="7"/>
    <n v="1"/>
    <n v="30905"/>
    <n v="15"/>
    <n v="4635.75"/>
    <n v="4728.47"/>
    <n v="324"/>
    <n v="30997.72"/>
    <n v="31321.72"/>
    <x v="1"/>
    <x v="1"/>
    <s v="Pune"/>
    <x v="0"/>
    <x v="0"/>
    <n v="10"/>
    <x v="1"/>
    <n v="1"/>
    <x v="2"/>
  </r>
  <r>
    <s v="ORD00615"/>
    <x v="181"/>
    <s v="CUST381"/>
    <s v="Riya"/>
    <x v="0"/>
    <x v="9"/>
    <x v="9"/>
    <x v="0"/>
    <x v="9"/>
    <x v="6"/>
    <n v="4"/>
    <n v="41766"/>
    <n v="0"/>
    <n v="0"/>
    <n v="30071.52"/>
    <n v="436"/>
    <n v="197135.52"/>
    <n v="197571.52"/>
    <x v="1"/>
    <x v="1"/>
    <s v="Delhi"/>
    <x v="5"/>
    <x v="1"/>
    <n v="2"/>
    <x v="1"/>
    <n v="2"/>
    <x v="2"/>
  </r>
  <r>
    <s v="ORD00616"/>
    <x v="58"/>
    <s v="CUST751"/>
    <s v="Priya"/>
    <x v="1"/>
    <x v="5"/>
    <x v="4"/>
    <x v="0"/>
    <x v="4"/>
    <x v="7"/>
    <n v="2"/>
    <n v="21383"/>
    <n v="20"/>
    <n v="8553.2000000000007"/>
    <n v="6158.3"/>
    <n v="235"/>
    <n v="40371.1"/>
    <n v="40606.1"/>
    <x v="1"/>
    <x v="0"/>
    <s v="Lucknow"/>
    <x v="4"/>
    <x v="1"/>
    <n v="2"/>
    <x v="1"/>
    <n v="4"/>
    <x v="1"/>
  </r>
  <r>
    <s v="ORD00617"/>
    <x v="257"/>
    <s v="CUST387"/>
    <s v="Vikas"/>
    <x v="0"/>
    <x v="5"/>
    <x v="9"/>
    <x v="0"/>
    <x v="9"/>
    <x v="4"/>
    <n v="3"/>
    <n v="6996"/>
    <n v="0"/>
    <n v="0"/>
    <n v="3777.84"/>
    <n v="327"/>
    <n v="24765.84"/>
    <n v="25092.84"/>
    <x v="0"/>
    <x v="0"/>
    <s v="Chandigarh"/>
    <x v="1"/>
    <x v="1"/>
    <n v="6"/>
    <x v="0"/>
    <n v="2"/>
    <x v="2"/>
  </r>
  <r>
    <s v="ORD00618"/>
    <x v="188"/>
    <s v="CUST120"/>
    <s v="Sneha"/>
    <x v="1"/>
    <x v="28"/>
    <x v="3"/>
    <x v="2"/>
    <x v="3"/>
    <x v="6"/>
    <n v="4"/>
    <n v="47815"/>
    <n v="10"/>
    <n v="19126"/>
    <n v="30984.12"/>
    <n v="23"/>
    <n v="203118.12"/>
    <n v="203141.12"/>
    <x v="3"/>
    <x v="0"/>
    <s v="Pune"/>
    <x v="0"/>
    <x v="0"/>
    <n v="2"/>
    <x v="1"/>
    <n v="4"/>
    <x v="0"/>
  </r>
  <r>
    <s v="ORD00619"/>
    <x v="153"/>
    <s v="CUST540"/>
    <s v="Neha"/>
    <x v="1"/>
    <x v="26"/>
    <x v="9"/>
    <x v="0"/>
    <x v="9"/>
    <x v="0"/>
    <n v="4"/>
    <n v="16140"/>
    <n v="20"/>
    <n v="12912"/>
    <n v="9296.64"/>
    <n v="365"/>
    <n v="60944.639999999999"/>
    <n v="61309.64"/>
    <x v="0"/>
    <x v="0"/>
    <s v="Mumbai"/>
    <x v="0"/>
    <x v="0"/>
    <n v="4"/>
    <x v="1"/>
    <n v="1"/>
    <x v="3"/>
  </r>
  <r>
    <s v="ORD00620"/>
    <x v="113"/>
    <s v="CUST394"/>
    <s v="Sneha"/>
    <x v="1"/>
    <x v="20"/>
    <x v="1"/>
    <x v="0"/>
    <x v="1"/>
    <x v="6"/>
    <n v="2"/>
    <n v="1150"/>
    <n v="20"/>
    <n v="460"/>
    <n v="331.2"/>
    <n v="394"/>
    <n v="2171.1999999999998"/>
    <n v="2565.1999999999998"/>
    <x v="3"/>
    <x v="1"/>
    <s v="Jaipur"/>
    <x v="2"/>
    <x v="1"/>
    <n v="9"/>
    <x v="0"/>
    <n v="2"/>
    <x v="2"/>
  </r>
  <r>
    <s v="ORD00621"/>
    <x v="270"/>
    <s v="CUST808"/>
    <s v="Vikas"/>
    <x v="0"/>
    <x v="0"/>
    <x v="5"/>
    <x v="0"/>
    <x v="5"/>
    <x v="9"/>
    <n v="5"/>
    <n v="4559"/>
    <n v="20"/>
    <n v="4559"/>
    <n v="3282.48"/>
    <n v="202"/>
    <n v="21518.48"/>
    <n v="21720.48"/>
    <x v="1"/>
    <x v="0"/>
    <s v="Chandigarh"/>
    <x v="1"/>
    <x v="1"/>
    <n v="10"/>
    <x v="0"/>
    <n v="1"/>
    <x v="3"/>
  </r>
  <r>
    <s v="ORD00622"/>
    <x v="174"/>
    <s v="CUST948"/>
    <s v="Arjun"/>
    <x v="1"/>
    <x v="12"/>
    <x v="1"/>
    <x v="0"/>
    <x v="1"/>
    <x v="3"/>
    <n v="5"/>
    <n v="40159"/>
    <n v="5"/>
    <n v="10039.75"/>
    <n v="34335.94"/>
    <n v="207"/>
    <n v="225091.20000000001"/>
    <n v="225298.2"/>
    <x v="0"/>
    <x v="0"/>
    <s v="Chandigarh"/>
    <x v="1"/>
    <x v="1"/>
    <n v="8"/>
    <x v="1"/>
    <n v="3"/>
    <x v="2"/>
  </r>
  <r>
    <s v="ORD00623"/>
    <x v="92"/>
    <s v="CUST972"/>
    <s v="Rahul"/>
    <x v="1"/>
    <x v="10"/>
    <x v="3"/>
    <x v="2"/>
    <x v="3"/>
    <x v="7"/>
    <n v="2"/>
    <n v="10985"/>
    <n v="5"/>
    <n v="1098.5"/>
    <n v="3756.87"/>
    <n v="120"/>
    <n v="24628.37"/>
    <n v="24748.37"/>
    <x v="3"/>
    <x v="1"/>
    <s v="Pune"/>
    <x v="0"/>
    <x v="0"/>
    <n v="8"/>
    <x v="0"/>
    <n v="4"/>
    <x v="3"/>
  </r>
  <r>
    <s v="ORD00624"/>
    <x v="295"/>
    <s v="CUST314"/>
    <s v="Sneha"/>
    <x v="0"/>
    <x v="2"/>
    <x v="5"/>
    <x v="0"/>
    <x v="5"/>
    <x v="9"/>
    <n v="1"/>
    <n v="36714"/>
    <n v="0"/>
    <n v="0"/>
    <n v="6608.52"/>
    <n v="425"/>
    <n v="43322.52"/>
    <n v="43747.519999999997"/>
    <x v="2"/>
    <x v="1"/>
    <s v="Chandigarh"/>
    <x v="1"/>
    <x v="1"/>
    <n v="2"/>
    <x v="0"/>
    <n v="2"/>
    <x v="2"/>
  </r>
  <r>
    <s v="ORD00625"/>
    <x v="299"/>
    <s v="CUST746"/>
    <s v="Neha"/>
    <x v="0"/>
    <x v="26"/>
    <x v="6"/>
    <x v="0"/>
    <x v="6"/>
    <x v="6"/>
    <n v="1"/>
    <n v="19124"/>
    <n v="10"/>
    <n v="1912.4"/>
    <n v="3098.09"/>
    <n v="257"/>
    <n v="20309.689999999999"/>
    <n v="20566.689999999999"/>
    <x v="3"/>
    <x v="1"/>
    <s v="Chandigarh"/>
    <x v="1"/>
    <x v="1"/>
    <n v="6"/>
    <x v="1"/>
    <n v="4"/>
    <x v="2"/>
  </r>
  <r>
    <s v="ORD00626"/>
    <x v="116"/>
    <s v="CUST682"/>
    <s v="Neha"/>
    <x v="0"/>
    <x v="16"/>
    <x v="9"/>
    <x v="0"/>
    <x v="9"/>
    <x v="6"/>
    <n v="1"/>
    <n v="23713"/>
    <n v="20"/>
    <n v="4742.6000000000004"/>
    <n v="3414.67"/>
    <n v="411"/>
    <n v="22385.07"/>
    <n v="22796.07"/>
    <x v="0"/>
    <x v="1"/>
    <s v="Patiala"/>
    <x v="1"/>
    <x v="1"/>
    <n v="10"/>
    <x v="1"/>
    <n v="5"/>
    <x v="0"/>
  </r>
  <r>
    <s v="ORD00627"/>
    <x v="48"/>
    <s v="CUST901"/>
    <s v="Rahul"/>
    <x v="1"/>
    <x v="9"/>
    <x v="1"/>
    <x v="0"/>
    <x v="1"/>
    <x v="2"/>
    <n v="3"/>
    <n v="34710"/>
    <n v="20"/>
    <n v="20826"/>
    <n v="14994.72"/>
    <n v="173"/>
    <n v="98298.72"/>
    <n v="98471.72"/>
    <x v="1"/>
    <x v="1"/>
    <s v="Patiala"/>
    <x v="1"/>
    <x v="1"/>
    <n v="1"/>
    <x v="1"/>
    <n v="4"/>
    <x v="3"/>
  </r>
  <r>
    <s v="ORD00628"/>
    <x v="51"/>
    <s v="CUST367"/>
    <s v="Riya"/>
    <x v="1"/>
    <x v="12"/>
    <x v="4"/>
    <x v="0"/>
    <x v="4"/>
    <x v="9"/>
    <n v="3"/>
    <n v="7140"/>
    <n v="0"/>
    <n v="0"/>
    <n v="3855.6"/>
    <n v="484"/>
    <n v="25275.599999999999"/>
    <n v="25759.599999999999"/>
    <x v="1"/>
    <x v="1"/>
    <s v="Chandigarh"/>
    <x v="1"/>
    <x v="1"/>
    <n v="3"/>
    <x v="1"/>
    <n v="3"/>
    <x v="3"/>
  </r>
  <r>
    <s v="ORD00629"/>
    <x v="248"/>
    <s v="CUST491"/>
    <s v="Vikas"/>
    <x v="1"/>
    <x v="17"/>
    <x v="4"/>
    <x v="0"/>
    <x v="4"/>
    <x v="5"/>
    <n v="2"/>
    <n v="28239"/>
    <n v="20"/>
    <n v="11295.6"/>
    <n v="8132.83"/>
    <n v="103"/>
    <n v="53315.23"/>
    <n v="53418.23"/>
    <x v="2"/>
    <x v="0"/>
    <s v="Lucknow"/>
    <x v="4"/>
    <x v="1"/>
    <n v="3"/>
    <x v="1"/>
    <n v="5"/>
    <x v="1"/>
  </r>
  <r>
    <s v="ORD00630"/>
    <x v="103"/>
    <s v="CUST815"/>
    <s v="Karan"/>
    <x v="0"/>
    <x v="34"/>
    <x v="8"/>
    <x v="0"/>
    <x v="8"/>
    <x v="3"/>
    <n v="4"/>
    <n v="48282"/>
    <n v="15"/>
    <n v="28969.200000000001"/>
    <n v="29548.58"/>
    <n v="35"/>
    <n v="193707.38"/>
    <n v="193742.38"/>
    <x v="0"/>
    <x v="1"/>
    <s v="Lucknow"/>
    <x v="4"/>
    <x v="1"/>
    <n v="7"/>
    <x v="1"/>
    <n v="5"/>
    <x v="3"/>
  </r>
  <r>
    <s v="ORD00631"/>
    <x v="68"/>
    <s v="CUST824"/>
    <s v="Sneha"/>
    <x v="0"/>
    <x v="33"/>
    <x v="4"/>
    <x v="0"/>
    <x v="4"/>
    <x v="8"/>
    <n v="4"/>
    <n v="32877"/>
    <n v="10"/>
    <n v="13150.8"/>
    <n v="21304.3"/>
    <n v="68"/>
    <n v="139661.5"/>
    <n v="139729.5"/>
    <x v="0"/>
    <x v="1"/>
    <s v="Mumbai"/>
    <x v="0"/>
    <x v="0"/>
    <n v="1"/>
    <x v="1"/>
    <n v="3"/>
    <x v="0"/>
  </r>
  <r>
    <s v="ORD00632"/>
    <x v="151"/>
    <s v="CUST617"/>
    <s v="Rahul"/>
    <x v="0"/>
    <x v="37"/>
    <x v="2"/>
    <x v="1"/>
    <x v="2"/>
    <x v="9"/>
    <n v="5"/>
    <n v="6859"/>
    <n v="20"/>
    <n v="6859"/>
    <n v="4938.4799999999996"/>
    <n v="489"/>
    <n v="32374.480000000003"/>
    <n v="32863.480000000003"/>
    <x v="3"/>
    <x v="0"/>
    <s v="Mumbai"/>
    <x v="0"/>
    <x v="0"/>
    <n v="8"/>
    <x v="0"/>
    <n v="1"/>
    <x v="0"/>
  </r>
  <r>
    <s v="ORD00633"/>
    <x v="300"/>
    <s v="CUST306"/>
    <s v="Karan"/>
    <x v="0"/>
    <x v="17"/>
    <x v="4"/>
    <x v="0"/>
    <x v="4"/>
    <x v="1"/>
    <n v="5"/>
    <n v="6880"/>
    <n v="5"/>
    <n v="1720"/>
    <n v="5882.4"/>
    <n v="355"/>
    <n v="38562.400000000001"/>
    <n v="38917.4"/>
    <x v="1"/>
    <x v="1"/>
    <s v="Chandigarh"/>
    <x v="1"/>
    <x v="1"/>
    <n v="8"/>
    <x v="1"/>
    <n v="4"/>
    <x v="0"/>
  </r>
  <r>
    <s v="ORD00634"/>
    <x v="149"/>
    <s v="CUST306"/>
    <s v="Riya"/>
    <x v="1"/>
    <x v="2"/>
    <x v="9"/>
    <x v="0"/>
    <x v="9"/>
    <x v="0"/>
    <n v="3"/>
    <n v="44405"/>
    <n v="20"/>
    <n v="26643"/>
    <n v="19182.96"/>
    <n v="188"/>
    <n v="125754.96"/>
    <n v="125942.96"/>
    <x v="1"/>
    <x v="0"/>
    <s v="Bangalore"/>
    <x v="3"/>
    <x v="2"/>
    <n v="4"/>
    <x v="1"/>
    <n v="3"/>
    <x v="0"/>
  </r>
  <r>
    <s v="ORD00635"/>
    <x v="159"/>
    <s v="CUST946"/>
    <s v="Priya"/>
    <x v="1"/>
    <x v="10"/>
    <x v="7"/>
    <x v="1"/>
    <x v="7"/>
    <x v="2"/>
    <n v="5"/>
    <n v="36886"/>
    <n v="20"/>
    <n v="36886"/>
    <n v="26557.919999999998"/>
    <n v="302"/>
    <n v="174101.92"/>
    <n v="174403.92"/>
    <x v="3"/>
    <x v="1"/>
    <s v="Bangalore"/>
    <x v="3"/>
    <x v="2"/>
    <n v="2"/>
    <x v="1"/>
    <n v="3"/>
    <x v="3"/>
  </r>
  <r>
    <s v="ORD00636"/>
    <x v="222"/>
    <s v="CUST310"/>
    <s v="Amit"/>
    <x v="0"/>
    <x v="13"/>
    <x v="8"/>
    <x v="0"/>
    <x v="8"/>
    <x v="8"/>
    <n v="4"/>
    <n v="42144"/>
    <n v="0"/>
    <n v="0"/>
    <n v="30343.68"/>
    <n v="24"/>
    <n v="198919.67999999999"/>
    <n v="198943.68"/>
    <x v="0"/>
    <x v="0"/>
    <s v="Pune"/>
    <x v="0"/>
    <x v="0"/>
    <n v="2"/>
    <x v="1"/>
    <n v="1"/>
    <x v="3"/>
  </r>
  <r>
    <s v="ORD00637"/>
    <x v="254"/>
    <s v="CUST101"/>
    <s v="Vikas"/>
    <x v="1"/>
    <x v="6"/>
    <x v="9"/>
    <x v="0"/>
    <x v="9"/>
    <x v="1"/>
    <n v="4"/>
    <n v="48302"/>
    <n v="5"/>
    <n v="9660.4"/>
    <n v="33038.57"/>
    <n v="179"/>
    <n v="216586.17"/>
    <n v="216765.17"/>
    <x v="1"/>
    <x v="1"/>
    <s v="Delhi"/>
    <x v="5"/>
    <x v="1"/>
    <n v="2"/>
    <x v="1"/>
    <n v="2"/>
    <x v="1"/>
  </r>
  <r>
    <s v="ORD00638"/>
    <x v="106"/>
    <s v="CUST483"/>
    <s v="Vikas"/>
    <x v="1"/>
    <x v="41"/>
    <x v="2"/>
    <x v="1"/>
    <x v="2"/>
    <x v="9"/>
    <n v="2"/>
    <n v="48941"/>
    <n v="20"/>
    <n v="19576.400000000001"/>
    <n v="14095.01"/>
    <n v="140"/>
    <n v="92400.61"/>
    <n v="92540.61"/>
    <x v="0"/>
    <x v="0"/>
    <s v="Pune"/>
    <x v="0"/>
    <x v="0"/>
    <n v="3"/>
    <x v="1"/>
    <n v="1"/>
    <x v="1"/>
  </r>
  <r>
    <s v="ORD00639"/>
    <x v="16"/>
    <s v="CUST612"/>
    <s v="Arjun"/>
    <x v="0"/>
    <x v="23"/>
    <x v="1"/>
    <x v="0"/>
    <x v="1"/>
    <x v="9"/>
    <n v="3"/>
    <n v="2310"/>
    <n v="0"/>
    <n v="0"/>
    <n v="1247.4000000000001"/>
    <n v="179"/>
    <n v="8177.4"/>
    <n v="8356.4"/>
    <x v="2"/>
    <x v="0"/>
    <s v="Patiala"/>
    <x v="1"/>
    <x v="1"/>
    <n v="8"/>
    <x v="1"/>
    <n v="2"/>
    <x v="3"/>
  </r>
  <r>
    <s v="ORD00640"/>
    <x v="119"/>
    <s v="CUST381"/>
    <s v="Anjali"/>
    <x v="0"/>
    <x v="12"/>
    <x v="2"/>
    <x v="1"/>
    <x v="2"/>
    <x v="3"/>
    <n v="3"/>
    <n v="23961"/>
    <n v="15"/>
    <n v="10782.45"/>
    <n v="10998.1"/>
    <n v="321"/>
    <n v="72098.649999999994"/>
    <n v="72419.649999999994"/>
    <x v="2"/>
    <x v="0"/>
    <s v="Bangalore"/>
    <x v="3"/>
    <x v="2"/>
    <n v="5"/>
    <x v="1"/>
    <n v="3"/>
    <x v="0"/>
  </r>
  <r>
    <s v="ORD00641"/>
    <x v="243"/>
    <s v="CUST944"/>
    <s v="Neha"/>
    <x v="1"/>
    <x v="40"/>
    <x v="2"/>
    <x v="1"/>
    <x v="2"/>
    <x v="0"/>
    <n v="1"/>
    <n v="4128"/>
    <n v="15"/>
    <n v="619.20000000000005"/>
    <n v="631.58000000000004"/>
    <n v="70"/>
    <n v="4140.38"/>
    <n v="4210.38"/>
    <x v="0"/>
    <x v="0"/>
    <s v="Lucknow"/>
    <x v="4"/>
    <x v="1"/>
    <n v="6"/>
    <x v="0"/>
    <n v="4"/>
    <x v="2"/>
  </r>
  <r>
    <s v="ORD00642"/>
    <x v="239"/>
    <s v="CUST997"/>
    <s v="Riya"/>
    <x v="0"/>
    <x v="12"/>
    <x v="2"/>
    <x v="1"/>
    <x v="2"/>
    <x v="3"/>
    <n v="3"/>
    <n v="11238"/>
    <n v="10"/>
    <n v="3371.4"/>
    <n v="5461.67"/>
    <n v="201"/>
    <n v="35804.269999999997"/>
    <n v="36005.269999999997"/>
    <x v="3"/>
    <x v="1"/>
    <s v="Mumbai"/>
    <x v="0"/>
    <x v="0"/>
    <n v="5"/>
    <x v="0"/>
    <n v="1"/>
    <x v="2"/>
  </r>
  <r>
    <s v="ORD00643"/>
    <x v="21"/>
    <s v="CUST687"/>
    <s v="Amit"/>
    <x v="0"/>
    <x v="41"/>
    <x v="0"/>
    <x v="0"/>
    <x v="0"/>
    <x v="3"/>
    <n v="2"/>
    <n v="46694"/>
    <n v="10"/>
    <n v="9338.7999999999993"/>
    <n v="15128.86"/>
    <n v="86"/>
    <n v="99178.06"/>
    <n v="99264.06"/>
    <x v="3"/>
    <x v="0"/>
    <s v="Jaipur"/>
    <x v="2"/>
    <x v="1"/>
    <n v="6"/>
    <x v="0"/>
    <n v="4"/>
    <x v="3"/>
  </r>
  <r>
    <s v="ORD00644"/>
    <x v="25"/>
    <s v="CUST461"/>
    <s v="Priya"/>
    <x v="0"/>
    <x v="0"/>
    <x v="6"/>
    <x v="0"/>
    <x v="6"/>
    <x v="2"/>
    <n v="5"/>
    <n v="34344"/>
    <n v="20"/>
    <n v="34344"/>
    <n v="24727.68"/>
    <n v="473"/>
    <n v="162103.67999999999"/>
    <n v="162576.68"/>
    <x v="0"/>
    <x v="1"/>
    <s v="Delhi"/>
    <x v="5"/>
    <x v="1"/>
    <n v="5"/>
    <x v="1"/>
    <n v="5"/>
    <x v="2"/>
  </r>
  <r>
    <s v="ORD00645"/>
    <x v="24"/>
    <s v="CUST121"/>
    <s v="Neha"/>
    <x v="1"/>
    <x v="4"/>
    <x v="8"/>
    <x v="0"/>
    <x v="8"/>
    <x v="4"/>
    <n v="2"/>
    <n v="36921"/>
    <n v="20"/>
    <n v="14768.4"/>
    <n v="10633.25"/>
    <n v="288"/>
    <n v="69706.850000000006"/>
    <n v="69994.850000000006"/>
    <x v="2"/>
    <x v="1"/>
    <s v="Chandigarh"/>
    <x v="1"/>
    <x v="1"/>
    <n v="7"/>
    <x v="1"/>
    <n v="5"/>
    <x v="2"/>
  </r>
  <r>
    <s v="ORD00646"/>
    <x v="46"/>
    <s v="CUST299"/>
    <s v="Priya"/>
    <x v="0"/>
    <x v="36"/>
    <x v="0"/>
    <x v="0"/>
    <x v="0"/>
    <x v="6"/>
    <n v="3"/>
    <n v="4374"/>
    <n v="20"/>
    <n v="2624.4"/>
    <n v="1889.57"/>
    <n v="36"/>
    <n v="12387.17"/>
    <n v="12423.17"/>
    <x v="3"/>
    <x v="1"/>
    <s v="Chandigarh"/>
    <x v="1"/>
    <x v="1"/>
    <n v="9"/>
    <x v="1"/>
    <n v="1"/>
    <x v="3"/>
  </r>
  <r>
    <s v="ORD00647"/>
    <x v="90"/>
    <s v="CUST751"/>
    <s v="Amit"/>
    <x v="0"/>
    <x v="35"/>
    <x v="4"/>
    <x v="0"/>
    <x v="4"/>
    <x v="5"/>
    <n v="5"/>
    <n v="31044"/>
    <n v="20"/>
    <n v="31044"/>
    <n v="22351.68"/>
    <n v="403"/>
    <n v="146527.67999999999"/>
    <n v="146930.68"/>
    <x v="3"/>
    <x v="0"/>
    <s v="Jaipur"/>
    <x v="2"/>
    <x v="1"/>
    <n v="5"/>
    <x v="1"/>
    <n v="2"/>
    <x v="1"/>
  </r>
  <r>
    <s v="ORD00648"/>
    <x v="117"/>
    <s v="CUST434"/>
    <s v="Riya"/>
    <x v="1"/>
    <x v="24"/>
    <x v="3"/>
    <x v="2"/>
    <x v="3"/>
    <x v="3"/>
    <n v="3"/>
    <n v="43444"/>
    <n v="0"/>
    <n v="0"/>
    <n v="23459.759999999998"/>
    <n v="238"/>
    <n v="153791.76"/>
    <n v="154029.76000000001"/>
    <x v="0"/>
    <x v="0"/>
    <s v="Pune"/>
    <x v="0"/>
    <x v="0"/>
    <n v="10"/>
    <x v="0"/>
    <n v="4"/>
    <x v="3"/>
  </r>
  <r>
    <s v="ORD00649"/>
    <x v="131"/>
    <s v="CUST302"/>
    <s v="Vikas"/>
    <x v="0"/>
    <x v="39"/>
    <x v="1"/>
    <x v="0"/>
    <x v="1"/>
    <x v="0"/>
    <n v="2"/>
    <n v="38898"/>
    <n v="10"/>
    <n v="7779.6"/>
    <n v="12602.95"/>
    <n v="277"/>
    <n v="82619.350000000006"/>
    <n v="82896.350000000006"/>
    <x v="0"/>
    <x v="0"/>
    <s v="Chandigarh"/>
    <x v="1"/>
    <x v="1"/>
    <n v="10"/>
    <x v="0"/>
    <n v="1"/>
    <x v="3"/>
  </r>
  <r>
    <s v="ORD00650"/>
    <x v="187"/>
    <s v="CUST858"/>
    <s v="Neha"/>
    <x v="1"/>
    <x v="12"/>
    <x v="5"/>
    <x v="0"/>
    <x v="5"/>
    <x v="0"/>
    <n v="3"/>
    <n v="25634"/>
    <n v="20"/>
    <n v="15380.4"/>
    <n v="11073.89"/>
    <n v="490"/>
    <n v="72595.490000000005"/>
    <n v="73085.490000000005"/>
    <x v="0"/>
    <x v="0"/>
    <s v="Patiala"/>
    <x v="1"/>
    <x v="1"/>
    <n v="10"/>
    <x v="0"/>
    <n v="1"/>
    <x v="1"/>
  </r>
  <r>
    <s v="ORD00651"/>
    <x v="186"/>
    <s v="CUST659"/>
    <s v="Anjali"/>
    <x v="1"/>
    <x v="15"/>
    <x v="4"/>
    <x v="0"/>
    <x v="4"/>
    <x v="3"/>
    <n v="1"/>
    <n v="18070"/>
    <n v="5"/>
    <n v="903.5"/>
    <n v="3089.97"/>
    <n v="495"/>
    <n v="20256.47"/>
    <n v="20751.47"/>
    <x v="3"/>
    <x v="0"/>
    <s v="Patiala"/>
    <x v="1"/>
    <x v="1"/>
    <n v="6"/>
    <x v="0"/>
    <n v="4"/>
    <x v="0"/>
  </r>
  <r>
    <s v="ORD00652"/>
    <x v="301"/>
    <s v="CUST265"/>
    <s v="Priya"/>
    <x v="1"/>
    <x v="17"/>
    <x v="1"/>
    <x v="0"/>
    <x v="1"/>
    <x v="2"/>
    <n v="1"/>
    <n v="25503"/>
    <n v="15"/>
    <n v="3825.45"/>
    <n v="3901.96"/>
    <n v="372"/>
    <n v="25579.51"/>
    <n v="25951.51"/>
    <x v="3"/>
    <x v="1"/>
    <s v="Patiala"/>
    <x v="1"/>
    <x v="1"/>
    <n v="1"/>
    <x v="1"/>
    <n v="2"/>
    <x v="1"/>
  </r>
  <r>
    <s v="ORD00653"/>
    <x v="302"/>
    <s v="CUST130"/>
    <s v="Priya"/>
    <x v="0"/>
    <x v="19"/>
    <x v="5"/>
    <x v="0"/>
    <x v="5"/>
    <x v="1"/>
    <n v="3"/>
    <n v="23347"/>
    <n v="20"/>
    <n v="14008.2"/>
    <n v="10085.9"/>
    <n v="18"/>
    <n v="66118.7"/>
    <n v="66136.7"/>
    <x v="3"/>
    <x v="0"/>
    <s v="Jaipur"/>
    <x v="2"/>
    <x v="1"/>
    <n v="4"/>
    <x v="0"/>
    <n v="2"/>
    <x v="3"/>
  </r>
  <r>
    <s v="ORD00654"/>
    <x v="40"/>
    <s v="CUST198"/>
    <s v="Sneha"/>
    <x v="1"/>
    <x v="26"/>
    <x v="9"/>
    <x v="0"/>
    <x v="9"/>
    <x v="9"/>
    <n v="3"/>
    <n v="34998"/>
    <n v="0"/>
    <n v="0"/>
    <n v="18898.919999999998"/>
    <n v="218"/>
    <n v="123892.92"/>
    <n v="124110.92"/>
    <x v="3"/>
    <x v="0"/>
    <s v="Chandigarh"/>
    <x v="1"/>
    <x v="1"/>
    <n v="3"/>
    <x v="1"/>
    <n v="5"/>
    <x v="1"/>
  </r>
  <r>
    <s v="ORD00655"/>
    <x v="249"/>
    <s v="CUST387"/>
    <s v="Sneha"/>
    <x v="1"/>
    <x v="23"/>
    <x v="7"/>
    <x v="1"/>
    <x v="7"/>
    <x v="6"/>
    <n v="2"/>
    <n v="20237"/>
    <n v="20"/>
    <n v="8094.8"/>
    <n v="5828.26"/>
    <n v="329"/>
    <n v="38207.46"/>
    <n v="38536.46"/>
    <x v="2"/>
    <x v="0"/>
    <s v="Jaipur"/>
    <x v="2"/>
    <x v="1"/>
    <n v="3"/>
    <x v="1"/>
    <n v="4"/>
    <x v="3"/>
  </r>
  <r>
    <s v="ORD00656"/>
    <x v="303"/>
    <s v="CUST478"/>
    <s v="Rahul"/>
    <x v="0"/>
    <x v="18"/>
    <x v="8"/>
    <x v="0"/>
    <x v="8"/>
    <x v="0"/>
    <n v="5"/>
    <n v="48600"/>
    <n v="15"/>
    <n v="36450"/>
    <n v="37179"/>
    <n v="201"/>
    <n v="243729"/>
    <n v="243930"/>
    <x v="3"/>
    <x v="1"/>
    <s v="Pune"/>
    <x v="0"/>
    <x v="0"/>
    <n v="8"/>
    <x v="0"/>
    <n v="1"/>
    <x v="0"/>
  </r>
  <r>
    <s v="ORD00657"/>
    <x v="115"/>
    <s v="CUST328"/>
    <s v="Karan"/>
    <x v="0"/>
    <x v="8"/>
    <x v="0"/>
    <x v="0"/>
    <x v="0"/>
    <x v="3"/>
    <n v="5"/>
    <n v="22607"/>
    <n v="15"/>
    <n v="16955.25"/>
    <n v="17294.349999999999"/>
    <n v="90"/>
    <n v="113374.1"/>
    <n v="113464.1"/>
    <x v="2"/>
    <x v="0"/>
    <s v="Mumbai"/>
    <x v="0"/>
    <x v="0"/>
    <n v="6"/>
    <x v="0"/>
    <n v="5"/>
    <x v="3"/>
  </r>
  <r>
    <s v="ORD00658"/>
    <x v="92"/>
    <s v="CUST412"/>
    <s v="Priya"/>
    <x v="1"/>
    <x v="11"/>
    <x v="6"/>
    <x v="0"/>
    <x v="6"/>
    <x v="3"/>
    <n v="3"/>
    <n v="35119"/>
    <n v="10"/>
    <n v="10535.7"/>
    <n v="17067.830000000002"/>
    <n v="267"/>
    <n v="111889.13"/>
    <n v="112156.13"/>
    <x v="1"/>
    <x v="0"/>
    <s v="Jaipur"/>
    <x v="2"/>
    <x v="1"/>
    <n v="5"/>
    <x v="1"/>
    <n v="2"/>
    <x v="3"/>
  </r>
  <r>
    <s v="ORD00659"/>
    <x v="304"/>
    <s v="CUST559"/>
    <s v="Rahul"/>
    <x v="0"/>
    <x v="34"/>
    <x v="5"/>
    <x v="0"/>
    <x v="5"/>
    <x v="2"/>
    <n v="1"/>
    <n v="23303"/>
    <n v="10"/>
    <n v="2330.3000000000002"/>
    <n v="3775.09"/>
    <n v="211"/>
    <n v="24747.79"/>
    <n v="24958.79"/>
    <x v="2"/>
    <x v="0"/>
    <s v="Delhi"/>
    <x v="5"/>
    <x v="1"/>
    <n v="10"/>
    <x v="1"/>
    <n v="5"/>
    <x v="0"/>
  </r>
  <r>
    <s v="ORD00660"/>
    <x v="305"/>
    <s v="CUST210"/>
    <s v="Priya"/>
    <x v="1"/>
    <x v="25"/>
    <x v="5"/>
    <x v="0"/>
    <x v="5"/>
    <x v="8"/>
    <n v="2"/>
    <n v="47952"/>
    <n v="20"/>
    <n v="19180.8"/>
    <n v="13810.18"/>
    <n v="396"/>
    <n v="90533.38"/>
    <n v="90929.38"/>
    <x v="3"/>
    <x v="0"/>
    <s v="Pune"/>
    <x v="0"/>
    <x v="0"/>
    <n v="6"/>
    <x v="0"/>
    <n v="4"/>
    <x v="3"/>
  </r>
  <r>
    <s v="ORD00661"/>
    <x v="169"/>
    <s v="CUST370"/>
    <s v="Vikas"/>
    <x v="1"/>
    <x v="17"/>
    <x v="0"/>
    <x v="0"/>
    <x v="0"/>
    <x v="5"/>
    <n v="5"/>
    <n v="32236"/>
    <n v="0"/>
    <n v="0"/>
    <n v="29012.400000000001"/>
    <n v="327"/>
    <n v="190192.4"/>
    <n v="190519.4"/>
    <x v="2"/>
    <x v="0"/>
    <s v="Chandigarh"/>
    <x v="1"/>
    <x v="1"/>
    <n v="6"/>
    <x v="0"/>
    <n v="4"/>
    <x v="1"/>
  </r>
  <r>
    <s v="ORD00662"/>
    <x v="303"/>
    <s v="CUST631"/>
    <s v="Amit"/>
    <x v="1"/>
    <x v="2"/>
    <x v="5"/>
    <x v="0"/>
    <x v="5"/>
    <x v="9"/>
    <n v="1"/>
    <n v="35972"/>
    <n v="5"/>
    <n v="1798.6"/>
    <n v="6151.21"/>
    <n v="96"/>
    <n v="40324.61"/>
    <n v="40420.61"/>
    <x v="2"/>
    <x v="0"/>
    <s v="Bangalore"/>
    <x v="3"/>
    <x v="2"/>
    <n v="10"/>
    <x v="0"/>
    <n v="4"/>
    <x v="1"/>
  </r>
  <r>
    <s v="ORD00663"/>
    <x v="275"/>
    <s v="CUST604"/>
    <s v="Arjun"/>
    <x v="0"/>
    <x v="36"/>
    <x v="8"/>
    <x v="0"/>
    <x v="8"/>
    <x v="0"/>
    <n v="3"/>
    <n v="43548"/>
    <n v="10"/>
    <n v="13064.4"/>
    <n v="21164.33"/>
    <n v="336"/>
    <n v="138743.93"/>
    <n v="139079.93"/>
    <x v="2"/>
    <x v="0"/>
    <s v="Patiala"/>
    <x v="1"/>
    <x v="1"/>
    <n v="8"/>
    <x v="0"/>
    <n v="4"/>
    <x v="1"/>
  </r>
  <r>
    <s v="ORD00664"/>
    <x v="301"/>
    <s v="CUST334"/>
    <s v="Anjali"/>
    <x v="0"/>
    <x v="16"/>
    <x v="4"/>
    <x v="0"/>
    <x v="4"/>
    <x v="4"/>
    <n v="4"/>
    <n v="7915"/>
    <n v="10"/>
    <n v="3166"/>
    <n v="5128.92"/>
    <n v="361"/>
    <n v="33622.92"/>
    <n v="33983.919999999998"/>
    <x v="0"/>
    <x v="0"/>
    <s v="Bangalore"/>
    <x v="3"/>
    <x v="2"/>
    <n v="5"/>
    <x v="1"/>
    <n v="1"/>
    <x v="1"/>
  </r>
  <r>
    <s v="ORD00665"/>
    <x v="61"/>
    <s v="CUST718"/>
    <s v="Karan"/>
    <x v="1"/>
    <x v="1"/>
    <x v="9"/>
    <x v="0"/>
    <x v="9"/>
    <x v="5"/>
    <n v="3"/>
    <n v="3759"/>
    <n v="0"/>
    <n v="0"/>
    <n v="2029.86"/>
    <n v="446"/>
    <n v="13306.86"/>
    <n v="13752.86"/>
    <x v="1"/>
    <x v="0"/>
    <s v="Jaipur"/>
    <x v="2"/>
    <x v="1"/>
    <n v="4"/>
    <x v="0"/>
    <n v="4"/>
    <x v="0"/>
  </r>
  <r>
    <s v="ORD00666"/>
    <x v="141"/>
    <s v="CUST246"/>
    <s v="Neha"/>
    <x v="1"/>
    <x v="3"/>
    <x v="7"/>
    <x v="1"/>
    <x v="7"/>
    <x v="7"/>
    <n v="1"/>
    <n v="17726"/>
    <n v="10"/>
    <n v="1772.6"/>
    <n v="2871.61"/>
    <n v="165"/>
    <n v="18825.009999999998"/>
    <n v="18990.009999999998"/>
    <x v="0"/>
    <x v="0"/>
    <s v="Chandigarh"/>
    <x v="1"/>
    <x v="1"/>
    <n v="8"/>
    <x v="1"/>
    <n v="5"/>
    <x v="1"/>
  </r>
  <r>
    <s v="ORD00667"/>
    <x v="135"/>
    <s v="CUST424"/>
    <s v="Priya"/>
    <x v="0"/>
    <x v="17"/>
    <x v="7"/>
    <x v="1"/>
    <x v="7"/>
    <x v="1"/>
    <n v="3"/>
    <n v="13518"/>
    <n v="0"/>
    <n v="0"/>
    <n v="7299.72"/>
    <n v="220"/>
    <n v="47853.72"/>
    <n v="48073.72"/>
    <x v="0"/>
    <x v="1"/>
    <s v="Patiala"/>
    <x v="1"/>
    <x v="1"/>
    <n v="9"/>
    <x v="0"/>
    <n v="4"/>
    <x v="1"/>
  </r>
  <r>
    <s v="ORD00668"/>
    <x v="266"/>
    <s v="CUST826"/>
    <s v="Karan"/>
    <x v="0"/>
    <x v="20"/>
    <x v="0"/>
    <x v="0"/>
    <x v="0"/>
    <x v="8"/>
    <n v="5"/>
    <n v="48662"/>
    <n v="0"/>
    <n v="0"/>
    <n v="43795.8"/>
    <n v="270"/>
    <n v="287105.8"/>
    <n v="287375.8"/>
    <x v="1"/>
    <x v="1"/>
    <s v="Mumbai"/>
    <x v="0"/>
    <x v="0"/>
    <n v="10"/>
    <x v="0"/>
    <n v="5"/>
    <x v="0"/>
  </r>
  <r>
    <s v="ORD00669"/>
    <x v="261"/>
    <s v="CUST867"/>
    <s v="Sneha"/>
    <x v="1"/>
    <x v="8"/>
    <x v="1"/>
    <x v="0"/>
    <x v="1"/>
    <x v="6"/>
    <n v="4"/>
    <n v="48803"/>
    <n v="0"/>
    <n v="0"/>
    <n v="35138.160000000003"/>
    <n v="191"/>
    <n v="230350.16"/>
    <n v="230541.16"/>
    <x v="3"/>
    <x v="0"/>
    <s v="Mumbai"/>
    <x v="0"/>
    <x v="0"/>
    <n v="2"/>
    <x v="0"/>
    <n v="2"/>
    <x v="1"/>
  </r>
  <r>
    <s v="ORD00670"/>
    <x v="155"/>
    <s v="CUST802"/>
    <s v="Priya"/>
    <x v="0"/>
    <x v="30"/>
    <x v="4"/>
    <x v="0"/>
    <x v="4"/>
    <x v="2"/>
    <n v="1"/>
    <n v="20388"/>
    <n v="0"/>
    <n v="0"/>
    <n v="3669.84"/>
    <n v="118"/>
    <n v="24057.84"/>
    <n v="24175.84"/>
    <x v="2"/>
    <x v="0"/>
    <s v="Chandigarh"/>
    <x v="1"/>
    <x v="1"/>
    <n v="2"/>
    <x v="1"/>
    <n v="2"/>
    <x v="3"/>
  </r>
  <r>
    <s v="ORD00671"/>
    <x v="133"/>
    <s v="CUST272"/>
    <s v="Karan"/>
    <x v="0"/>
    <x v="16"/>
    <x v="2"/>
    <x v="1"/>
    <x v="2"/>
    <x v="3"/>
    <n v="1"/>
    <n v="38234"/>
    <n v="15"/>
    <n v="5735.1"/>
    <n v="5849.8"/>
    <n v="117"/>
    <n v="38348.699999999997"/>
    <n v="38465.699999999997"/>
    <x v="0"/>
    <x v="0"/>
    <s v="Pune"/>
    <x v="0"/>
    <x v="0"/>
    <n v="6"/>
    <x v="1"/>
    <n v="3"/>
    <x v="2"/>
  </r>
  <r>
    <s v="ORD00672"/>
    <x v="102"/>
    <s v="CUST650"/>
    <s v="Arjun"/>
    <x v="1"/>
    <x v="33"/>
    <x v="8"/>
    <x v="0"/>
    <x v="8"/>
    <x v="7"/>
    <n v="3"/>
    <n v="36323"/>
    <n v="10"/>
    <n v="10896.9"/>
    <n v="17652.98"/>
    <n v="446"/>
    <n v="115725.08"/>
    <n v="116171.08"/>
    <x v="3"/>
    <x v="0"/>
    <s v="Pune"/>
    <x v="0"/>
    <x v="0"/>
    <n v="3"/>
    <x v="0"/>
    <n v="2"/>
    <x v="0"/>
  </r>
  <r>
    <s v="ORD00673"/>
    <x v="225"/>
    <s v="CUST513"/>
    <s v="Riya"/>
    <x v="0"/>
    <x v="6"/>
    <x v="0"/>
    <x v="0"/>
    <x v="0"/>
    <x v="4"/>
    <n v="1"/>
    <n v="37469"/>
    <n v="10"/>
    <n v="3746.9"/>
    <n v="6069.98"/>
    <n v="343"/>
    <n v="39792.080000000002"/>
    <n v="40135.08"/>
    <x v="1"/>
    <x v="1"/>
    <s v="Pune"/>
    <x v="0"/>
    <x v="0"/>
    <n v="8"/>
    <x v="1"/>
    <n v="3"/>
    <x v="3"/>
  </r>
  <r>
    <s v="ORD00674"/>
    <x v="119"/>
    <s v="CUST838"/>
    <s v="Amit"/>
    <x v="0"/>
    <x v="32"/>
    <x v="3"/>
    <x v="2"/>
    <x v="3"/>
    <x v="3"/>
    <n v="2"/>
    <n v="8036"/>
    <n v="15"/>
    <n v="2410.8000000000002"/>
    <n v="2459.02"/>
    <n v="129"/>
    <n v="16120.22"/>
    <n v="16249.22"/>
    <x v="0"/>
    <x v="1"/>
    <s v="Jaipur"/>
    <x v="2"/>
    <x v="1"/>
    <n v="8"/>
    <x v="1"/>
    <n v="5"/>
    <x v="1"/>
  </r>
  <r>
    <s v="ORD00675"/>
    <x v="30"/>
    <s v="CUST753"/>
    <s v="Rahul"/>
    <x v="1"/>
    <x v="36"/>
    <x v="2"/>
    <x v="1"/>
    <x v="2"/>
    <x v="9"/>
    <n v="1"/>
    <n v="7033"/>
    <n v="0"/>
    <n v="0"/>
    <n v="1265.94"/>
    <n v="330"/>
    <n v="8298.94"/>
    <n v="8628.94"/>
    <x v="2"/>
    <x v="1"/>
    <s v="Delhi"/>
    <x v="5"/>
    <x v="1"/>
    <n v="9"/>
    <x v="0"/>
    <n v="5"/>
    <x v="1"/>
  </r>
  <r>
    <s v="ORD00676"/>
    <x v="262"/>
    <s v="CUST296"/>
    <s v="Rahul"/>
    <x v="1"/>
    <x v="16"/>
    <x v="3"/>
    <x v="2"/>
    <x v="3"/>
    <x v="7"/>
    <n v="3"/>
    <n v="21275"/>
    <n v="10"/>
    <n v="6382.5"/>
    <n v="10339.65"/>
    <n v="126"/>
    <n v="67782.149999999994"/>
    <n v="67908.149999999994"/>
    <x v="3"/>
    <x v="0"/>
    <s v="Jaipur"/>
    <x v="2"/>
    <x v="1"/>
    <n v="7"/>
    <x v="1"/>
    <n v="5"/>
    <x v="1"/>
  </r>
  <r>
    <s v="ORD00677"/>
    <x v="128"/>
    <s v="CUST344"/>
    <s v="Neha"/>
    <x v="0"/>
    <x v="33"/>
    <x v="1"/>
    <x v="0"/>
    <x v="1"/>
    <x v="0"/>
    <n v="1"/>
    <n v="30273"/>
    <n v="0"/>
    <n v="0"/>
    <n v="5449.14"/>
    <n v="128"/>
    <n v="35722.14"/>
    <n v="35850.14"/>
    <x v="1"/>
    <x v="0"/>
    <s v="Lucknow"/>
    <x v="4"/>
    <x v="1"/>
    <n v="3"/>
    <x v="1"/>
    <n v="2"/>
    <x v="3"/>
  </r>
  <r>
    <s v="ORD00678"/>
    <x v="187"/>
    <s v="CUST121"/>
    <s v="Karan"/>
    <x v="0"/>
    <x v="40"/>
    <x v="1"/>
    <x v="0"/>
    <x v="1"/>
    <x v="4"/>
    <n v="5"/>
    <n v="35557"/>
    <n v="20"/>
    <n v="35557"/>
    <n v="25601.040000000001"/>
    <n v="86"/>
    <n v="167829.04"/>
    <n v="167915.04"/>
    <x v="2"/>
    <x v="0"/>
    <s v="Mumbai"/>
    <x v="0"/>
    <x v="0"/>
    <n v="9"/>
    <x v="1"/>
    <n v="1"/>
    <x v="1"/>
  </r>
  <r>
    <s v="ORD00679"/>
    <x v="306"/>
    <s v="CUST683"/>
    <s v="Sneha"/>
    <x v="1"/>
    <x v="20"/>
    <x v="5"/>
    <x v="0"/>
    <x v="5"/>
    <x v="7"/>
    <n v="4"/>
    <n v="43332"/>
    <n v="20"/>
    <n v="34665.599999999999"/>
    <n v="24959.23"/>
    <n v="354"/>
    <n v="163621.63"/>
    <n v="163975.63"/>
    <x v="2"/>
    <x v="1"/>
    <s v="Lucknow"/>
    <x v="4"/>
    <x v="1"/>
    <n v="1"/>
    <x v="1"/>
    <n v="4"/>
    <x v="0"/>
  </r>
  <r>
    <s v="ORD00680"/>
    <x v="205"/>
    <s v="CUST101"/>
    <s v="Arjun"/>
    <x v="1"/>
    <x v="39"/>
    <x v="8"/>
    <x v="0"/>
    <x v="8"/>
    <x v="7"/>
    <n v="5"/>
    <n v="10495"/>
    <n v="10"/>
    <n v="5247.5"/>
    <n v="8500.9500000000007"/>
    <n v="92"/>
    <n v="55728.45"/>
    <n v="55820.45"/>
    <x v="3"/>
    <x v="1"/>
    <s v="Patiala"/>
    <x v="1"/>
    <x v="1"/>
    <n v="8"/>
    <x v="0"/>
    <n v="4"/>
    <x v="0"/>
  </r>
  <r>
    <s v="ORD00681"/>
    <x v="229"/>
    <s v="CUST731"/>
    <s v="Arjun"/>
    <x v="0"/>
    <x v="11"/>
    <x v="6"/>
    <x v="0"/>
    <x v="6"/>
    <x v="5"/>
    <n v="4"/>
    <n v="8623"/>
    <n v="5"/>
    <n v="1724.6"/>
    <n v="5898.13"/>
    <n v="358"/>
    <n v="38665.53"/>
    <n v="39023.53"/>
    <x v="0"/>
    <x v="1"/>
    <s v="Lucknow"/>
    <x v="4"/>
    <x v="1"/>
    <n v="9"/>
    <x v="1"/>
    <n v="2"/>
    <x v="1"/>
  </r>
  <r>
    <s v="ORD00682"/>
    <x v="243"/>
    <s v="CUST427"/>
    <s v="Rahul"/>
    <x v="1"/>
    <x v="30"/>
    <x v="5"/>
    <x v="0"/>
    <x v="5"/>
    <x v="8"/>
    <n v="1"/>
    <n v="12855"/>
    <n v="0"/>
    <n v="0"/>
    <n v="2313.9"/>
    <n v="289"/>
    <n v="15168.9"/>
    <n v="15457.9"/>
    <x v="3"/>
    <x v="1"/>
    <s v="Chandigarh"/>
    <x v="1"/>
    <x v="1"/>
    <n v="1"/>
    <x v="1"/>
    <n v="2"/>
    <x v="0"/>
  </r>
  <r>
    <s v="ORD00683"/>
    <x v="94"/>
    <s v="CUST996"/>
    <s v="Arjun"/>
    <x v="0"/>
    <x v="41"/>
    <x v="7"/>
    <x v="1"/>
    <x v="7"/>
    <x v="8"/>
    <n v="5"/>
    <n v="7313"/>
    <n v="10"/>
    <n v="3656.5"/>
    <n v="5923.53"/>
    <n v="78"/>
    <n v="38832.03"/>
    <n v="38910.03"/>
    <x v="1"/>
    <x v="0"/>
    <s v="Lucknow"/>
    <x v="4"/>
    <x v="1"/>
    <n v="1"/>
    <x v="1"/>
    <n v="3"/>
    <x v="3"/>
  </r>
  <r>
    <s v="ORD00684"/>
    <x v="307"/>
    <s v="CUST667"/>
    <s v="Karan"/>
    <x v="0"/>
    <x v="2"/>
    <x v="5"/>
    <x v="0"/>
    <x v="5"/>
    <x v="5"/>
    <n v="1"/>
    <n v="19819"/>
    <n v="0"/>
    <n v="0"/>
    <n v="3567.42"/>
    <n v="273"/>
    <n v="23386.42"/>
    <n v="23659.42"/>
    <x v="0"/>
    <x v="1"/>
    <s v="Mumbai"/>
    <x v="0"/>
    <x v="0"/>
    <n v="3"/>
    <x v="1"/>
    <n v="2"/>
    <x v="0"/>
  </r>
  <r>
    <s v="ORD00685"/>
    <x v="228"/>
    <s v="CUST835"/>
    <s v="Karan"/>
    <x v="1"/>
    <x v="18"/>
    <x v="0"/>
    <x v="0"/>
    <x v="0"/>
    <x v="7"/>
    <n v="5"/>
    <n v="49125"/>
    <n v="0"/>
    <n v="0"/>
    <n v="44212.5"/>
    <n v="132"/>
    <n v="289837.5"/>
    <n v="289969.5"/>
    <x v="2"/>
    <x v="1"/>
    <s v="Lucknow"/>
    <x v="4"/>
    <x v="1"/>
    <n v="2"/>
    <x v="0"/>
    <n v="1"/>
    <x v="2"/>
  </r>
  <r>
    <s v="ORD00686"/>
    <x v="301"/>
    <s v="CUST384"/>
    <s v="Priya"/>
    <x v="0"/>
    <x v="17"/>
    <x v="3"/>
    <x v="2"/>
    <x v="3"/>
    <x v="3"/>
    <n v="3"/>
    <n v="40023"/>
    <n v="5"/>
    <n v="6003.45"/>
    <n v="20531.8"/>
    <n v="233"/>
    <n v="134597.35"/>
    <n v="134830.35"/>
    <x v="0"/>
    <x v="1"/>
    <s v="Jaipur"/>
    <x v="2"/>
    <x v="1"/>
    <n v="1"/>
    <x v="0"/>
    <n v="2"/>
    <x v="0"/>
  </r>
  <r>
    <s v="ORD00687"/>
    <x v="146"/>
    <s v="CUST408"/>
    <s v="Sneha"/>
    <x v="0"/>
    <x v="17"/>
    <x v="0"/>
    <x v="0"/>
    <x v="0"/>
    <x v="4"/>
    <n v="1"/>
    <n v="11177"/>
    <n v="20"/>
    <n v="2235.4"/>
    <n v="1609.49"/>
    <n v="174"/>
    <n v="10551.09"/>
    <n v="10725.09"/>
    <x v="2"/>
    <x v="1"/>
    <s v="Jaipur"/>
    <x v="2"/>
    <x v="1"/>
    <n v="10"/>
    <x v="0"/>
    <n v="5"/>
    <x v="1"/>
  </r>
  <r>
    <s v="ORD00688"/>
    <x v="307"/>
    <s v="CUST737"/>
    <s v="Priya"/>
    <x v="0"/>
    <x v="21"/>
    <x v="4"/>
    <x v="0"/>
    <x v="4"/>
    <x v="3"/>
    <n v="4"/>
    <n v="43124"/>
    <n v="15"/>
    <n v="25874.400000000001"/>
    <n v="26391.89"/>
    <n v="187"/>
    <n v="173013.49"/>
    <n v="173200.49"/>
    <x v="0"/>
    <x v="1"/>
    <s v="Delhi"/>
    <x v="5"/>
    <x v="1"/>
    <n v="8"/>
    <x v="1"/>
    <n v="3"/>
    <x v="3"/>
  </r>
  <r>
    <s v="ORD00689"/>
    <x v="11"/>
    <s v="CUST700"/>
    <s v="Anjali"/>
    <x v="0"/>
    <x v="12"/>
    <x v="4"/>
    <x v="0"/>
    <x v="4"/>
    <x v="9"/>
    <n v="1"/>
    <n v="1063"/>
    <n v="5"/>
    <n v="53.15"/>
    <n v="181.77"/>
    <n v="2"/>
    <n v="1191.6199999999999"/>
    <n v="1193.6199999999999"/>
    <x v="0"/>
    <x v="0"/>
    <s v="Delhi"/>
    <x v="5"/>
    <x v="1"/>
    <n v="6"/>
    <x v="1"/>
    <n v="5"/>
    <x v="0"/>
  </r>
  <r>
    <s v="ORD00690"/>
    <x v="93"/>
    <s v="CUST234"/>
    <s v="Amit"/>
    <x v="1"/>
    <x v="36"/>
    <x v="4"/>
    <x v="0"/>
    <x v="4"/>
    <x v="5"/>
    <n v="2"/>
    <n v="862"/>
    <n v="0"/>
    <n v="0"/>
    <n v="310.32"/>
    <n v="38"/>
    <n v="2034.3200000000002"/>
    <n v="2072.3200000000002"/>
    <x v="2"/>
    <x v="1"/>
    <s v="Patiala"/>
    <x v="1"/>
    <x v="1"/>
    <n v="4"/>
    <x v="1"/>
    <n v="5"/>
    <x v="1"/>
  </r>
  <r>
    <s v="ORD00691"/>
    <x v="193"/>
    <s v="CUST195"/>
    <s v="Karan"/>
    <x v="0"/>
    <x v="3"/>
    <x v="7"/>
    <x v="1"/>
    <x v="7"/>
    <x v="8"/>
    <n v="3"/>
    <n v="48398"/>
    <n v="0"/>
    <n v="0"/>
    <n v="26134.92"/>
    <n v="450"/>
    <n v="171328.92"/>
    <n v="171778.92"/>
    <x v="3"/>
    <x v="0"/>
    <s v="Pune"/>
    <x v="0"/>
    <x v="0"/>
    <n v="1"/>
    <x v="1"/>
    <n v="5"/>
    <x v="3"/>
  </r>
  <r>
    <s v="ORD00692"/>
    <x v="308"/>
    <s v="CUST176"/>
    <s v="Riya"/>
    <x v="1"/>
    <x v="24"/>
    <x v="8"/>
    <x v="0"/>
    <x v="8"/>
    <x v="5"/>
    <n v="4"/>
    <n v="39778"/>
    <n v="10"/>
    <n v="15911.2"/>
    <n v="25776.14"/>
    <n v="252"/>
    <n v="168976.94"/>
    <n v="169228.94"/>
    <x v="0"/>
    <x v="0"/>
    <s v="Patiala"/>
    <x v="1"/>
    <x v="1"/>
    <n v="6"/>
    <x v="1"/>
    <n v="5"/>
    <x v="0"/>
  </r>
  <r>
    <s v="ORD00693"/>
    <x v="309"/>
    <s v="CUST511"/>
    <s v="Neha"/>
    <x v="0"/>
    <x v="5"/>
    <x v="7"/>
    <x v="1"/>
    <x v="7"/>
    <x v="7"/>
    <n v="2"/>
    <n v="25407"/>
    <n v="0"/>
    <n v="0"/>
    <n v="9146.52"/>
    <n v="193"/>
    <n v="59960.52"/>
    <n v="60153.52"/>
    <x v="3"/>
    <x v="0"/>
    <s v="Chandigarh"/>
    <x v="1"/>
    <x v="1"/>
    <n v="5"/>
    <x v="0"/>
    <n v="3"/>
    <x v="3"/>
  </r>
  <r>
    <s v="ORD00694"/>
    <x v="76"/>
    <s v="CUST471"/>
    <s v="Priya"/>
    <x v="1"/>
    <x v="30"/>
    <x v="3"/>
    <x v="2"/>
    <x v="3"/>
    <x v="2"/>
    <n v="1"/>
    <n v="34030"/>
    <n v="5"/>
    <n v="1701.5"/>
    <n v="5819.13"/>
    <n v="148"/>
    <n v="38147.629999999997"/>
    <n v="38295.629999999997"/>
    <x v="0"/>
    <x v="0"/>
    <s v="Patiala"/>
    <x v="1"/>
    <x v="1"/>
    <n v="5"/>
    <x v="1"/>
    <n v="5"/>
    <x v="0"/>
  </r>
  <r>
    <s v="ORD00695"/>
    <x v="76"/>
    <s v="CUST451"/>
    <s v="Rahul"/>
    <x v="0"/>
    <x v="14"/>
    <x v="1"/>
    <x v="0"/>
    <x v="1"/>
    <x v="7"/>
    <n v="2"/>
    <n v="27846"/>
    <n v="20"/>
    <n v="11138.4"/>
    <n v="8019.65"/>
    <n v="421"/>
    <n v="52573.25"/>
    <n v="52994.25"/>
    <x v="3"/>
    <x v="1"/>
    <s v="Delhi"/>
    <x v="5"/>
    <x v="1"/>
    <n v="4"/>
    <x v="1"/>
    <n v="5"/>
    <x v="3"/>
  </r>
  <r>
    <s v="ORD00696"/>
    <x v="143"/>
    <s v="CUST876"/>
    <s v="Vikas"/>
    <x v="1"/>
    <x v="7"/>
    <x v="8"/>
    <x v="0"/>
    <x v="8"/>
    <x v="4"/>
    <n v="1"/>
    <n v="38289"/>
    <n v="15"/>
    <n v="5743.35"/>
    <n v="5858.22"/>
    <n v="315"/>
    <n v="38403.870000000003"/>
    <n v="38718.870000000003"/>
    <x v="0"/>
    <x v="1"/>
    <s v="Bangalore"/>
    <x v="3"/>
    <x v="2"/>
    <n v="3"/>
    <x v="1"/>
    <n v="2"/>
    <x v="2"/>
  </r>
  <r>
    <s v="ORD00697"/>
    <x v="135"/>
    <s v="CUST104"/>
    <s v="Sneha"/>
    <x v="0"/>
    <x v="40"/>
    <x v="1"/>
    <x v="0"/>
    <x v="1"/>
    <x v="4"/>
    <n v="3"/>
    <n v="40712"/>
    <n v="0"/>
    <n v="0"/>
    <n v="21984.48"/>
    <n v="238"/>
    <n v="144120.48000000001"/>
    <n v="144358.48000000001"/>
    <x v="0"/>
    <x v="1"/>
    <s v="Lucknow"/>
    <x v="4"/>
    <x v="1"/>
    <n v="5"/>
    <x v="0"/>
    <n v="5"/>
    <x v="2"/>
  </r>
  <r>
    <s v="ORD00698"/>
    <x v="310"/>
    <s v="CUST663"/>
    <s v="Amit"/>
    <x v="0"/>
    <x v="37"/>
    <x v="1"/>
    <x v="0"/>
    <x v="1"/>
    <x v="7"/>
    <n v="1"/>
    <n v="38286"/>
    <n v="5"/>
    <n v="1914.3"/>
    <n v="6546.91"/>
    <n v="264"/>
    <n v="42918.61"/>
    <n v="43182.61"/>
    <x v="2"/>
    <x v="1"/>
    <s v="Mumbai"/>
    <x v="0"/>
    <x v="0"/>
    <n v="4"/>
    <x v="1"/>
    <n v="4"/>
    <x v="3"/>
  </r>
  <r>
    <s v="ORD00699"/>
    <x v="157"/>
    <s v="CUST149"/>
    <s v="Arjun"/>
    <x v="1"/>
    <x v="42"/>
    <x v="3"/>
    <x v="2"/>
    <x v="3"/>
    <x v="8"/>
    <n v="3"/>
    <n v="38505"/>
    <n v="10"/>
    <n v="11551.5"/>
    <n v="18713.43"/>
    <n v="469"/>
    <n v="122676.93"/>
    <n v="123145.93"/>
    <x v="3"/>
    <x v="0"/>
    <s v="Lucknow"/>
    <x v="4"/>
    <x v="1"/>
    <n v="7"/>
    <x v="0"/>
    <n v="1"/>
    <x v="0"/>
  </r>
  <r>
    <s v="ORD00700"/>
    <x v="202"/>
    <s v="CUST208"/>
    <s v="Arjun"/>
    <x v="0"/>
    <x v="39"/>
    <x v="9"/>
    <x v="0"/>
    <x v="9"/>
    <x v="4"/>
    <n v="1"/>
    <n v="37853"/>
    <n v="20"/>
    <n v="7570.6"/>
    <n v="5450.83"/>
    <n v="363"/>
    <n v="35733.230000000003"/>
    <n v="36096.230000000003"/>
    <x v="2"/>
    <x v="0"/>
    <s v="Bangalore"/>
    <x v="3"/>
    <x v="2"/>
    <n v="3"/>
    <x v="0"/>
    <n v="1"/>
    <x v="2"/>
  </r>
  <r>
    <s v="ORD00701"/>
    <x v="212"/>
    <s v="CUST724"/>
    <s v="Riya"/>
    <x v="0"/>
    <x v="40"/>
    <x v="9"/>
    <x v="0"/>
    <x v="9"/>
    <x v="1"/>
    <n v="1"/>
    <n v="23378"/>
    <n v="5"/>
    <n v="1168.9000000000001"/>
    <n v="3997.64"/>
    <n v="1"/>
    <n v="26206.74"/>
    <n v="26207.74"/>
    <x v="0"/>
    <x v="0"/>
    <s v="Pune"/>
    <x v="0"/>
    <x v="0"/>
    <n v="5"/>
    <x v="0"/>
    <n v="3"/>
    <x v="3"/>
  </r>
  <r>
    <s v="ORD00702"/>
    <x v="114"/>
    <s v="CUST758"/>
    <s v="Rahul"/>
    <x v="1"/>
    <x v="19"/>
    <x v="7"/>
    <x v="1"/>
    <x v="7"/>
    <x v="1"/>
    <n v="2"/>
    <n v="34921"/>
    <n v="5"/>
    <n v="3492.1"/>
    <n v="11942.98"/>
    <n v="248"/>
    <n v="78292.88"/>
    <n v="78540.88"/>
    <x v="0"/>
    <x v="1"/>
    <s v="Lucknow"/>
    <x v="4"/>
    <x v="1"/>
    <n v="1"/>
    <x v="0"/>
    <n v="2"/>
    <x v="0"/>
  </r>
  <r>
    <s v="ORD00703"/>
    <x v="177"/>
    <s v="CUST573"/>
    <s v="Priya"/>
    <x v="1"/>
    <x v="38"/>
    <x v="5"/>
    <x v="0"/>
    <x v="5"/>
    <x v="2"/>
    <n v="4"/>
    <n v="17871"/>
    <n v="5"/>
    <n v="3574.2"/>
    <n v="12223.76"/>
    <n v="178"/>
    <n v="80133.56"/>
    <n v="80311.56"/>
    <x v="2"/>
    <x v="1"/>
    <s v="Patiala"/>
    <x v="1"/>
    <x v="1"/>
    <n v="8"/>
    <x v="0"/>
    <n v="5"/>
    <x v="1"/>
  </r>
  <r>
    <s v="ORD00704"/>
    <x v="168"/>
    <s v="CUST950"/>
    <s v="Amit"/>
    <x v="0"/>
    <x v="40"/>
    <x v="6"/>
    <x v="0"/>
    <x v="6"/>
    <x v="1"/>
    <n v="4"/>
    <n v="45708"/>
    <n v="20"/>
    <n v="36566.400000000001"/>
    <n v="26327.81"/>
    <n v="230"/>
    <n v="172593.41"/>
    <n v="172823.41"/>
    <x v="0"/>
    <x v="0"/>
    <s v="Delhi"/>
    <x v="5"/>
    <x v="1"/>
    <n v="10"/>
    <x v="1"/>
    <n v="4"/>
    <x v="1"/>
  </r>
  <r>
    <s v="ORD00705"/>
    <x v="79"/>
    <s v="CUST915"/>
    <s v="Priya"/>
    <x v="0"/>
    <x v="1"/>
    <x v="2"/>
    <x v="1"/>
    <x v="2"/>
    <x v="5"/>
    <n v="4"/>
    <n v="30414"/>
    <n v="5"/>
    <n v="6082.8"/>
    <n v="20803.18"/>
    <n v="367"/>
    <n v="136376.38"/>
    <n v="136743.38"/>
    <x v="0"/>
    <x v="1"/>
    <s v="Jaipur"/>
    <x v="2"/>
    <x v="1"/>
    <n v="8"/>
    <x v="0"/>
    <n v="4"/>
    <x v="3"/>
  </r>
  <r>
    <s v="ORD00706"/>
    <x v="204"/>
    <s v="CUST482"/>
    <s v="Amit"/>
    <x v="1"/>
    <x v="6"/>
    <x v="5"/>
    <x v="0"/>
    <x v="5"/>
    <x v="0"/>
    <n v="3"/>
    <n v="20894"/>
    <n v="15"/>
    <n v="9402.2999999999993"/>
    <n v="9590.35"/>
    <n v="68"/>
    <n v="62870.05"/>
    <n v="62938.05"/>
    <x v="2"/>
    <x v="1"/>
    <s v="Mumbai"/>
    <x v="0"/>
    <x v="0"/>
    <n v="1"/>
    <x v="1"/>
    <n v="5"/>
    <x v="2"/>
  </r>
  <r>
    <s v="ORD00707"/>
    <x v="15"/>
    <s v="CUST346"/>
    <s v="Vikas"/>
    <x v="0"/>
    <x v="0"/>
    <x v="7"/>
    <x v="1"/>
    <x v="7"/>
    <x v="8"/>
    <n v="1"/>
    <n v="9009"/>
    <n v="15"/>
    <n v="1351.35"/>
    <n v="1378.38"/>
    <n v="466"/>
    <n v="9036.0300000000007"/>
    <n v="9502.0300000000007"/>
    <x v="2"/>
    <x v="1"/>
    <s v="Jaipur"/>
    <x v="2"/>
    <x v="1"/>
    <n v="7"/>
    <x v="1"/>
    <n v="3"/>
    <x v="0"/>
  </r>
  <r>
    <s v="ORD00708"/>
    <x v="179"/>
    <s v="CUST301"/>
    <s v="Neha"/>
    <x v="0"/>
    <x v="15"/>
    <x v="0"/>
    <x v="0"/>
    <x v="0"/>
    <x v="4"/>
    <n v="4"/>
    <n v="40980"/>
    <n v="20"/>
    <n v="32784"/>
    <n v="23604.48"/>
    <n v="302"/>
    <n v="154740.48000000001"/>
    <n v="155042.48000000001"/>
    <x v="2"/>
    <x v="1"/>
    <s v="Lucknow"/>
    <x v="4"/>
    <x v="1"/>
    <n v="10"/>
    <x v="1"/>
    <n v="3"/>
    <x v="0"/>
  </r>
  <r>
    <s v="ORD00709"/>
    <x v="311"/>
    <s v="CUST682"/>
    <s v="Karan"/>
    <x v="1"/>
    <x v="27"/>
    <x v="9"/>
    <x v="0"/>
    <x v="9"/>
    <x v="7"/>
    <n v="4"/>
    <n v="17805"/>
    <n v="5"/>
    <n v="3561"/>
    <n v="12178.62"/>
    <n v="278"/>
    <n v="79837.62"/>
    <n v="80115.62"/>
    <x v="0"/>
    <x v="1"/>
    <s v="Chandigarh"/>
    <x v="1"/>
    <x v="1"/>
    <n v="2"/>
    <x v="1"/>
    <n v="4"/>
    <x v="2"/>
  </r>
  <r>
    <s v="ORD00710"/>
    <x v="221"/>
    <s v="CUST202"/>
    <s v="Arjun"/>
    <x v="0"/>
    <x v="17"/>
    <x v="8"/>
    <x v="0"/>
    <x v="8"/>
    <x v="8"/>
    <n v="3"/>
    <n v="27997"/>
    <n v="10"/>
    <n v="8399.1"/>
    <n v="13606.54"/>
    <n v="430"/>
    <n v="89198.44"/>
    <n v="89628.44"/>
    <x v="1"/>
    <x v="0"/>
    <s v="Bangalore"/>
    <x v="3"/>
    <x v="2"/>
    <n v="7"/>
    <x v="1"/>
    <n v="1"/>
    <x v="0"/>
  </r>
  <r>
    <s v="ORD00711"/>
    <x v="0"/>
    <s v="CUST256"/>
    <s v="Vikas"/>
    <x v="0"/>
    <x v="9"/>
    <x v="0"/>
    <x v="0"/>
    <x v="0"/>
    <x v="7"/>
    <n v="3"/>
    <n v="16676"/>
    <n v="5"/>
    <n v="2501.4"/>
    <n v="8554.7900000000009"/>
    <n v="328"/>
    <n v="56081.39"/>
    <n v="56409.39"/>
    <x v="2"/>
    <x v="1"/>
    <s v="Pune"/>
    <x v="0"/>
    <x v="0"/>
    <n v="1"/>
    <x v="0"/>
    <n v="1"/>
    <x v="0"/>
  </r>
  <r>
    <s v="ORD00712"/>
    <x v="312"/>
    <s v="CUST690"/>
    <s v="Amit"/>
    <x v="1"/>
    <x v="28"/>
    <x v="4"/>
    <x v="0"/>
    <x v="4"/>
    <x v="0"/>
    <n v="1"/>
    <n v="29242"/>
    <n v="20"/>
    <n v="5848.4"/>
    <n v="4210.8500000000004"/>
    <n v="375"/>
    <n v="27604.45"/>
    <n v="27979.45"/>
    <x v="2"/>
    <x v="1"/>
    <s v="Bangalore"/>
    <x v="3"/>
    <x v="2"/>
    <n v="3"/>
    <x v="0"/>
    <n v="4"/>
    <x v="2"/>
  </r>
  <r>
    <s v="ORD00713"/>
    <x v="306"/>
    <s v="CUST382"/>
    <s v="Arjun"/>
    <x v="0"/>
    <x v="39"/>
    <x v="6"/>
    <x v="0"/>
    <x v="6"/>
    <x v="0"/>
    <n v="4"/>
    <n v="11472"/>
    <n v="5"/>
    <n v="2294.4"/>
    <n v="7846.85"/>
    <n v="166"/>
    <n v="51440.45"/>
    <n v="51606.45"/>
    <x v="0"/>
    <x v="1"/>
    <s v="Pune"/>
    <x v="0"/>
    <x v="0"/>
    <n v="7"/>
    <x v="1"/>
    <n v="2"/>
    <x v="2"/>
  </r>
  <r>
    <s v="ORD00714"/>
    <x v="313"/>
    <s v="CUST834"/>
    <s v="Arjun"/>
    <x v="0"/>
    <x v="22"/>
    <x v="5"/>
    <x v="0"/>
    <x v="5"/>
    <x v="1"/>
    <n v="1"/>
    <n v="47287"/>
    <n v="0"/>
    <n v="0"/>
    <n v="8511.66"/>
    <n v="494"/>
    <n v="55798.66"/>
    <n v="56292.66"/>
    <x v="1"/>
    <x v="1"/>
    <s v="Jaipur"/>
    <x v="2"/>
    <x v="1"/>
    <n v="6"/>
    <x v="0"/>
    <n v="1"/>
    <x v="2"/>
  </r>
  <r>
    <s v="ORD00715"/>
    <x v="297"/>
    <s v="CUST908"/>
    <s v="Sneha"/>
    <x v="0"/>
    <x v="16"/>
    <x v="3"/>
    <x v="2"/>
    <x v="3"/>
    <x v="2"/>
    <n v="1"/>
    <n v="27319"/>
    <n v="20"/>
    <n v="5463.8"/>
    <n v="3933.94"/>
    <n v="240"/>
    <n v="25789.14"/>
    <n v="26029.14"/>
    <x v="2"/>
    <x v="1"/>
    <s v="Jaipur"/>
    <x v="2"/>
    <x v="1"/>
    <n v="3"/>
    <x v="0"/>
    <n v="2"/>
    <x v="2"/>
  </r>
  <r>
    <s v="ORD00716"/>
    <x v="88"/>
    <s v="CUST170"/>
    <s v="Priya"/>
    <x v="1"/>
    <x v="37"/>
    <x v="8"/>
    <x v="0"/>
    <x v="8"/>
    <x v="8"/>
    <n v="2"/>
    <n v="23777"/>
    <n v="5"/>
    <n v="2377.6999999999998"/>
    <n v="8131.73"/>
    <n v="196"/>
    <n v="53308.03"/>
    <n v="53504.03"/>
    <x v="3"/>
    <x v="0"/>
    <s v="Bangalore"/>
    <x v="3"/>
    <x v="2"/>
    <n v="10"/>
    <x v="1"/>
    <n v="2"/>
    <x v="1"/>
  </r>
  <r>
    <s v="ORD00717"/>
    <x v="127"/>
    <s v="CUST898"/>
    <s v="Amit"/>
    <x v="1"/>
    <x v="34"/>
    <x v="3"/>
    <x v="2"/>
    <x v="3"/>
    <x v="0"/>
    <n v="2"/>
    <n v="47273"/>
    <n v="15"/>
    <n v="14181.9"/>
    <n v="14465.54"/>
    <n v="460"/>
    <n v="94829.64"/>
    <n v="95289.64"/>
    <x v="1"/>
    <x v="0"/>
    <s v="Jaipur"/>
    <x v="2"/>
    <x v="1"/>
    <n v="2"/>
    <x v="1"/>
    <n v="5"/>
    <x v="3"/>
  </r>
  <r>
    <s v="ORD00718"/>
    <x v="90"/>
    <s v="CUST442"/>
    <s v="Arjun"/>
    <x v="0"/>
    <x v="14"/>
    <x v="9"/>
    <x v="0"/>
    <x v="9"/>
    <x v="3"/>
    <n v="4"/>
    <n v="5695"/>
    <n v="5"/>
    <n v="1139"/>
    <n v="3895.38"/>
    <n v="183"/>
    <n v="25536.38"/>
    <n v="25719.38"/>
    <x v="1"/>
    <x v="1"/>
    <s v="Patiala"/>
    <x v="1"/>
    <x v="1"/>
    <n v="9"/>
    <x v="0"/>
    <n v="4"/>
    <x v="3"/>
  </r>
  <r>
    <s v="ORD00719"/>
    <x v="54"/>
    <s v="CUST189"/>
    <s v="Rahul"/>
    <x v="0"/>
    <x v="30"/>
    <x v="0"/>
    <x v="0"/>
    <x v="0"/>
    <x v="2"/>
    <n v="4"/>
    <n v="25749"/>
    <n v="0"/>
    <n v="0"/>
    <n v="18539.28"/>
    <n v="488"/>
    <n v="121535.28"/>
    <n v="122023.28"/>
    <x v="1"/>
    <x v="1"/>
    <s v="Pune"/>
    <x v="0"/>
    <x v="0"/>
    <n v="6"/>
    <x v="1"/>
    <n v="1"/>
    <x v="1"/>
  </r>
  <r>
    <s v="ORD00720"/>
    <x v="14"/>
    <s v="CUST759"/>
    <s v="Sneha"/>
    <x v="1"/>
    <x v="19"/>
    <x v="3"/>
    <x v="2"/>
    <x v="3"/>
    <x v="1"/>
    <n v="3"/>
    <n v="20383"/>
    <n v="20"/>
    <n v="12229.8"/>
    <n v="8805.4599999999991"/>
    <n v="320"/>
    <n v="57724.66"/>
    <n v="58044.66"/>
    <x v="3"/>
    <x v="1"/>
    <s v="Mumbai"/>
    <x v="0"/>
    <x v="0"/>
    <n v="1"/>
    <x v="1"/>
    <n v="2"/>
    <x v="0"/>
  </r>
  <r>
    <s v="ORD00721"/>
    <x v="75"/>
    <s v="CUST565"/>
    <s v="Arjun"/>
    <x v="1"/>
    <x v="36"/>
    <x v="1"/>
    <x v="0"/>
    <x v="1"/>
    <x v="0"/>
    <n v="4"/>
    <n v="44550"/>
    <n v="10"/>
    <n v="17820"/>
    <n v="28868.400000000001"/>
    <n v="449"/>
    <n v="189248.4"/>
    <n v="189697.4"/>
    <x v="0"/>
    <x v="1"/>
    <s v="Mumbai"/>
    <x v="0"/>
    <x v="0"/>
    <n v="7"/>
    <x v="0"/>
    <n v="3"/>
    <x v="1"/>
  </r>
  <r>
    <s v="ORD00722"/>
    <x v="255"/>
    <s v="CUST711"/>
    <s v="Priya"/>
    <x v="1"/>
    <x v="0"/>
    <x v="9"/>
    <x v="0"/>
    <x v="9"/>
    <x v="6"/>
    <n v="3"/>
    <n v="17487"/>
    <n v="20"/>
    <n v="10492.2"/>
    <n v="7554.38"/>
    <n v="447"/>
    <n v="49523.18"/>
    <n v="49970.18"/>
    <x v="3"/>
    <x v="0"/>
    <s v="Patiala"/>
    <x v="1"/>
    <x v="1"/>
    <n v="10"/>
    <x v="0"/>
    <n v="5"/>
    <x v="0"/>
  </r>
  <r>
    <s v="ORD00723"/>
    <x v="105"/>
    <s v="CUST513"/>
    <s v="Sneha"/>
    <x v="0"/>
    <x v="31"/>
    <x v="1"/>
    <x v="0"/>
    <x v="1"/>
    <x v="4"/>
    <n v="3"/>
    <n v="32893"/>
    <n v="5"/>
    <n v="4933.95"/>
    <n v="16874.11"/>
    <n v="386"/>
    <n v="110619.16"/>
    <n v="111005.16"/>
    <x v="2"/>
    <x v="1"/>
    <s v="Mumbai"/>
    <x v="0"/>
    <x v="0"/>
    <n v="7"/>
    <x v="0"/>
    <n v="4"/>
    <x v="1"/>
  </r>
  <r>
    <s v="ORD00724"/>
    <x v="102"/>
    <s v="CUST682"/>
    <s v="Amit"/>
    <x v="1"/>
    <x v="30"/>
    <x v="7"/>
    <x v="1"/>
    <x v="7"/>
    <x v="6"/>
    <n v="2"/>
    <n v="48999"/>
    <n v="10"/>
    <n v="9799.7999999999993"/>
    <n v="15875.68"/>
    <n v="136"/>
    <n v="104073.88"/>
    <n v="104209.88"/>
    <x v="2"/>
    <x v="1"/>
    <s v="Mumbai"/>
    <x v="0"/>
    <x v="0"/>
    <n v="7"/>
    <x v="0"/>
    <n v="1"/>
    <x v="0"/>
  </r>
  <r>
    <s v="ORD00725"/>
    <x v="314"/>
    <s v="CUST628"/>
    <s v="Amit"/>
    <x v="1"/>
    <x v="16"/>
    <x v="9"/>
    <x v="0"/>
    <x v="9"/>
    <x v="9"/>
    <n v="5"/>
    <n v="21651"/>
    <n v="15"/>
    <n v="16238.25"/>
    <n v="16563.009999999998"/>
    <n v="226"/>
    <n v="108579.76"/>
    <n v="108805.75999999999"/>
    <x v="2"/>
    <x v="0"/>
    <s v="Patiala"/>
    <x v="1"/>
    <x v="1"/>
    <n v="2"/>
    <x v="0"/>
    <n v="3"/>
    <x v="0"/>
  </r>
  <r>
    <s v="ORD00726"/>
    <x v="107"/>
    <s v="CUST112"/>
    <s v="Anjali"/>
    <x v="1"/>
    <x v="42"/>
    <x v="8"/>
    <x v="0"/>
    <x v="8"/>
    <x v="4"/>
    <n v="3"/>
    <n v="33508"/>
    <n v="10"/>
    <n v="10052.4"/>
    <n v="16284.89"/>
    <n v="103"/>
    <n v="106756.49"/>
    <n v="106859.49"/>
    <x v="0"/>
    <x v="1"/>
    <s v="Pune"/>
    <x v="0"/>
    <x v="0"/>
    <n v="5"/>
    <x v="1"/>
    <n v="1"/>
    <x v="1"/>
  </r>
  <r>
    <s v="ORD00727"/>
    <x v="263"/>
    <s v="CUST889"/>
    <s v="Neha"/>
    <x v="0"/>
    <x v="39"/>
    <x v="9"/>
    <x v="0"/>
    <x v="9"/>
    <x v="8"/>
    <n v="2"/>
    <n v="43281"/>
    <n v="5"/>
    <n v="4328.1000000000004"/>
    <n v="14802.1"/>
    <n v="87"/>
    <n v="97036"/>
    <n v="97123"/>
    <x v="1"/>
    <x v="1"/>
    <s v="Mumbai"/>
    <x v="0"/>
    <x v="0"/>
    <n v="7"/>
    <x v="1"/>
    <n v="1"/>
    <x v="1"/>
  </r>
  <r>
    <s v="ORD00728"/>
    <x v="109"/>
    <s v="CUST867"/>
    <s v="Vikas"/>
    <x v="0"/>
    <x v="18"/>
    <x v="0"/>
    <x v="0"/>
    <x v="0"/>
    <x v="6"/>
    <n v="2"/>
    <n v="41547"/>
    <n v="10"/>
    <n v="8309.4"/>
    <n v="13461.23"/>
    <n v="154"/>
    <n v="88245.83"/>
    <n v="88399.83"/>
    <x v="1"/>
    <x v="1"/>
    <s v="Patiala"/>
    <x v="1"/>
    <x v="1"/>
    <n v="4"/>
    <x v="0"/>
    <n v="3"/>
    <x v="2"/>
  </r>
  <r>
    <s v="ORD00729"/>
    <x v="125"/>
    <s v="CUST403"/>
    <s v="Priya"/>
    <x v="0"/>
    <x v="33"/>
    <x v="4"/>
    <x v="0"/>
    <x v="4"/>
    <x v="7"/>
    <n v="3"/>
    <n v="27978"/>
    <n v="5"/>
    <n v="4196.7"/>
    <n v="14352.71"/>
    <n v="109"/>
    <n v="94090.01"/>
    <n v="94199.01"/>
    <x v="2"/>
    <x v="1"/>
    <s v="Mumbai"/>
    <x v="0"/>
    <x v="0"/>
    <n v="7"/>
    <x v="0"/>
    <n v="2"/>
    <x v="1"/>
  </r>
  <r>
    <s v="ORD00730"/>
    <x v="245"/>
    <s v="CUST369"/>
    <s v="Priya"/>
    <x v="1"/>
    <x v="6"/>
    <x v="8"/>
    <x v="0"/>
    <x v="8"/>
    <x v="9"/>
    <n v="1"/>
    <n v="45792"/>
    <n v="20"/>
    <n v="9158.4"/>
    <n v="6594.05"/>
    <n v="224"/>
    <n v="43227.65"/>
    <n v="43451.65"/>
    <x v="0"/>
    <x v="1"/>
    <s v="Lucknow"/>
    <x v="4"/>
    <x v="1"/>
    <n v="6"/>
    <x v="1"/>
    <n v="3"/>
    <x v="2"/>
  </r>
  <r>
    <s v="ORD00731"/>
    <x v="315"/>
    <s v="CUST307"/>
    <s v="Priya"/>
    <x v="0"/>
    <x v="40"/>
    <x v="7"/>
    <x v="1"/>
    <x v="7"/>
    <x v="0"/>
    <n v="3"/>
    <n v="42112"/>
    <n v="10"/>
    <n v="12633.6"/>
    <n v="20466.43"/>
    <n v="357"/>
    <n v="134168.82999999999"/>
    <n v="134525.82999999999"/>
    <x v="2"/>
    <x v="0"/>
    <s v="Lucknow"/>
    <x v="4"/>
    <x v="1"/>
    <n v="8"/>
    <x v="0"/>
    <n v="5"/>
    <x v="3"/>
  </r>
  <r>
    <s v="ORD00732"/>
    <x v="204"/>
    <s v="CUST157"/>
    <s v="Karan"/>
    <x v="1"/>
    <x v="5"/>
    <x v="7"/>
    <x v="1"/>
    <x v="7"/>
    <x v="8"/>
    <n v="1"/>
    <n v="9485"/>
    <n v="15"/>
    <n v="1422.75"/>
    <n v="1451.2"/>
    <n v="167"/>
    <n v="9513.4500000000007"/>
    <n v="9680.4500000000007"/>
    <x v="0"/>
    <x v="0"/>
    <s v="Bangalore"/>
    <x v="3"/>
    <x v="2"/>
    <n v="1"/>
    <x v="0"/>
    <n v="1"/>
    <x v="2"/>
  </r>
  <r>
    <s v="ORD00733"/>
    <x v="84"/>
    <s v="CUST192"/>
    <s v="Rahul"/>
    <x v="1"/>
    <x v="27"/>
    <x v="0"/>
    <x v="0"/>
    <x v="0"/>
    <x v="5"/>
    <n v="3"/>
    <n v="3588"/>
    <n v="15"/>
    <n v="1614.6"/>
    <n v="1646.89"/>
    <n v="206"/>
    <n v="10796.29"/>
    <n v="11002.29"/>
    <x v="2"/>
    <x v="0"/>
    <s v="Delhi"/>
    <x v="5"/>
    <x v="1"/>
    <n v="10"/>
    <x v="0"/>
    <n v="4"/>
    <x v="1"/>
  </r>
  <r>
    <s v="ORD00734"/>
    <x v="212"/>
    <s v="CUST304"/>
    <s v="Priya"/>
    <x v="1"/>
    <x v="17"/>
    <x v="2"/>
    <x v="1"/>
    <x v="2"/>
    <x v="1"/>
    <n v="1"/>
    <n v="44046"/>
    <n v="20"/>
    <n v="8809.2000000000007"/>
    <n v="6342.62"/>
    <n v="311"/>
    <n v="41579.42"/>
    <n v="41890.42"/>
    <x v="2"/>
    <x v="0"/>
    <s v="Delhi"/>
    <x v="5"/>
    <x v="1"/>
    <n v="5"/>
    <x v="1"/>
    <n v="4"/>
    <x v="3"/>
  </r>
  <r>
    <s v="ORD00735"/>
    <x v="12"/>
    <s v="CUST693"/>
    <s v="Karan"/>
    <x v="1"/>
    <x v="10"/>
    <x v="2"/>
    <x v="1"/>
    <x v="2"/>
    <x v="8"/>
    <n v="5"/>
    <n v="6165"/>
    <n v="20"/>
    <n v="6165"/>
    <n v="4438.8"/>
    <n v="424"/>
    <n v="29098.799999999999"/>
    <n v="29522.799999999999"/>
    <x v="3"/>
    <x v="0"/>
    <s v="Delhi"/>
    <x v="5"/>
    <x v="1"/>
    <n v="8"/>
    <x v="0"/>
    <n v="5"/>
    <x v="2"/>
  </r>
  <r>
    <s v="ORD00736"/>
    <x v="118"/>
    <s v="CUST614"/>
    <s v="Amit"/>
    <x v="0"/>
    <x v="22"/>
    <x v="5"/>
    <x v="0"/>
    <x v="5"/>
    <x v="2"/>
    <n v="4"/>
    <n v="2086"/>
    <n v="20"/>
    <n v="1668.8"/>
    <n v="1201.54"/>
    <n v="360"/>
    <n v="7876.74"/>
    <n v="8236.74"/>
    <x v="1"/>
    <x v="1"/>
    <s v="Delhi"/>
    <x v="5"/>
    <x v="1"/>
    <n v="2"/>
    <x v="1"/>
    <n v="4"/>
    <x v="3"/>
  </r>
  <r>
    <s v="ORD00737"/>
    <x v="309"/>
    <s v="CUST932"/>
    <s v="Riya"/>
    <x v="1"/>
    <x v="25"/>
    <x v="2"/>
    <x v="1"/>
    <x v="2"/>
    <x v="6"/>
    <n v="1"/>
    <n v="1296"/>
    <n v="15"/>
    <n v="194.4"/>
    <n v="198.29"/>
    <n v="410"/>
    <n v="1299.8900000000001"/>
    <n v="1709.89"/>
    <x v="2"/>
    <x v="0"/>
    <s v="Bangalore"/>
    <x v="3"/>
    <x v="2"/>
    <n v="5"/>
    <x v="0"/>
    <n v="3"/>
    <x v="2"/>
  </r>
  <r>
    <s v="ORD00738"/>
    <x v="316"/>
    <s v="CUST986"/>
    <s v="Anjali"/>
    <x v="0"/>
    <x v="33"/>
    <x v="0"/>
    <x v="0"/>
    <x v="0"/>
    <x v="1"/>
    <n v="1"/>
    <n v="43602"/>
    <n v="15"/>
    <n v="6540.3"/>
    <n v="6671.11"/>
    <n v="396"/>
    <n v="43732.81"/>
    <n v="44128.81"/>
    <x v="3"/>
    <x v="0"/>
    <s v="Mumbai"/>
    <x v="0"/>
    <x v="0"/>
    <n v="1"/>
    <x v="1"/>
    <n v="5"/>
    <x v="1"/>
  </r>
  <r>
    <s v="ORD00739"/>
    <x v="264"/>
    <s v="CUST426"/>
    <s v="Riya"/>
    <x v="0"/>
    <x v="10"/>
    <x v="3"/>
    <x v="2"/>
    <x v="3"/>
    <x v="4"/>
    <n v="3"/>
    <n v="8837"/>
    <n v="20"/>
    <n v="5302.2"/>
    <n v="3817.58"/>
    <n v="344"/>
    <n v="25026.38"/>
    <n v="25370.38"/>
    <x v="2"/>
    <x v="0"/>
    <s v="Delhi"/>
    <x v="5"/>
    <x v="1"/>
    <n v="8"/>
    <x v="1"/>
    <n v="3"/>
    <x v="1"/>
  </r>
  <r>
    <s v="ORD00740"/>
    <x v="58"/>
    <s v="CUST339"/>
    <s v="Amit"/>
    <x v="0"/>
    <x v="37"/>
    <x v="4"/>
    <x v="0"/>
    <x v="4"/>
    <x v="5"/>
    <n v="5"/>
    <n v="10552"/>
    <n v="0"/>
    <n v="0"/>
    <n v="9496.7999999999993"/>
    <n v="290"/>
    <n v="62256.800000000003"/>
    <n v="62546.8"/>
    <x v="3"/>
    <x v="0"/>
    <s v="Bangalore"/>
    <x v="3"/>
    <x v="2"/>
    <n v="8"/>
    <x v="0"/>
    <n v="3"/>
    <x v="2"/>
  </r>
  <r>
    <s v="ORD00741"/>
    <x v="48"/>
    <s v="CUST625"/>
    <s v="Anjali"/>
    <x v="0"/>
    <x v="7"/>
    <x v="1"/>
    <x v="0"/>
    <x v="1"/>
    <x v="6"/>
    <n v="3"/>
    <n v="31793"/>
    <n v="10"/>
    <n v="9537.9"/>
    <n v="15451.4"/>
    <n v="433"/>
    <n v="101292.5"/>
    <n v="101725.5"/>
    <x v="2"/>
    <x v="0"/>
    <s v="Delhi"/>
    <x v="5"/>
    <x v="1"/>
    <n v="7"/>
    <x v="0"/>
    <n v="2"/>
    <x v="1"/>
  </r>
  <r>
    <s v="ORD00742"/>
    <x v="81"/>
    <s v="CUST950"/>
    <s v="Rahul"/>
    <x v="0"/>
    <x v="35"/>
    <x v="6"/>
    <x v="0"/>
    <x v="6"/>
    <x v="1"/>
    <n v="4"/>
    <n v="49840"/>
    <n v="10"/>
    <n v="19936"/>
    <n v="32296.32"/>
    <n v="58"/>
    <n v="211720.32000000001"/>
    <n v="211778.32"/>
    <x v="1"/>
    <x v="1"/>
    <s v="Delhi"/>
    <x v="5"/>
    <x v="1"/>
    <n v="6"/>
    <x v="1"/>
    <n v="2"/>
    <x v="0"/>
  </r>
  <r>
    <s v="ORD00743"/>
    <x v="147"/>
    <s v="CUST930"/>
    <s v="Priya"/>
    <x v="1"/>
    <x v="27"/>
    <x v="7"/>
    <x v="1"/>
    <x v="7"/>
    <x v="4"/>
    <n v="4"/>
    <n v="5564"/>
    <n v="20"/>
    <n v="4451.2"/>
    <n v="3204.86"/>
    <n v="166"/>
    <n v="21009.66"/>
    <n v="21175.66"/>
    <x v="2"/>
    <x v="0"/>
    <s v="Lucknow"/>
    <x v="4"/>
    <x v="1"/>
    <n v="10"/>
    <x v="1"/>
    <n v="4"/>
    <x v="2"/>
  </r>
  <r>
    <s v="ORD00744"/>
    <x v="240"/>
    <s v="CUST615"/>
    <s v="Neha"/>
    <x v="0"/>
    <x v="0"/>
    <x v="6"/>
    <x v="0"/>
    <x v="6"/>
    <x v="4"/>
    <n v="2"/>
    <n v="8094"/>
    <n v="5"/>
    <n v="809.4"/>
    <n v="2768.15"/>
    <n v="400"/>
    <n v="18146.75"/>
    <n v="18546.75"/>
    <x v="0"/>
    <x v="0"/>
    <s v="Jaipur"/>
    <x v="2"/>
    <x v="1"/>
    <n v="9"/>
    <x v="1"/>
    <n v="5"/>
    <x v="1"/>
  </r>
  <r>
    <s v="ORD00745"/>
    <x v="107"/>
    <s v="CUST327"/>
    <s v="Anjali"/>
    <x v="1"/>
    <x v="39"/>
    <x v="9"/>
    <x v="0"/>
    <x v="9"/>
    <x v="3"/>
    <n v="1"/>
    <n v="32513"/>
    <n v="5"/>
    <n v="1625.65"/>
    <n v="5559.72"/>
    <n v="141"/>
    <n v="36447.07"/>
    <n v="36588.07"/>
    <x v="0"/>
    <x v="1"/>
    <s v="Mumbai"/>
    <x v="0"/>
    <x v="0"/>
    <n v="8"/>
    <x v="0"/>
    <n v="5"/>
    <x v="2"/>
  </r>
  <r>
    <s v="ORD00746"/>
    <x v="317"/>
    <s v="CUST679"/>
    <s v="Neha"/>
    <x v="1"/>
    <x v="18"/>
    <x v="4"/>
    <x v="0"/>
    <x v="4"/>
    <x v="1"/>
    <n v="3"/>
    <n v="21815"/>
    <n v="0"/>
    <n v="0"/>
    <n v="11780.1"/>
    <n v="171"/>
    <n v="77225.100000000006"/>
    <n v="77396.100000000006"/>
    <x v="2"/>
    <x v="0"/>
    <s v="Lucknow"/>
    <x v="4"/>
    <x v="1"/>
    <n v="1"/>
    <x v="0"/>
    <n v="4"/>
    <x v="0"/>
  </r>
  <r>
    <s v="ORD00747"/>
    <x v="318"/>
    <s v="CUST265"/>
    <s v="Arjun"/>
    <x v="0"/>
    <x v="4"/>
    <x v="9"/>
    <x v="0"/>
    <x v="9"/>
    <x v="3"/>
    <n v="5"/>
    <n v="35936"/>
    <n v="0"/>
    <n v="0"/>
    <n v="32342.400000000001"/>
    <n v="301"/>
    <n v="212022.39999999999"/>
    <n v="212323.4"/>
    <x v="0"/>
    <x v="0"/>
    <s v="Pune"/>
    <x v="0"/>
    <x v="0"/>
    <n v="2"/>
    <x v="1"/>
    <n v="3"/>
    <x v="1"/>
  </r>
  <r>
    <s v="ORD00748"/>
    <x v="223"/>
    <s v="CUST889"/>
    <s v="Vikas"/>
    <x v="0"/>
    <x v="35"/>
    <x v="7"/>
    <x v="1"/>
    <x v="7"/>
    <x v="6"/>
    <n v="2"/>
    <n v="44948"/>
    <n v="20"/>
    <n v="17979.2"/>
    <n v="12945.02"/>
    <n v="53"/>
    <n v="84861.82"/>
    <n v="84914.82"/>
    <x v="0"/>
    <x v="1"/>
    <s v="Jaipur"/>
    <x v="2"/>
    <x v="1"/>
    <n v="5"/>
    <x v="0"/>
    <n v="1"/>
    <x v="1"/>
  </r>
  <r>
    <s v="ORD00749"/>
    <x v="254"/>
    <s v="CUST323"/>
    <s v="Neha"/>
    <x v="0"/>
    <x v="41"/>
    <x v="6"/>
    <x v="0"/>
    <x v="6"/>
    <x v="4"/>
    <n v="1"/>
    <n v="34893"/>
    <n v="20"/>
    <n v="6978.6"/>
    <n v="5024.59"/>
    <n v="137"/>
    <n v="32938.99"/>
    <n v="33075.99"/>
    <x v="2"/>
    <x v="0"/>
    <s v="Mumbai"/>
    <x v="0"/>
    <x v="0"/>
    <n v="2"/>
    <x v="0"/>
    <n v="2"/>
    <x v="1"/>
  </r>
  <r>
    <s v="ORD00750"/>
    <x v="200"/>
    <s v="CUST630"/>
    <s v="Anjali"/>
    <x v="1"/>
    <x v="16"/>
    <x v="7"/>
    <x v="1"/>
    <x v="7"/>
    <x v="8"/>
    <n v="5"/>
    <n v="37161"/>
    <n v="15"/>
    <n v="27870.75"/>
    <n v="28428.16"/>
    <n v="83"/>
    <n v="186362.42"/>
    <n v="186445.42"/>
    <x v="2"/>
    <x v="0"/>
    <s v="Delhi"/>
    <x v="5"/>
    <x v="1"/>
    <n v="8"/>
    <x v="0"/>
    <n v="5"/>
    <x v="2"/>
  </r>
  <r>
    <s v="ORD00751"/>
    <x v="170"/>
    <s v="CUST875"/>
    <s v="Priya"/>
    <x v="0"/>
    <x v="20"/>
    <x v="2"/>
    <x v="1"/>
    <x v="2"/>
    <x v="3"/>
    <n v="3"/>
    <n v="30146"/>
    <n v="10"/>
    <n v="9043.7999999999993"/>
    <n v="14650.96"/>
    <n v="175"/>
    <n v="96045.16"/>
    <n v="96220.160000000003"/>
    <x v="3"/>
    <x v="1"/>
    <s v="Chandigarh"/>
    <x v="1"/>
    <x v="1"/>
    <n v="1"/>
    <x v="0"/>
    <n v="4"/>
    <x v="2"/>
  </r>
  <r>
    <s v="ORD00752"/>
    <x v="195"/>
    <s v="CUST735"/>
    <s v="Vikas"/>
    <x v="0"/>
    <x v="14"/>
    <x v="0"/>
    <x v="0"/>
    <x v="0"/>
    <x v="7"/>
    <n v="5"/>
    <n v="22055"/>
    <n v="0"/>
    <n v="0"/>
    <n v="19849.5"/>
    <n v="490"/>
    <n v="130124.5"/>
    <n v="130614.5"/>
    <x v="2"/>
    <x v="0"/>
    <s v="Mumbai"/>
    <x v="0"/>
    <x v="0"/>
    <n v="1"/>
    <x v="0"/>
    <n v="3"/>
    <x v="3"/>
  </r>
  <r>
    <s v="ORD00753"/>
    <x v="6"/>
    <s v="CUST840"/>
    <s v="Rahul"/>
    <x v="1"/>
    <x v="13"/>
    <x v="7"/>
    <x v="1"/>
    <x v="7"/>
    <x v="4"/>
    <n v="1"/>
    <n v="43437"/>
    <n v="5"/>
    <n v="2171.85"/>
    <n v="7427.73"/>
    <n v="286"/>
    <n v="48692.88"/>
    <n v="48978.879999999997"/>
    <x v="2"/>
    <x v="0"/>
    <s v="Chandigarh"/>
    <x v="1"/>
    <x v="1"/>
    <n v="9"/>
    <x v="0"/>
    <n v="3"/>
    <x v="2"/>
  </r>
  <r>
    <s v="ORD00754"/>
    <x v="121"/>
    <s v="CUST631"/>
    <s v="Amit"/>
    <x v="0"/>
    <x v="3"/>
    <x v="2"/>
    <x v="1"/>
    <x v="2"/>
    <x v="9"/>
    <n v="1"/>
    <n v="16469"/>
    <n v="20"/>
    <n v="3293.8"/>
    <n v="2371.54"/>
    <n v="266"/>
    <n v="15546.74"/>
    <n v="15812.74"/>
    <x v="2"/>
    <x v="0"/>
    <s v="Delhi"/>
    <x v="5"/>
    <x v="1"/>
    <n v="7"/>
    <x v="0"/>
    <n v="4"/>
    <x v="1"/>
  </r>
  <r>
    <s v="ORD00755"/>
    <x v="173"/>
    <s v="CUST701"/>
    <s v="Riya"/>
    <x v="0"/>
    <x v="19"/>
    <x v="2"/>
    <x v="1"/>
    <x v="2"/>
    <x v="8"/>
    <n v="1"/>
    <n v="44498"/>
    <n v="10"/>
    <n v="4449.8"/>
    <n v="7208.68"/>
    <n v="101"/>
    <n v="47256.88"/>
    <n v="47357.88"/>
    <x v="1"/>
    <x v="0"/>
    <s v="Jaipur"/>
    <x v="2"/>
    <x v="1"/>
    <n v="7"/>
    <x v="0"/>
    <n v="2"/>
    <x v="1"/>
  </r>
  <r>
    <s v="ORD00756"/>
    <x v="78"/>
    <s v="CUST101"/>
    <s v="Rahul"/>
    <x v="0"/>
    <x v="30"/>
    <x v="8"/>
    <x v="0"/>
    <x v="8"/>
    <x v="5"/>
    <n v="5"/>
    <n v="31205"/>
    <n v="10"/>
    <n v="15602.5"/>
    <n v="25276.05"/>
    <n v="301"/>
    <n v="165698.54999999999"/>
    <n v="165999.54999999999"/>
    <x v="2"/>
    <x v="1"/>
    <s v="Chandigarh"/>
    <x v="1"/>
    <x v="1"/>
    <n v="5"/>
    <x v="0"/>
    <n v="3"/>
    <x v="0"/>
  </r>
  <r>
    <s v="ORD00757"/>
    <x v="206"/>
    <s v="CUST371"/>
    <s v="Priya"/>
    <x v="1"/>
    <x v="39"/>
    <x v="2"/>
    <x v="1"/>
    <x v="2"/>
    <x v="6"/>
    <n v="2"/>
    <n v="48901"/>
    <n v="0"/>
    <n v="0"/>
    <n v="17604.36"/>
    <n v="80"/>
    <n v="115406.36"/>
    <n v="115486.36"/>
    <x v="3"/>
    <x v="1"/>
    <s v="Chandigarh"/>
    <x v="1"/>
    <x v="1"/>
    <n v="8"/>
    <x v="1"/>
    <n v="4"/>
    <x v="2"/>
  </r>
  <r>
    <s v="ORD00758"/>
    <x v="22"/>
    <s v="CUST113"/>
    <s v="Rahul"/>
    <x v="0"/>
    <x v="29"/>
    <x v="1"/>
    <x v="0"/>
    <x v="1"/>
    <x v="7"/>
    <n v="3"/>
    <n v="2214"/>
    <n v="20"/>
    <n v="1328.4"/>
    <n v="956.45"/>
    <n v="182"/>
    <n v="6270.05"/>
    <n v="6452.05"/>
    <x v="3"/>
    <x v="0"/>
    <s v="Mumbai"/>
    <x v="0"/>
    <x v="0"/>
    <n v="4"/>
    <x v="1"/>
    <n v="2"/>
    <x v="3"/>
  </r>
  <r>
    <s v="ORD00759"/>
    <x v="295"/>
    <s v="CUST518"/>
    <s v="Karan"/>
    <x v="1"/>
    <x v="22"/>
    <x v="0"/>
    <x v="0"/>
    <x v="0"/>
    <x v="1"/>
    <n v="5"/>
    <n v="37151"/>
    <n v="5"/>
    <n v="9287.75"/>
    <n v="31764.1"/>
    <n v="164"/>
    <n v="208231.36"/>
    <n v="208395.36"/>
    <x v="0"/>
    <x v="0"/>
    <s v="Jaipur"/>
    <x v="2"/>
    <x v="1"/>
    <n v="4"/>
    <x v="1"/>
    <n v="2"/>
    <x v="3"/>
  </r>
  <r>
    <s v="ORD00760"/>
    <x v="239"/>
    <s v="CUST559"/>
    <s v="Vikas"/>
    <x v="1"/>
    <x v="26"/>
    <x v="4"/>
    <x v="0"/>
    <x v="4"/>
    <x v="4"/>
    <n v="3"/>
    <n v="37260"/>
    <n v="0"/>
    <n v="0"/>
    <n v="20120.400000000001"/>
    <n v="17"/>
    <n v="131900.4"/>
    <n v="131917.4"/>
    <x v="1"/>
    <x v="0"/>
    <s v="Lucknow"/>
    <x v="4"/>
    <x v="1"/>
    <n v="2"/>
    <x v="0"/>
    <n v="3"/>
    <x v="2"/>
  </r>
  <r>
    <s v="ORD00761"/>
    <x v="69"/>
    <s v="CUST831"/>
    <s v="Karan"/>
    <x v="0"/>
    <x v="11"/>
    <x v="9"/>
    <x v="0"/>
    <x v="9"/>
    <x v="5"/>
    <n v="1"/>
    <n v="47891"/>
    <n v="0"/>
    <n v="0"/>
    <n v="8620.3799999999992"/>
    <n v="382"/>
    <n v="56511.38"/>
    <n v="56893.38"/>
    <x v="1"/>
    <x v="1"/>
    <s v="Mumbai"/>
    <x v="0"/>
    <x v="0"/>
    <n v="3"/>
    <x v="0"/>
    <n v="2"/>
    <x v="3"/>
  </r>
  <r>
    <s v="ORD00762"/>
    <x v="173"/>
    <s v="CUST715"/>
    <s v="Amit"/>
    <x v="0"/>
    <x v="14"/>
    <x v="4"/>
    <x v="0"/>
    <x v="4"/>
    <x v="1"/>
    <n v="5"/>
    <n v="16719"/>
    <n v="5"/>
    <n v="4179.75"/>
    <n v="14294.74"/>
    <n v="308"/>
    <n v="93709.99"/>
    <n v="94017.99"/>
    <x v="1"/>
    <x v="0"/>
    <s v="Patiala"/>
    <x v="1"/>
    <x v="1"/>
    <n v="10"/>
    <x v="0"/>
    <n v="2"/>
    <x v="1"/>
  </r>
  <r>
    <s v="ORD00763"/>
    <x v="110"/>
    <s v="CUST836"/>
    <s v="Karan"/>
    <x v="1"/>
    <x v="2"/>
    <x v="2"/>
    <x v="1"/>
    <x v="2"/>
    <x v="5"/>
    <n v="2"/>
    <n v="35205"/>
    <n v="0"/>
    <n v="0"/>
    <n v="12673.8"/>
    <n v="27"/>
    <n v="83083.8"/>
    <n v="83110.8"/>
    <x v="2"/>
    <x v="0"/>
    <s v="Mumbai"/>
    <x v="0"/>
    <x v="0"/>
    <n v="7"/>
    <x v="0"/>
    <n v="1"/>
    <x v="1"/>
  </r>
  <r>
    <s v="ORD00764"/>
    <x v="319"/>
    <s v="CUST299"/>
    <s v="Neha"/>
    <x v="0"/>
    <x v="17"/>
    <x v="1"/>
    <x v="0"/>
    <x v="1"/>
    <x v="8"/>
    <n v="5"/>
    <n v="1924"/>
    <n v="10"/>
    <n v="962"/>
    <n v="1558.44"/>
    <n v="474"/>
    <n v="10216.44"/>
    <n v="10690.44"/>
    <x v="3"/>
    <x v="1"/>
    <s v="Patiala"/>
    <x v="1"/>
    <x v="1"/>
    <n v="1"/>
    <x v="1"/>
    <n v="3"/>
    <x v="1"/>
  </r>
  <r>
    <s v="ORD00765"/>
    <x v="129"/>
    <s v="CUST438"/>
    <s v="Arjun"/>
    <x v="0"/>
    <x v="32"/>
    <x v="5"/>
    <x v="0"/>
    <x v="5"/>
    <x v="5"/>
    <n v="5"/>
    <n v="1111"/>
    <n v="10"/>
    <n v="555.5"/>
    <n v="899.91"/>
    <n v="32"/>
    <n v="5899.41"/>
    <n v="5931.41"/>
    <x v="2"/>
    <x v="0"/>
    <s v="Chandigarh"/>
    <x v="1"/>
    <x v="1"/>
    <n v="2"/>
    <x v="0"/>
    <n v="4"/>
    <x v="1"/>
  </r>
  <r>
    <s v="ORD00766"/>
    <x v="238"/>
    <s v="CUST287"/>
    <s v="Sneha"/>
    <x v="0"/>
    <x v="14"/>
    <x v="8"/>
    <x v="0"/>
    <x v="8"/>
    <x v="0"/>
    <n v="3"/>
    <n v="4451"/>
    <n v="10"/>
    <n v="1335.3"/>
    <n v="2163.19"/>
    <n v="484"/>
    <n v="14180.89"/>
    <n v="14664.89"/>
    <x v="0"/>
    <x v="1"/>
    <s v="Lucknow"/>
    <x v="4"/>
    <x v="1"/>
    <n v="8"/>
    <x v="0"/>
    <n v="1"/>
    <x v="3"/>
  </r>
  <r>
    <s v="ORD00767"/>
    <x v="155"/>
    <s v="CUST579"/>
    <s v="Amit"/>
    <x v="0"/>
    <x v="12"/>
    <x v="5"/>
    <x v="0"/>
    <x v="5"/>
    <x v="8"/>
    <n v="1"/>
    <n v="44909"/>
    <n v="20"/>
    <n v="8981.7999999999993"/>
    <n v="6466.9"/>
    <n v="384"/>
    <n v="42394.1"/>
    <n v="42778.1"/>
    <x v="1"/>
    <x v="0"/>
    <s v="Delhi"/>
    <x v="5"/>
    <x v="1"/>
    <n v="9"/>
    <x v="1"/>
    <n v="1"/>
    <x v="3"/>
  </r>
  <r>
    <s v="ORD00768"/>
    <x v="292"/>
    <s v="CUST989"/>
    <s v="Vikas"/>
    <x v="1"/>
    <x v="2"/>
    <x v="5"/>
    <x v="0"/>
    <x v="5"/>
    <x v="6"/>
    <n v="4"/>
    <n v="43820"/>
    <n v="10"/>
    <n v="17528"/>
    <n v="28395.360000000001"/>
    <n v="157"/>
    <n v="186147.36"/>
    <n v="186304.36"/>
    <x v="1"/>
    <x v="1"/>
    <s v="Bangalore"/>
    <x v="3"/>
    <x v="2"/>
    <n v="10"/>
    <x v="1"/>
    <n v="4"/>
    <x v="3"/>
  </r>
  <r>
    <s v="ORD00769"/>
    <x v="154"/>
    <s v="CUST849"/>
    <s v="Neha"/>
    <x v="0"/>
    <x v="32"/>
    <x v="2"/>
    <x v="1"/>
    <x v="2"/>
    <x v="9"/>
    <n v="3"/>
    <n v="13810"/>
    <n v="10"/>
    <n v="4143"/>
    <n v="6711.66"/>
    <n v="258"/>
    <n v="43998.66"/>
    <n v="44256.66"/>
    <x v="2"/>
    <x v="0"/>
    <s v="Lucknow"/>
    <x v="4"/>
    <x v="1"/>
    <n v="9"/>
    <x v="0"/>
    <n v="1"/>
    <x v="0"/>
  </r>
  <r>
    <s v="ORD00770"/>
    <x v="262"/>
    <s v="CUST972"/>
    <s v="Priya"/>
    <x v="1"/>
    <x v="32"/>
    <x v="1"/>
    <x v="0"/>
    <x v="1"/>
    <x v="0"/>
    <n v="2"/>
    <n v="46551"/>
    <n v="15"/>
    <n v="13965.3"/>
    <n v="14244.61"/>
    <n v="269"/>
    <n v="93381.31"/>
    <n v="93650.31"/>
    <x v="1"/>
    <x v="1"/>
    <s v="Lucknow"/>
    <x v="4"/>
    <x v="1"/>
    <n v="10"/>
    <x v="0"/>
    <n v="3"/>
    <x v="2"/>
  </r>
  <r>
    <s v="ORD00771"/>
    <x v="198"/>
    <s v="CUST280"/>
    <s v="Karan"/>
    <x v="0"/>
    <x v="12"/>
    <x v="0"/>
    <x v="0"/>
    <x v="0"/>
    <x v="2"/>
    <n v="1"/>
    <n v="39927"/>
    <n v="20"/>
    <n v="7985.4"/>
    <n v="5749.49"/>
    <n v="5"/>
    <n v="37691.089999999997"/>
    <n v="37696.089999999997"/>
    <x v="1"/>
    <x v="0"/>
    <s v="Jaipur"/>
    <x v="2"/>
    <x v="1"/>
    <n v="1"/>
    <x v="0"/>
    <n v="5"/>
    <x v="3"/>
  </r>
  <r>
    <s v="ORD00772"/>
    <x v="274"/>
    <s v="CUST492"/>
    <s v="Karan"/>
    <x v="0"/>
    <x v="35"/>
    <x v="7"/>
    <x v="1"/>
    <x v="7"/>
    <x v="1"/>
    <n v="4"/>
    <n v="26531"/>
    <n v="15"/>
    <n v="15918.6"/>
    <n v="16236.97"/>
    <n v="424"/>
    <n v="106442.37"/>
    <n v="106866.37"/>
    <x v="3"/>
    <x v="0"/>
    <s v="Chandigarh"/>
    <x v="1"/>
    <x v="1"/>
    <n v="4"/>
    <x v="0"/>
    <n v="4"/>
    <x v="3"/>
  </r>
  <r>
    <s v="ORD00773"/>
    <x v="33"/>
    <s v="CUST934"/>
    <s v="Neha"/>
    <x v="0"/>
    <x v="28"/>
    <x v="3"/>
    <x v="2"/>
    <x v="3"/>
    <x v="1"/>
    <n v="3"/>
    <n v="17924"/>
    <n v="5"/>
    <n v="2688.6"/>
    <n v="9195.01"/>
    <n v="37"/>
    <n v="60278.41"/>
    <n v="60315.41"/>
    <x v="1"/>
    <x v="1"/>
    <s v="Pune"/>
    <x v="0"/>
    <x v="0"/>
    <n v="8"/>
    <x v="1"/>
    <n v="1"/>
    <x v="2"/>
  </r>
  <r>
    <s v="ORD00774"/>
    <x v="270"/>
    <s v="CUST936"/>
    <s v="Rahul"/>
    <x v="0"/>
    <x v="33"/>
    <x v="8"/>
    <x v="0"/>
    <x v="8"/>
    <x v="2"/>
    <n v="5"/>
    <n v="14793"/>
    <n v="0"/>
    <n v="0"/>
    <n v="13313.7"/>
    <n v="61"/>
    <n v="87278.7"/>
    <n v="87339.7"/>
    <x v="3"/>
    <x v="1"/>
    <s v="Chandigarh"/>
    <x v="1"/>
    <x v="1"/>
    <n v="4"/>
    <x v="0"/>
    <n v="5"/>
    <x v="0"/>
  </r>
  <r>
    <s v="ORD00775"/>
    <x v="320"/>
    <s v="CUST269"/>
    <s v="Riya"/>
    <x v="1"/>
    <x v="33"/>
    <x v="1"/>
    <x v="0"/>
    <x v="1"/>
    <x v="2"/>
    <n v="5"/>
    <n v="47888"/>
    <n v="10"/>
    <n v="23944"/>
    <n v="38789.279999999999"/>
    <n v="381"/>
    <n v="254285.28"/>
    <n v="254666.28"/>
    <x v="2"/>
    <x v="1"/>
    <s v="Pune"/>
    <x v="0"/>
    <x v="0"/>
    <n v="1"/>
    <x v="0"/>
    <n v="3"/>
    <x v="2"/>
  </r>
  <r>
    <s v="ORD00776"/>
    <x v="310"/>
    <s v="CUST354"/>
    <s v="Rahul"/>
    <x v="1"/>
    <x v="5"/>
    <x v="9"/>
    <x v="0"/>
    <x v="9"/>
    <x v="5"/>
    <n v="4"/>
    <n v="9646"/>
    <n v="5"/>
    <n v="1929.2"/>
    <n v="6597.86"/>
    <n v="331"/>
    <n v="43252.66"/>
    <n v="43583.66"/>
    <x v="2"/>
    <x v="1"/>
    <s v="Lucknow"/>
    <x v="4"/>
    <x v="1"/>
    <n v="8"/>
    <x v="1"/>
    <n v="5"/>
    <x v="1"/>
  </r>
  <r>
    <s v="ORD00777"/>
    <x v="230"/>
    <s v="CUST912"/>
    <s v="Priya"/>
    <x v="0"/>
    <x v="41"/>
    <x v="4"/>
    <x v="0"/>
    <x v="4"/>
    <x v="5"/>
    <n v="4"/>
    <n v="4941"/>
    <n v="20"/>
    <n v="3952.8"/>
    <n v="2846.02"/>
    <n v="305"/>
    <n v="18657.22"/>
    <n v="18962.22"/>
    <x v="0"/>
    <x v="1"/>
    <s v="Mumbai"/>
    <x v="0"/>
    <x v="0"/>
    <n v="9"/>
    <x v="0"/>
    <n v="1"/>
    <x v="0"/>
  </r>
  <r>
    <s v="ORD00778"/>
    <x v="146"/>
    <s v="CUST650"/>
    <s v="Rahul"/>
    <x v="0"/>
    <x v="7"/>
    <x v="7"/>
    <x v="1"/>
    <x v="7"/>
    <x v="2"/>
    <n v="3"/>
    <n v="39057"/>
    <n v="10"/>
    <n v="11717.1"/>
    <n v="18981.7"/>
    <n v="493"/>
    <n v="124435.6"/>
    <n v="124928.6"/>
    <x v="2"/>
    <x v="1"/>
    <s v="Bangalore"/>
    <x v="3"/>
    <x v="2"/>
    <n v="1"/>
    <x v="0"/>
    <n v="3"/>
    <x v="2"/>
  </r>
  <r>
    <s v="ORD00779"/>
    <x v="147"/>
    <s v="CUST465"/>
    <s v="Rahul"/>
    <x v="0"/>
    <x v="34"/>
    <x v="0"/>
    <x v="0"/>
    <x v="0"/>
    <x v="7"/>
    <n v="3"/>
    <n v="1818"/>
    <n v="10"/>
    <n v="545.4"/>
    <n v="883.55"/>
    <n v="304"/>
    <n v="5792.15"/>
    <n v="6096.15"/>
    <x v="2"/>
    <x v="1"/>
    <s v="Patiala"/>
    <x v="1"/>
    <x v="1"/>
    <n v="2"/>
    <x v="0"/>
    <n v="4"/>
    <x v="3"/>
  </r>
  <r>
    <s v="ORD00780"/>
    <x v="85"/>
    <s v="CUST357"/>
    <s v="Vikas"/>
    <x v="1"/>
    <x v="3"/>
    <x v="5"/>
    <x v="0"/>
    <x v="5"/>
    <x v="5"/>
    <n v="2"/>
    <n v="18717"/>
    <n v="10"/>
    <n v="3743.4"/>
    <n v="6064.31"/>
    <n v="4"/>
    <n v="39754.910000000003"/>
    <n v="39758.910000000003"/>
    <x v="3"/>
    <x v="0"/>
    <s v="Pune"/>
    <x v="0"/>
    <x v="0"/>
    <n v="3"/>
    <x v="1"/>
    <n v="1"/>
    <x v="3"/>
  </r>
  <r>
    <s v="ORD00781"/>
    <x v="321"/>
    <s v="CUST221"/>
    <s v="Karan"/>
    <x v="1"/>
    <x v="42"/>
    <x v="2"/>
    <x v="1"/>
    <x v="2"/>
    <x v="3"/>
    <n v="4"/>
    <n v="14573"/>
    <n v="0"/>
    <n v="0"/>
    <n v="10492.56"/>
    <n v="385"/>
    <n v="68784.56"/>
    <n v="69169.56"/>
    <x v="2"/>
    <x v="1"/>
    <s v="Lucknow"/>
    <x v="4"/>
    <x v="1"/>
    <n v="10"/>
    <x v="0"/>
    <n v="3"/>
    <x v="3"/>
  </r>
  <r>
    <s v="ORD00782"/>
    <x v="134"/>
    <s v="CUST249"/>
    <s v="Arjun"/>
    <x v="1"/>
    <x v="16"/>
    <x v="8"/>
    <x v="0"/>
    <x v="8"/>
    <x v="5"/>
    <n v="4"/>
    <n v="11813"/>
    <n v="10"/>
    <n v="4725.2"/>
    <n v="7654.82"/>
    <n v="205"/>
    <n v="50181.62"/>
    <n v="50386.62"/>
    <x v="3"/>
    <x v="1"/>
    <s v="Jaipur"/>
    <x v="2"/>
    <x v="1"/>
    <n v="9"/>
    <x v="0"/>
    <n v="2"/>
    <x v="1"/>
  </r>
  <r>
    <s v="ORD00783"/>
    <x v="0"/>
    <s v="CUST417"/>
    <s v="Anjali"/>
    <x v="1"/>
    <x v="8"/>
    <x v="0"/>
    <x v="0"/>
    <x v="0"/>
    <x v="2"/>
    <n v="1"/>
    <n v="8738"/>
    <n v="5"/>
    <n v="436.9"/>
    <n v="1494.2"/>
    <n v="184"/>
    <n v="9795.2999999999993"/>
    <n v="9979.2999999999993"/>
    <x v="3"/>
    <x v="1"/>
    <s v="Delhi"/>
    <x v="5"/>
    <x v="1"/>
    <n v="7"/>
    <x v="0"/>
    <n v="4"/>
    <x v="3"/>
  </r>
  <r>
    <s v="ORD00784"/>
    <x v="204"/>
    <s v="CUST978"/>
    <s v="Riya"/>
    <x v="1"/>
    <x v="2"/>
    <x v="0"/>
    <x v="0"/>
    <x v="0"/>
    <x v="0"/>
    <n v="4"/>
    <n v="1489"/>
    <n v="20"/>
    <n v="1191.2"/>
    <n v="857.66"/>
    <n v="442"/>
    <n v="5622.46"/>
    <n v="6064.46"/>
    <x v="1"/>
    <x v="1"/>
    <s v="Jaipur"/>
    <x v="2"/>
    <x v="1"/>
    <n v="5"/>
    <x v="1"/>
    <n v="5"/>
    <x v="0"/>
  </r>
  <r>
    <s v="ORD00785"/>
    <x v="257"/>
    <s v="CUST624"/>
    <s v="Karan"/>
    <x v="1"/>
    <x v="2"/>
    <x v="7"/>
    <x v="1"/>
    <x v="7"/>
    <x v="2"/>
    <n v="1"/>
    <n v="9101"/>
    <n v="5"/>
    <n v="455.05"/>
    <n v="1556.27"/>
    <n v="408"/>
    <n v="10202.219999999999"/>
    <n v="10610.22"/>
    <x v="3"/>
    <x v="1"/>
    <s v="Bangalore"/>
    <x v="3"/>
    <x v="2"/>
    <n v="2"/>
    <x v="1"/>
    <n v="3"/>
    <x v="3"/>
  </r>
  <r>
    <s v="ORD00786"/>
    <x v="290"/>
    <s v="CUST907"/>
    <s v="Neha"/>
    <x v="1"/>
    <x v="9"/>
    <x v="2"/>
    <x v="1"/>
    <x v="2"/>
    <x v="6"/>
    <n v="3"/>
    <n v="28364"/>
    <n v="20"/>
    <n v="17018.400000000001"/>
    <n v="12253.25"/>
    <n v="411"/>
    <n v="80326.850000000006"/>
    <n v="80737.850000000006"/>
    <x v="3"/>
    <x v="0"/>
    <s v="Jaipur"/>
    <x v="2"/>
    <x v="1"/>
    <n v="7"/>
    <x v="1"/>
    <n v="4"/>
    <x v="1"/>
  </r>
  <r>
    <s v="ORD00787"/>
    <x v="223"/>
    <s v="CUST942"/>
    <s v="Neha"/>
    <x v="1"/>
    <x v="10"/>
    <x v="4"/>
    <x v="0"/>
    <x v="4"/>
    <x v="2"/>
    <n v="3"/>
    <n v="26567"/>
    <n v="20"/>
    <n v="15940.2"/>
    <n v="11476.94"/>
    <n v="289"/>
    <n v="75237.740000000005"/>
    <n v="75526.740000000005"/>
    <x v="2"/>
    <x v="1"/>
    <s v="Delhi"/>
    <x v="5"/>
    <x v="1"/>
    <n v="8"/>
    <x v="1"/>
    <n v="2"/>
    <x v="1"/>
  </r>
  <r>
    <s v="ORD00788"/>
    <x v="35"/>
    <s v="CUST538"/>
    <s v="Arjun"/>
    <x v="1"/>
    <x v="32"/>
    <x v="4"/>
    <x v="0"/>
    <x v="4"/>
    <x v="0"/>
    <n v="4"/>
    <n v="36398"/>
    <n v="20"/>
    <n v="29118.400000000001"/>
    <n v="20965.25"/>
    <n v="62"/>
    <n v="137438.85"/>
    <n v="137500.85"/>
    <x v="0"/>
    <x v="1"/>
    <s v="Delhi"/>
    <x v="5"/>
    <x v="1"/>
    <n v="8"/>
    <x v="0"/>
    <n v="2"/>
    <x v="1"/>
  </r>
  <r>
    <s v="ORD00789"/>
    <x v="306"/>
    <s v="CUST882"/>
    <s v="Neha"/>
    <x v="0"/>
    <x v="33"/>
    <x v="9"/>
    <x v="0"/>
    <x v="9"/>
    <x v="7"/>
    <n v="3"/>
    <n v="5708"/>
    <n v="10"/>
    <n v="1712.4"/>
    <n v="2774.09"/>
    <n v="270"/>
    <n v="18185.689999999999"/>
    <n v="18455.689999999999"/>
    <x v="3"/>
    <x v="0"/>
    <s v="Chandigarh"/>
    <x v="1"/>
    <x v="1"/>
    <n v="2"/>
    <x v="1"/>
    <n v="1"/>
    <x v="3"/>
  </r>
  <r>
    <s v="ORD00790"/>
    <x v="322"/>
    <s v="CUST800"/>
    <s v="Arjun"/>
    <x v="1"/>
    <x v="36"/>
    <x v="1"/>
    <x v="0"/>
    <x v="1"/>
    <x v="6"/>
    <n v="5"/>
    <n v="41929"/>
    <n v="10"/>
    <n v="20964.5"/>
    <n v="33962.49"/>
    <n v="167"/>
    <n v="222642.99"/>
    <n v="222809.99"/>
    <x v="1"/>
    <x v="1"/>
    <s v="Lucknow"/>
    <x v="4"/>
    <x v="1"/>
    <n v="7"/>
    <x v="0"/>
    <n v="3"/>
    <x v="2"/>
  </r>
  <r>
    <s v="ORD00791"/>
    <x v="222"/>
    <s v="CUST545"/>
    <s v="Riya"/>
    <x v="1"/>
    <x v="20"/>
    <x v="9"/>
    <x v="0"/>
    <x v="9"/>
    <x v="2"/>
    <n v="4"/>
    <n v="28575"/>
    <n v="15"/>
    <n v="17145"/>
    <n v="17487.900000000001"/>
    <n v="226"/>
    <n v="114642.9"/>
    <n v="114868.9"/>
    <x v="1"/>
    <x v="1"/>
    <s v="Jaipur"/>
    <x v="2"/>
    <x v="1"/>
    <n v="1"/>
    <x v="0"/>
    <n v="5"/>
    <x v="0"/>
  </r>
  <r>
    <s v="ORD00792"/>
    <x v="323"/>
    <s v="CUST426"/>
    <s v="Vikas"/>
    <x v="1"/>
    <x v="14"/>
    <x v="1"/>
    <x v="0"/>
    <x v="1"/>
    <x v="4"/>
    <n v="3"/>
    <n v="13660"/>
    <n v="20"/>
    <n v="8196"/>
    <n v="5901.12"/>
    <n v="12"/>
    <n v="38685.120000000003"/>
    <n v="38697.120000000003"/>
    <x v="2"/>
    <x v="1"/>
    <s v="Bangalore"/>
    <x v="3"/>
    <x v="2"/>
    <n v="6"/>
    <x v="1"/>
    <n v="1"/>
    <x v="1"/>
  </r>
  <r>
    <s v="ORD00793"/>
    <x v="42"/>
    <s v="CUST641"/>
    <s v="Arjun"/>
    <x v="0"/>
    <x v="37"/>
    <x v="2"/>
    <x v="1"/>
    <x v="2"/>
    <x v="6"/>
    <n v="2"/>
    <n v="24228"/>
    <n v="10"/>
    <n v="4845.6000000000004"/>
    <n v="7849.87"/>
    <n v="308"/>
    <n v="51460.27"/>
    <n v="51768.27"/>
    <x v="1"/>
    <x v="0"/>
    <s v="Bangalore"/>
    <x v="3"/>
    <x v="2"/>
    <n v="10"/>
    <x v="1"/>
    <n v="5"/>
    <x v="2"/>
  </r>
  <r>
    <s v="ORD00794"/>
    <x v="123"/>
    <s v="CUST120"/>
    <s v="Anjali"/>
    <x v="0"/>
    <x v="25"/>
    <x v="1"/>
    <x v="0"/>
    <x v="1"/>
    <x v="2"/>
    <n v="3"/>
    <n v="39349"/>
    <n v="20"/>
    <n v="23609.4"/>
    <n v="16998.77"/>
    <n v="228"/>
    <n v="111436.37"/>
    <n v="111664.37"/>
    <x v="0"/>
    <x v="0"/>
    <s v="Pune"/>
    <x v="0"/>
    <x v="0"/>
    <n v="2"/>
    <x v="1"/>
    <n v="2"/>
    <x v="3"/>
  </r>
  <r>
    <s v="ORD00795"/>
    <x v="270"/>
    <s v="CUST861"/>
    <s v="Karan"/>
    <x v="0"/>
    <x v="26"/>
    <x v="9"/>
    <x v="0"/>
    <x v="9"/>
    <x v="0"/>
    <n v="5"/>
    <n v="10892"/>
    <n v="20"/>
    <n v="10892"/>
    <n v="7842.24"/>
    <n v="420"/>
    <n v="51410.239999999998"/>
    <n v="51830.239999999998"/>
    <x v="0"/>
    <x v="1"/>
    <s v="Mumbai"/>
    <x v="0"/>
    <x v="0"/>
    <n v="7"/>
    <x v="0"/>
    <n v="1"/>
    <x v="2"/>
  </r>
  <r>
    <s v="ORD00796"/>
    <x v="175"/>
    <s v="CUST414"/>
    <s v="Priya"/>
    <x v="1"/>
    <x v="26"/>
    <x v="5"/>
    <x v="0"/>
    <x v="5"/>
    <x v="0"/>
    <n v="1"/>
    <n v="22810"/>
    <n v="10"/>
    <n v="2281"/>
    <n v="3695.22"/>
    <n v="477"/>
    <n v="24224.22"/>
    <n v="24701.22"/>
    <x v="2"/>
    <x v="1"/>
    <s v="Lucknow"/>
    <x v="4"/>
    <x v="1"/>
    <n v="5"/>
    <x v="1"/>
    <n v="4"/>
    <x v="3"/>
  </r>
  <r>
    <s v="ORD00797"/>
    <x v="282"/>
    <s v="CUST487"/>
    <s v="Arjun"/>
    <x v="0"/>
    <x v="24"/>
    <x v="4"/>
    <x v="0"/>
    <x v="4"/>
    <x v="1"/>
    <n v="2"/>
    <n v="14573"/>
    <n v="20"/>
    <n v="5829.2"/>
    <n v="4197.0200000000004"/>
    <n v="237"/>
    <n v="27513.82"/>
    <n v="27750.82"/>
    <x v="0"/>
    <x v="1"/>
    <s v="Bangalore"/>
    <x v="3"/>
    <x v="2"/>
    <n v="4"/>
    <x v="1"/>
    <n v="2"/>
    <x v="2"/>
  </r>
  <r>
    <s v="ORD00798"/>
    <x v="237"/>
    <s v="CUST633"/>
    <s v="Priya"/>
    <x v="1"/>
    <x v="13"/>
    <x v="3"/>
    <x v="2"/>
    <x v="3"/>
    <x v="4"/>
    <n v="5"/>
    <n v="24050"/>
    <n v="15"/>
    <n v="18037.5"/>
    <n v="18398.25"/>
    <n v="437"/>
    <n v="120610.75"/>
    <n v="121047.75"/>
    <x v="0"/>
    <x v="1"/>
    <s v="Chandigarh"/>
    <x v="1"/>
    <x v="1"/>
    <n v="4"/>
    <x v="0"/>
    <n v="4"/>
    <x v="1"/>
  </r>
  <r>
    <s v="ORD00799"/>
    <x v="153"/>
    <s v="CUST552"/>
    <s v="Karan"/>
    <x v="0"/>
    <x v="25"/>
    <x v="1"/>
    <x v="0"/>
    <x v="1"/>
    <x v="6"/>
    <n v="5"/>
    <n v="48099"/>
    <n v="5"/>
    <n v="12024.75"/>
    <n v="41124.639999999999"/>
    <n v="491"/>
    <n v="269594.90000000002"/>
    <n v="270085.90000000002"/>
    <x v="1"/>
    <x v="1"/>
    <s v="Lucknow"/>
    <x v="4"/>
    <x v="1"/>
    <n v="2"/>
    <x v="1"/>
    <n v="5"/>
    <x v="2"/>
  </r>
  <r>
    <s v="ORD00800"/>
    <x v="289"/>
    <s v="CUST327"/>
    <s v="Amit"/>
    <x v="1"/>
    <x v="3"/>
    <x v="0"/>
    <x v="0"/>
    <x v="0"/>
    <x v="6"/>
    <n v="5"/>
    <n v="37475"/>
    <n v="10"/>
    <n v="18737.5"/>
    <n v="30354.75"/>
    <n v="279"/>
    <n v="198992.25"/>
    <n v="199271.25"/>
    <x v="3"/>
    <x v="1"/>
    <s v="Patiala"/>
    <x v="1"/>
    <x v="1"/>
    <n v="6"/>
    <x v="1"/>
    <n v="4"/>
    <x v="3"/>
  </r>
  <r>
    <s v="ORD00801"/>
    <x v="147"/>
    <s v="CUST179"/>
    <s v="Vikas"/>
    <x v="0"/>
    <x v="9"/>
    <x v="5"/>
    <x v="0"/>
    <x v="5"/>
    <x v="3"/>
    <n v="2"/>
    <n v="36204"/>
    <n v="0"/>
    <n v="0"/>
    <n v="13033.44"/>
    <n v="133"/>
    <n v="85441.44"/>
    <n v="85574.44"/>
    <x v="1"/>
    <x v="1"/>
    <s v="Pune"/>
    <x v="0"/>
    <x v="0"/>
    <n v="6"/>
    <x v="0"/>
    <n v="3"/>
    <x v="2"/>
  </r>
  <r>
    <s v="ORD00802"/>
    <x v="232"/>
    <s v="CUST712"/>
    <s v="Sneha"/>
    <x v="0"/>
    <x v="33"/>
    <x v="8"/>
    <x v="0"/>
    <x v="8"/>
    <x v="1"/>
    <n v="4"/>
    <n v="38685"/>
    <n v="0"/>
    <n v="0"/>
    <n v="27853.200000000001"/>
    <n v="454"/>
    <n v="182593.2"/>
    <n v="183047.2"/>
    <x v="0"/>
    <x v="0"/>
    <s v="Chandigarh"/>
    <x v="1"/>
    <x v="1"/>
    <n v="7"/>
    <x v="0"/>
    <n v="3"/>
    <x v="1"/>
  </r>
  <r>
    <s v="ORD00803"/>
    <x v="324"/>
    <s v="CUST818"/>
    <s v="Amit"/>
    <x v="0"/>
    <x v="7"/>
    <x v="4"/>
    <x v="0"/>
    <x v="4"/>
    <x v="7"/>
    <n v="3"/>
    <n v="14708"/>
    <n v="10"/>
    <n v="4412.3999999999996"/>
    <n v="7148.09"/>
    <n v="196"/>
    <n v="46859.69"/>
    <n v="47055.69"/>
    <x v="2"/>
    <x v="0"/>
    <s v="Mumbai"/>
    <x v="0"/>
    <x v="0"/>
    <n v="8"/>
    <x v="1"/>
    <n v="3"/>
    <x v="1"/>
  </r>
  <r>
    <s v="ORD00804"/>
    <x v="144"/>
    <s v="CUST846"/>
    <s v="Rahul"/>
    <x v="1"/>
    <x v="35"/>
    <x v="7"/>
    <x v="1"/>
    <x v="7"/>
    <x v="0"/>
    <n v="3"/>
    <n v="14838"/>
    <n v="10"/>
    <n v="4451.3999999999996"/>
    <n v="7211.27"/>
    <n v="147"/>
    <n v="47273.87"/>
    <n v="47420.87"/>
    <x v="2"/>
    <x v="0"/>
    <s v="Mumbai"/>
    <x v="0"/>
    <x v="0"/>
    <n v="10"/>
    <x v="1"/>
    <n v="2"/>
    <x v="1"/>
  </r>
  <r>
    <s v="ORD00805"/>
    <x v="110"/>
    <s v="CUST747"/>
    <s v="Vikas"/>
    <x v="0"/>
    <x v="33"/>
    <x v="0"/>
    <x v="0"/>
    <x v="0"/>
    <x v="5"/>
    <n v="4"/>
    <n v="34698"/>
    <n v="10"/>
    <n v="13879.2"/>
    <n v="22484.3"/>
    <n v="304"/>
    <n v="147397.1"/>
    <n v="147701.1"/>
    <x v="2"/>
    <x v="0"/>
    <s v="Bangalore"/>
    <x v="3"/>
    <x v="2"/>
    <n v="1"/>
    <x v="1"/>
    <n v="2"/>
    <x v="2"/>
  </r>
  <r>
    <s v="ORD00806"/>
    <x v="204"/>
    <s v="CUST568"/>
    <s v="Vikas"/>
    <x v="0"/>
    <x v="25"/>
    <x v="4"/>
    <x v="0"/>
    <x v="4"/>
    <x v="1"/>
    <n v="5"/>
    <n v="46766"/>
    <n v="10"/>
    <n v="23383"/>
    <n v="37880.46"/>
    <n v="163"/>
    <n v="248327.46"/>
    <n v="248490.46"/>
    <x v="3"/>
    <x v="0"/>
    <s v="Pune"/>
    <x v="0"/>
    <x v="0"/>
    <n v="4"/>
    <x v="0"/>
    <n v="3"/>
    <x v="1"/>
  </r>
  <r>
    <s v="ORD00807"/>
    <x v="117"/>
    <s v="CUST827"/>
    <s v="Neha"/>
    <x v="0"/>
    <x v="18"/>
    <x v="4"/>
    <x v="0"/>
    <x v="4"/>
    <x v="5"/>
    <n v="3"/>
    <n v="644"/>
    <n v="5"/>
    <n v="96.6"/>
    <n v="330.37"/>
    <n v="253"/>
    <n v="2165.77"/>
    <n v="2418.77"/>
    <x v="0"/>
    <x v="1"/>
    <s v="Jaipur"/>
    <x v="2"/>
    <x v="1"/>
    <n v="10"/>
    <x v="0"/>
    <n v="1"/>
    <x v="2"/>
  </r>
  <r>
    <s v="ORD00808"/>
    <x v="274"/>
    <s v="CUST654"/>
    <s v="Neha"/>
    <x v="0"/>
    <x v="34"/>
    <x v="8"/>
    <x v="0"/>
    <x v="8"/>
    <x v="5"/>
    <n v="1"/>
    <n v="7604"/>
    <n v="10"/>
    <n v="760.4"/>
    <n v="1231.8499999999999"/>
    <n v="405"/>
    <n v="8075.4500000000007"/>
    <n v="8480.4500000000007"/>
    <x v="2"/>
    <x v="1"/>
    <s v="Lucknow"/>
    <x v="4"/>
    <x v="1"/>
    <n v="8"/>
    <x v="0"/>
    <n v="2"/>
    <x v="2"/>
  </r>
  <r>
    <s v="ORD00809"/>
    <x v="95"/>
    <s v="CUST664"/>
    <s v="Amit"/>
    <x v="0"/>
    <x v="10"/>
    <x v="7"/>
    <x v="1"/>
    <x v="7"/>
    <x v="6"/>
    <n v="5"/>
    <n v="19653"/>
    <n v="0"/>
    <n v="0"/>
    <n v="17687.7"/>
    <n v="309"/>
    <n v="115952.7"/>
    <n v="116261.7"/>
    <x v="1"/>
    <x v="0"/>
    <s v="Pune"/>
    <x v="0"/>
    <x v="0"/>
    <n v="4"/>
    <x v="1"/>
    <n v="3"/>
    <x v="1"/>
  </r>
  <r>
    <s v="ORD00810"/>
    <x v="325"/>
    <s v="CUST917"/>
    <s v="Vikas"/>
    <x v="0"/>
    <x v="26"/>
    <x v="4"/>
    <x v="0"/>
    <x v="4"/>
    <x v="7"/>
    <n v="2"/>
    <n v="42230"/>
    <n v="10"/>
    <n v="8446"/>
    <n v="13682.52"/>
    <n v="156"/>
    <n v="89696.52"/>
    <n v="89852.52"/>
    <x v="3"/>
    <x v="1"/>
    <s v="Jaipur"/>
    <x v="2"/>
    <x v="1"/>
    <n v="1"/>
    <x v="1"/>
    <n v="2"/>
    <x v="0"/>
  </r>
  <r>
    <s v="ORD00811"/>
    <x v="69"/>
    <s v="CUST745"/>
    <s v="Arjun"/>
    <x v="0"/>
    <x v="37"/>
    <x v="7"/>
    <x v="1"/>
    <x v="7"/>
    <x v="1"/>
    <n v="2"/>
    <n v="29934"/>
    <n v="20"/>
    <n v="11973.6"/>
    <n v="8620.99"/>
    <n v="362"/>
    <n v="56515.39"/>
    <n v="56877.39"/>
    <x v="0"/>
    <x v="1"/>
    <s v="Mumbai"/>
    <x v="0"/>
    <x v="0"/>
    <n v="6"/>
    <x v="0"/>
    <n v="5"/>
    <x v="2"/>
  </r>
  <r>
    <s v="ORD00812"/>
    <x v="52"/>
    <s v="CUST253"/>
    <s v="Riya"/>
    <x v="0"/>
    <x v="29"/>
    <x v="3"/>
    <x v="2"/>
    <x v="3"/>
    <x v="2"/>
    <n v="1"/>
    <n v="28168"/>
    <n v="10"/>
    <n v="2816.8"/>
    <n v="4563.22"/>
    <n v="158"/>
    <n v="29914.42"/>
    <n v="30072.42"/>
    <x v="0"/>
    <x v="1"/>
    <s v="Lucknow"/>
    <x v="4"/>
    <x v="1"/>
    <n v="5"/>
    <x v="1"/>
    <n v="2"/>
    <x v="1"/>
  </r>
  <r>
    <s v="ORD00813"/>
    <x v="326"/>
    <s v="CUST765"/>
    <s v="Arjun"/>
    <x v="1"/>
    <x v="15"/>
    <x v="0"/>
    <x v="0"/>
    <x v="0"/>
    <x v="8"/>
    <n v="4"/>
    <n v="35314"/>
    <n v="5"/>
    <n v="7062.8"/>
    <n v="24154.78"/>
    <n v="456"/>
    <n v="158347.98000000001"/>
    <n v="158803.98000000001"/>
    <x v="2"/>
    <x v="0"/>
    <s v="Patiala"/>
    <x v="1"/>
    <x v="1"/>
    <n v="2"/>
    <x v="0"/>
    <n v="5"/>
    <x v="3"/>
  </r>
  <r>
    <s v="ORD00814"/>
    <x v="129"/>
    <s v="CUST537"/>
    <s v="Arjun"/>
    <x v="1"/>
    <x v="14"/>
    <x v="6"/>
    <x v="0"/>
    <x v="6"/>
    <x v="4"/>
    <n v="1"/>
    <n v="27249"/>
    <n v="20"/>
    <n v="5449.8"/>
    <n v="3923.86"/>
    <n v="475"/>
    <n v="25723.06"/>
    <n v="26198.06"/>
    <x v="0"/>
    <x v="1"/>
    <s v="Delhi"/>
    <x v="5"/>
    <x v="1"/>
    <n v="5"/>
    <x v="0"/>
    <n v="1"/>
    <x v="0"/>
  </r>
  <r>
    <s v="ORD00815"/>
    <x v="76"/>
    <s v="CUST323"/>
    <s v="Priya"/>
    <x v="1"/>
    <x v="2"/>
    <x v="2"/>
    <x v="1"/>
    <x v="2"/>
    <x v="8"/>
    <n v="3"/>
    <n v="49236"/>
    <n v="10"/>
    <n v="14770.8"/>
    <n v="23928.7"/>
    <n v="256"/>
    <n v="156865.9"/>
    <n v="157121.9"/>
    <x v="2"/>
    <x v="0"/>
    <s v="Chandigarh"/>
    <x v="1"/>
    <x v="1"/>
    <n v="3"/>
    <x v="0"/>
    <n v="3"/>
    <x v="3"/>
  </r>
  <r>
    <s v="ORD00816"/>
    <x v="168"/>
    <s v="CUST259"/>
    <s v="Priya"/>
    <x v="1"/>
    <x v="33"/>
    <x v="3"/>
    <x v="2"/>
    <x v="3"/>
    <x v="7"/>
    <n v="1"/>
    <n v="30859"/>
    <n v="5"/>
    <n v="1542.95"/>
    <n v="5276.89"/>
    <n v="480"/>
    <n v="34592.94"/>
    <n v="35072.94"/>
    <x v="2"/>
    <x v="1"/>
    <s v="Mumbai"/>
    <x v="0"/>
    <x v="0"/>
    <n v="4"/>
    <x v="0"/>
    <n v="4"/>
    <x v="2"/>
  </r>
  <r>
    <s v="ORD00817"/>
    <x v="327"/>
    <s v="CUST957"/>
    <s v="Karan"/>
    <x v="1"/>
    <x v="21"/>
    <x v="7"/>
    <x v="1"/>
    <x v="7"/>
    <x v="4"/>
    <n v="4"/>
    <n v="37642"/>
    <n v="15"/>
    <n v="22585.200000000001"/>
    <n v="23036.9"/>
    <n v="32"/>
    <n v="151019.70000000001"/>
    <n v="151051.70000000001"/>
    <x v="1"/>
    <x v="0"/>
    <s v="Patiala"/>
    <x v="1"/>
    <x v="1"/>
    <n v="1"/>
    <x v="0"/>
    <n v="5"/>
    <x v="0"/>
  </r>
  <r>
    <s v="ORD00818"/>
    <x v="72"/>
    <s v="CUST514"/>
    <s v="Anjali"/>
    <x v="0"/>
    <x v="37"/>
    <x v="6"/>
    <x v="0"/>
    <x v="6"/>
    <x v="5"/>
    <n v="5"/>
    <n v="48628"/>
    <n v="15"/>
    <n v="36471"/>
    <n v="37200.42"/>
    <n v="224"/>
    <n v="243869.42"/>
    <n v="244093.42"/>
    <x v="2"/>
    <x v="0"/>
    <s v="Chandigarh"/>
    <x v="1"/>
    <x v="1"/>
    <n v="9"/>
    <x v="1"/>
    <n v="2"/>
    <x v="0"/>
  </r>
  <r>
    <s v="ORD00819"/>
    <x v="117"/>
    <s v="CUST387"/>
    <s v="Riya"/>
    <x v="0"/>
    <x v="34"/>
    <x v="9"/>
    <x v="0"/>
    <x v="9"/>
    <x v="0"/>
    <n v="5"/>
    <n v="16368"/>
    <n v="15"/>
    <n v="12276"/>
    <n v="12521.52"/>
    <n v="443"/>
    <n v="82085.52"/>
    <n v="82528.52"/>
    <x v="1"/>
    <x v="1"/>
    <s v="Patiala"/>
    <x v="1"/>
    <x v="1"/>
    <n v="8"/>
    <x v="1"/>
    <n v="2"/>
    <x v="1"/>
  </r>
  <r>
    <s v="ORD00820"/>
    <x v="38"/>
    <s v="CUST306"/>
    <s v="Rahul"/>
    <x v="0"/>
    <x v="26"/>
    <x v="1"/>
    <x v="0"/>
    <x v="1"/>
    <x v="6"/>
    <n v="2"/>
    <n v="31757"/>
    <n v="0"/>
    <n v="0"/>
    <n v="11432.52"/>
    <n v="191"/>
    <n v="74946.52"/>
    <n v="75137.52"/>
    <x v="1"/>
    <x v="0"/>
    <s v="Chandigarh"/>
    <x v="1"/>
    <x v="1"/>
    <n v="3"/>
    <x v="0"/>
    <n v="3"/>
    <x v="1"/>
  </r>
  <r>
    <s v="ORD00821"/>
    <x v="127"/>
    <s v="CUST190"/>
    <s v="Sneha"/>
    <x v="1"/>
    <x v="2"/>
    <x v="5"/>
    <x v="0"/>
    <x v="5"/>
    <x v="4"/>
    <n v="4"/>
    <n v="37757"/>
    <n v="10"/>
    <n v="15102.8"/>
    <n v="24466.54"/>
    <n v="430"/>
    <n v="160391.74"/>
    <n v="160821.74"/>
    <x v="3"/>
    <x v="1"/>
    <s v="Patiala"/>
    <x v="1"/>
    <x v="1"/>
    <n v="3"/>
    <x v="1"/>
    <n v="4"/>
    <x v="1"/>
  </r>
  <r>
    <s v="ORD00822"/>
    <x v="160"/>
    <s v="CUST551"/>
    <s v="Arjun"/>
    <x v="1"/>
    <x v="14"/>
    <x v="9"/>
    <x v="0"/>
    <x v="9"/>
    <x v="8"/>
    <n v="2"/>
    <n v="42743"/>
    <n v="5"/>
    <n v="4274.3"/>
    <n v="14618.11"/>
    <n v="473"/>
    <n v="95829.81"/>
    <n v="96302.81"/>
    <x v="2"/>
    <x v="1"/>
    <s v="Patiala"/>
    <x v="1"/>
    <x v="1"/>
    <n v="9"/>
    <x v="1"/>
    <n v="4"/>
    <x v="3"/>
  </r>
  <r>
    <s v="ORD00823"/>
    <x v="146"/>
    <s v="CUST705"/>
    <s v="Priya"/>
    <x v="0"/>
    <x v="9"/>
    <x v="4"/>
    <x v="0"/>
    <x v="4"/>
    <x v="5"/>
    <n v="3"/>
    <n v="20225"/>
    <n v="10"/>
    <n v="6067.5"/>
    <n v="9829.35"/>
    <n v="463"/>
    <n v="64436.85"/>
    <n v="64899.85"/>
    <x v="1"/>
    <x v="1"/>
    <s v="Patiala"/>
    <x v="1"/>
    <x v="1"/>
    <n v="9"/>
    <x v="1"/>
    <n v="1"/>
    <x v="2"/>
  </r>
  <r>
    <s v="ORD00824"/>
    <x v="294"/>
    <s v="CUST362"/>
    <s v="Rahul"/>
    <x v="1"/>
    <x v="34"/>
    <x v="2"/>
    <x v="1"/>
    <x v="2"/>
    <x v="6"/>
    <n v="2"/>
    <n v="8375"/>
    <n v="15"/>
    <n v="2512.5"/>
    <n v="2562.75"/>
    <n v="470"/>
    <n v="16800.25"/>
    <n v="17270.25"/>
    <x v="1"/>
    <x v="0"/>
    <s v="Bangalore"/>
    <x v="3"/>
    <x v="2"/>
    <n v="1"/>
    <x v="0"/>
    <n v="3"/>
    <x v="3"/>
  </r>
  <r>
    <s v="ORD00825"/>
    <x v="233"/>
    <s v="CUST869"/>
    <s v="Sneha"/>
    <x v="1"/>
    <x v="9"/>
    <x v="5"/>
    <x v="0"/>
    <x v="5"/>
    <x v="1"/>
    <n v="1"/>
    <n v="5347"/>
    <n v="10"/>
    <n v="534.70000000000005"/>
    <n v="866.21"/>
    <n v="428"/>
    <n v="5678.51"/>
    <n v="6106.51"/>
    <x v="3"/>
    <x v="1"/>
    <s v="Lucknow"/>
    <x v="4"/>
    <x v="1"/>
    <n v="2"/>
    <x v="0"/>
    <n v="4"/>
    <x v="3"/>
  </r>
  <r>
    <s v="ORD00826"/>
    <x v="172"/>
    <s v="CUST730"/>
    <s v="Sneha"/>
    <x v="1"/>
    <x v="11"/>
    <x v="7"/>
    <x v="1"/>
    <x v="7"/>
    <x v="5"/>
    <n v="2"/>
    <n v="24967"/>
    <n v="10"/>
    <n v="4993.3999999999996"/>
    <n v="8089.31"/>
    <n v="104"/>
    <n v="53029.91"/>
    <n v="53133.91"/>
    <x v="2"/>
    <x v="0"/>
    <s v="Jaipur"/>
    <x v="2"/>
    <x v="1"/>
    <n v="1"/>
    <x v="0"/>
    <n v="4"/>
    <x v="2"/>
  </r>
  <r>
    <s v="ORD00827"/>
    <x v="128"/>
    <s v="CUST914"/>
    <s v="Amit"/>
    <x v="1"/>
    <x v="41"/>
    <x v="2"/>
    <x v="1"/>
    <x v="2"/>
    <x v="1"/>
    <n v="4"/>
    <n v="33363"/>
    <n v="0"/>
    <n v="0"/>
    <n v="24021.360000000001"/>
    <n v="353"/>
    <n v="157473.35999999999"/>
    <n v="157826.35999999999"/>
    <x v="3"/>
    <x v="1"/>
    <s v="Patiala"/>
    <x v="1"/>
    <x v="1"/>
    <n v="1"/>
    <x v="0"/>
    <n v="2"/>
    <x v="3"/>
  </r>
  <r>
    <s v="ORD00828"/>
    <x v="291"/>
    <s v="CUST158"/>
    <s v="Neha"/>
    <x v="1"/>
    <x v="41"/>
    <x v="2"/>
    <x v="1"/>
    <x v="2"/>
    <x v="9"/>
    <n v="3"/>
    <n v="11118"/>
    <n v="15"/>
    <n v="5003.1000000000004"/>
    <n v="5103.16"/>
    <n v="443"/>
    <n v="33454.06"/>
    <n v="33897.06"/>
    <x v="3"/>
    <x v="1"/>
    <s v="Bangalore"/>
    <x v="3"/>
    <x v="2"/>
    <n v="8"/>
    <x v="0"/>
    <n v="3"/>
    <x v="3"/>
  </r>
  <r>
    <s v="ORD00829"/>
    <x v="210"/>
    <s v="CUST773"/>
    <s v="Vikas"/>
    <x v="1"/>
    <x v="22"/>
    <x v="7"/>
    <x v="1"/>
    <x v="7"/>
    <x v="0"/>
    <n v="1"/>
    <n v="34518"/>
    <n v="0"/>
    <n v="0"/>
    <n v="6213.24"/>
    <n v="91"/>
    <n v="40731.24"/>
    <n v="40822.239999999998"/>
    <x v="2"/>
    <x v="1"/>
    <s v="Jaipur"/>
    <x v="2"/>
    <x v="1"/>
    <n v="8"/>
    <x v="1"/>
    <n v="5"/>
    <x v="3"/>
  </r>
  <r>
    <s v="ORD00830"/>
    <x v="328"/>
    <s v="CUST325"/>
    <s v="Riya"/>
    <x v="0"/>
    <x v="17"/>
    <x v="0"/>
    <x v="0"/>
    <x v="0"/>
    <x v="1"/>
    <n v="3"/>
    <n v="30273"/>
    <n v="10"/>
    <n v="9081.9"/>
    <n v="14712.68"/>
    <n v="294"/>
    <n v="96449.78"/>
    <n v="96743.78"/>
    <x v="0"/>
    <x v="1"/>
    <s v="Pune"/>
    <x v="0"/>
    <x v="0"/>
    <n v="8"/>
    <x v="1"/>
    <n v="5"/>
    <x v="1"/>
  </r>
  <r>
    <s v="ORD00831"/>
    <x v="25"/>
    <s v="CUST421"/>
    <s v="Sneha"/>
    <x v="0"/>
    <x v="5"/>
    <x v="4"/>
    <x v="0"/>
    <x v="4"/>
    <x v="6"/>
    <n v="2"/>
    <n v="11342"/>
    <n v="10"/>
    <n v="2268.4"/>
    <n v="3674.81"/>
    <n v="459"/>
    <n v="24090.41"/>
    <n v="24549.41"/>
    <x v="0"/>
    <x v="0"/>
    <s v="Lucknow"/>
    <x v="4"/>
    <x v="1"/>
    <n v="7"/>
    <x v="0"/>
    <n v="1"/>
    <x v="2"/>
  </r>
  <r>
    <s v="ORD00832"/>
    <x v="206"/>
    <s v="CUST690"/>
    <s v="Arjun"/>
    <x v="1"/>
    <x v="9"/>
    <x v="6"/>
    <x v="0"/>
    <x v="6"/>
    <x v="4"/>
    <n v="1"/>
    <n v="48064"/>
    <n v="20"/>
    <n v="9612.7999999999993"/>
    <n v="6921.22"/>
    <n v="115"/>
    <n v="45372.42"/>
    <n v="45487.42"/>
    <x v="0"/>
    <x v="0"/>
    <s v="Delhi"/>
    <x v="5"/>
    <x v="1"/>
    <n v="1"/>
    <x v="1"/>
    <n v="3"/>
    <x v="0"/>
  </r>
  <r>
    <s v="ORD00833"/>
    <x v="21"/>
    <s v="CUST330"/>
    <s v="Karan"/>
    <x v="1"/>
    <x v="0"/>
    <x v="5"/>
    <x v="0"/>
    <x v="5"/>
    <x v="9"/>
    <n v="5"/>
    <n v="32836"/>
    <n v="15"/>
    <n v="24627"/>
    <n v="25119.54"/>
    <n v="464"/>
    <n v="164672.54"/>
    <n v="165136.54"/>
    <x v="0"/>
    <x v="1"/>
    <s v="Mumbai"/>
    <x v="0"/>
    <x v="0"/>
    <n v="3"/>
    <x v="0"/>
    <n v="2"/>
    <x v="1"/>
  </r>
  <r>
    <s v="ORD00834"/>
    <x v="14"/>
    <s v="CUST934"/>
    <s v="Sneha"/>
    <x v="1"/>
    <x v="32"/>
    <x v="1"/>
    <x v="0"/>
    <x v="1"/>
    <x v="1"/>
    <n v="5"/>
    <n v="43163"/>
    <n v="10"/>
    <n v="21581.5"/>
    <n v="34962.03"/>
    <n v="202"/>
    <n v="229195.53"/>
    <n v="229397.53"/>
    <x v="2"/>
    <x v="1"/>
    <s v="Pune"/>
    <x v="0"/>
    <x v="0"/>
    <n v="1"/>
    <x v="0"/>
    <n v="5"/>
    <x v="3"/>
  </r>
  <r>
    <s v="ORD00835"/>
    <x v="236"/>
    <s v="CUST594"/>
    <s v="Anjali"/>
    <x v="0"/>
    <x v="2"/>
    <x v="6"/>
    <x v="0"/>
    <x v="6"/>
    <x v="4"/>
    <n v="1"/>
    <n v="31573"/>
    <n v="10"/>
    <n v="3157.3"/>
    <n v="5114.83"/>
    <n v="152"/>
    <n v="33530.53"/>
    <n v="33682.53"/>
    <x v="2"/>
    <x v="0"/>
    <s v="Chandigarh"/>
    <x v="1"/>
    <x v="1"/>
    <n v="4"/>
    <x v="1"/>
    <n v="1"/>
    <x v="0"/>
  </r>
  <r>
    <s v="ORD00836"/>
    <x v="134"/>
    <s v="CUST305"/>
    <s v="Karan"/>
    <x v="1"/>
    <x v="2"/>
    <x v="3"/>
    <x v="2"/>
    <x v="3"/>
    <x v="8"/>
    <n v="1"/>
    <n v="48245"/>
    <n v="20"/>
    <n v="9649"/>
    <n v="6947.28"/>
    <n v="5"/>
    <n v="45543.28"/>
    <n v="45548.28"/>
    <x v="1"/>
    <x v="0"/>
    <s v="Patiala"/>
    <x v="1"/>
    <x v="1"/>
    <n v="6"/>
    <x v="0"/>
    <n v="3"/>
    <x v="3"/>
  </r>
  <r>
    <s v="ORD00837"/>
    <x v="78"/>
    <s v="CUST586"/>
    <s v="Vikas"/>
    <x v="1"/>
    <x v="29"/>
    <x v="8"/>
    <x v="0"/>
    <x v="8"/>
    <x v="3"/>
    <n v="4"/>
    <n v="47145"/>
    <n v="20"/>
    <n v="37716"/>
    <n v="27155.52"/>
    <n v="457"/>
    <n v="178019.52"/>
    <n v="178476.52"/>
    <x v="2"/>
    <x v="1"/>
    <s v="Delhi"/>
    <x v="5"/>
    <x v="1"/>
    <n v="1"/>
    <x v="1"/>
    <n v="5"/>
    <x v="1"/>
  </r>
  <r>
    <s v="ORD00838"/>
    <x v="34"/>
    <s v="CUST266"/>
    <s v="Vikas"/>
    <x v="1"/>
    <x v="17"/>
    <x v="2"/>
    <x v="1"/>
    <x v="2"/>
    <x v="7"/>
    <n v="5"/>
    <n v="25380"/>
    <n v="0"/>
    <n v="0"/>
    <n v="22842"/>
    <n v="309"/>
    <n v="149742"/>
    <n v="150051"/>
    <x v="1"/>
    <x v="0"/>
    <s v="Pune"/>
    <x v="0"/>
    <x v="0"/>
    <n v="1"/>
    <x v="1"/>
    <n v="2"/>
    <x v="2"/>
  </r>
  <r>
    <s v="ORD00839"/>
    <x v="37"/>
    <s v="CUST636"/>
    <s v="Rahul"/>
    <x v="0"/>
    <x v="4"/>
    <x v="8"/>
    <x v="0"/>
    <x v="8"/>
    <x v="0"/>
    <n v="1"/>
    <n v="40566"/>
    <n v="10"/>
    <n v="4056.6"/>
    <n v="6571.69"/>
    <n v="112"/>
    <n v="43081.09"/>
    <n v="43193.09"/>
    <x v="1"/>
    <x v="1"/>
    <s v="Chandigarh"/>
    <x v="1"/>
    <x v="1"/>
    <n v="8"/>
    <x v="1"/>
    <n v="2"/>
    <x v="1"/>
  </r>
  <r>
    <s v="ORD00840"/>
    <x v="244"/>
    <s v="CUST260"/>
    <s v="Vikas"/>
    <x v="1"/>
    <x v="26"/>
    <x v="0"/>
    <x v="0"/>
    <x v="0"/>
    <x v="9"/>
    <n v="1"/>
    <n v="6815"/>
    <n v="20"/>
    <n v="1363"/>
    <n v="981.36"/>
    <n v="338"/>
    <n v="6433.36"/>
    <n v="6771.36"/>
    <x v="0"/>
    <x v="0"/>
    <s v="Lucknow"/>
    <x v="4"/>
    <x v="1"/>
    <n v="8"/>
    <x v="1"/>
    <n v="5"/>
    <x v="1"/>
  </r>
  <r>
    <s v="ORD00841"/>
    <x v="135"/>
    <s v="CUST397"/>
    <s v="Rahul"/>
    <x v="0"/>
    <x v="12"/>
    <x v="0"/>
    <x v="0"/>
    <x v="0"/>
    <x v="3"/>
    <n v="3"/>
    <n v="49678"/>
    <n v="15"/>
    <n v="22355.1"/>
    <n v="22802.2"/>
    <n v="277"/>
    <n v="149481.1"/>
    <n v="149758.1"/>
    <x v="1"/>
    <x v="0"/>
    <s v="Chandigarh"/>
    <x v="1"/>
    <x v="1"/>
    <n v="8"/>
    <x v="0"/>
    <n v="5"/>
    <x v="1"/>
  </r>
  <r>
    <s v="ORD00842"/>
    <x v="30"/>
    <s v="CUST288"/>
    <s v="Anjali"/>
    <x v="1"/>
    <x v="40"/>
    <x v="9"/>
    <x v="0"/>
    <x v="9"/>
    <x v="2"/>
    <n v="4"/>
    <n v="21247"/>
    <n v="5"/>
    <n v="4249.3999999999996"/>
    <n v="14532.95"/>
    <n v="439"/>
    <n v="95271.55"/>
    <n v="95710.55"/>
    <x v="3"/>
    <x v="1"/>
    <s v="Patiala"/>
    <x v="1"/>
    <x v="1"/>
    <n v="5"/>
    <x v="0"/>
    <n v="2"/>
    <x v="1"/>
  </r>
  <r>
    <s v="ORD00843"/>
    <x v="2"/>
    <s v="CUST836"/>
    <s v="Riya"/>
    <x v="1"/>
    <x v="13"/>
    <x v="2"/>
    <x v="1"/>
    <x v="2"/>
    <x v="6"/>
    <n v="2"/>
    <n v="10921"/>
    <n v="5"/>
    <n v="1092.0999999999999"/>
    <n v="3734.98"/>
    <n v="395"/>
    <n v="24484.880000000001"/>
    <n v="24879.88"/>
    <x v="3"/>
    <x v="0"/>
    <s v="Patiala"/>
    <x v="1"/>
    <x v="1"/>
    <n v="6"/>
    <x v="0"/>
    <n v="2"/>
    <x v="2"/>
  </r>
  <r>
    <s v="ORD00844"/>
    <x v="68"/>
    <s v="CUST523"/>
    <s v="Arjun"/>
    <x v="1"/>
    <x v="31"/>
    <x v="3"/>
    <x v="2"/>
    <x v="3"/>
    <x v="0"/>
    <n v="2"/>
    <n v="41264"/>
    <n v="5"/>
    <n v="4126.3999999999996"/>
    <n v="14112.29"/>
    <n v="7"/>
    <n v="92513.89"/>
    <n v="92520.89"/>
    <x v="2"/>
    <x v="0"/>
    <s v="Delhi"/>
    <x v="5"/>
    <x v="1"/>
    <n v="6"/>
    <x v="1"/>
    <n v="5"/>
    <x v="3"/>
  </r>
  <r>
    <s v="ORD00845"/>
    <x v="165"/>
    <s v="CUST162"/>
    <s v="Anjali"/>
    <x v="1"/>
    <x v="26"/>
    <x v="9"/>
    <x v="0"/>
    <x v="9"/>
    <x v="6"/>
    <n v="5"/>
    <n v="15722"/>
    <n v="20"/>
    <n v="15722"/>
    <n v="11319.84"/>
    <n v="333"/>
    <n v="74207.839999999997"/>
    <n v="74540.84"/>
    <x v="3"/>
    <x v="0"/>
    <s v="Bangalore"/>
    <x v="3"/>
    <x v="2"/>
    <n v="7"/>
    <x v="0"/>
    <n v="3"/>
    <x v="0"/>
  </r>
  <r>
    <s v="ORD00846"/>
    <x v="50"/>
    <s v="CUST459"/>
    <s v="Sneha"/>
    <x v="0"/>
    <x v="33"/>
    <x v="0"/>
    <x v="0"/>
    <x v="0"/>
    <x v="9"/>
    <n v="4"/>
    <n v="48345"/>
    <n v="5"/>
    <n v="9669"/>
    <n v="33067.980000000003"/>
    <n v="107"/>
    <n v="216778.98"/>
    <n v="216885.98"/>
    <x v="1"/>
    <x v="1"/>
    <s v="Mumbai"/>
    <x v="0"/>
    <x v="0"/>
    <n v="9"/>
    <x v="0"/>
    <n v="3"/>
    <x v="1"/>
  </r>
  <r>
    <s v="ORD00847"/>
    <x v="84"/>
    <s v="CUST499"/>
    <s v="Amit"/>
    <x v="1"/>
    <x v="22"/>
    <x v="4"/>
    <x v="0"/>
    <x v="4"/>
    <x v="9"/>
    <n v="2"/>
    <n v="32961"/>
    <n v="0"/>
    <n v="0"/>
    <n v="11865.96"/>
    <n v="103"/>
    <n v="77787.960000000006"/>
    <n v="77890.960000000006"/>
    <x v="3"/>
    <x v="0"/>
    <s v="Delhi"/>
    <x v="5"/>
    <x v="1"/>
    <n v="8"/>
    <x v="0"/>
    <n v="1"/>
    <x v="1"/>
  </r>
  <r>
    <s v="ORD00848"/>
    <x v="71"/>
    <s v="CUST891"/>
    <s v="Arjun"/>
    <x v="1"/>
    <x v="15"/>
    <x v="7"/>
    <x v="1"/>
    <x v="7"/>
    <x v="0"/>
    <n v="3"/>
    <n v="20711"/>
    <n v="20"/>
    <n v="12426.6"/>
    <n v="8947.15"/>
    <n v="216"/>
    <n v="58653.55"/>
    <n v="58869.55"/>
    <x v="0"/>
    <x v="1"/>
    <s v="Mumbai"/>
    <x v="0"/>
    <x v="0"/>
    <n v="5"/>
    <x v="1"/>
    <n v="5"/>
    <x v="3"/>
  </r>
  <r>
    <s v="ORD00849"/>
    <x v="71"/>
    <s v="CUST681"/>
    <s v="Priya"/>
    <x v="0"/>
    <x v="34"/>
    <x v="8"/>
    <x v="0"/>
    <x v="8"/>
    <x v="2"/>
    <n v="5"/>
    <n v="19707"/>
    <n v="10"/>
    <n v="9853.5"/>
    <n v="15962.67"/>
    <n v="346"/>
    <n v="104644.17"/>
    <n v="104990.17"/>
    <x v="3"/>
    <x v="1"/>
    <s v="Jaipur"/>
    <x v="2"/>
    <x v="1"/>
    <n v="4"/>
    <x v="1"/>
    <n v="1"/>
    <x v="1"/>
  </r>
  <r>
    <s v="ORD00850"/>
    <x v="223"/>
    <s v="CUST201"/>
    <s v="Sneha"/>
    <x v="1"/>
    <x v="1"/>
    <x v="3"/>
    <x v="2"/>
    <x v="3"/>
    <x v="9"/>
    <n v="1"/>
    <n v="37289"/>
    <n v="20"/>
    <n v="7457.8"/>
    <n v="5369.62"/>
    <n v="297"/>
    <n v="35200.82"/>
    <n v="35497.82"/>
    <x v="1"/>
    <x v="1"/>
    <s v="Bangalore"/>
    <x v="3"/>
    <x v="2"/>
    <n v="6"/>
    <x v="0"/>
    <n v="2"/>
    <x v="0"/>
  </r>
  <r>
    <s v="ORD00851"/>
    <x v="285"/>
    <s v="CUST356"/>
    <s v="Rahul"/>
    <x v="0"/>
    <x v="27"/>
    <x v="3"/>
    <x v="2"/>
    <x v="3"/>
    <x v="9"/>
    <n v="5"/>
    <n v="35009"/>
    <n v="0"/>
    <n v="0"/>
    <n v="31508.1"/>
    <n v="316"/>
    <n v="206553.1"/>
    <n v="206869.1"/>
    <x v="1"/>
    <x v="0"/>
    <s v="Pune"/>
    <x v="0"/>
    <x v="0"/>
    <n v="1"/>
    <x v="1"/>
    <n v="3"/>
    <x v="2"/>
  </r>
  <r>
    <s v="ORD00852"/>
    <x v="329"/>
    <s v="CUST495"/>
    <s v="Amit"/>
    <x v="0"/>
    <x v="18"/>
    <x v="8"/>
    <x v="0"/>
    <x v="8"/>
    <x v="8"/>
    <n v="3"/>
    <n v="26210"/>
    <n v="20"/>
    <n v="15726"/>
    <n v="11322.72"/>
    <n v="459"/>
    <n v="74226.720000000001"/>
    <n v="74685.72"/>
    <x v="3"/>
    <x v="0"/>
    <s v="Mumbai"/>
    <x v="0"/>
    <x v="0"/>
    <n v="2"/>
    <x v="0"/>
    <n v="1"/>
    <x v="1"/>
  </r>
  <r>
    <s v="ORD00853"/>
    <x v="184"/>
    <s v="CUST310"/>
    <s v="Vikas"/>
    <x v="0"/>
    <x v="34"/>
    <x v="2"/>
    <x v="1"/>
    <x v="2"/>
    <x v="0"/>
    <n v="4"/>
    <n v="13804"/>
    <n v="5"/>
    <n v="2760.8"/>
    <n v="9441.94"/>
    <n v="349"/>
    <n v="61897.14"/>
    <n v="62246.14"/>
    <x v="0"/>
    <x v="0"/>
    <s v="Patiala"/>
    <x v="1"/>
    <x v="1"/>
    <n v="7"/>
    <x v="1"/>
    <n v="5"/>
    <x v="1"/>
  </r>
  <r>
    <s v="ORD00854"/>
    <x v="330"/>
    <s v="CUST117"/>
    <s v="Karan"/>
    <x v="1"/>
    <x v="22"/>
    <x v="1"/>
    <x v="0"/>
    <x v="1"/>
    <x v="6"/>
    <n v="2"/>
    <n v="20640"/>
    <n v="0"/>
    <n v="0"/>
    <n v="7430.4"/>
    <n v="97"/>
    <n v="48710.400000000001"/>
    <n v="48807.4"/>
    <x v="1"/>
    <x v="0"/>
    <s v="Mumbai"/>
    <x v="0"/>
    <x v="0"/>
    <n v="6"/>
    <x v="1"/>
    <n v="1"/>
    <x v="1"/>
  </r>
  <r>
    <s v="ORD00855"/>
    <x v="133"/>
    <s v="CUST177"/>
    <s v="Rahul"/>
    <x v="1"/>
    <x v="25"/>
    <x v="3"/>
    <x v="2"/>
    <x v="3"/>
    <x v="0"/>
    <n v="4"/>
    <n v="32637"/>
    <n v="15"/>
    <n v="19582.2"/>
    <n v="19973.84"/>
    <n v="162"/>
    <n v="130939.64000000001"/>
    <n v="131101.64000000001"/>
    <x v="1"/>
    <x v="1"/>
    <s v="Patiala"/>
    <x v="1"/>
    <x v="1"/>
    <n v="3"/>
    <x v="0"/>
    <n v="4"/>
    <x v="3"/>
  </r>
  <r>
    <s v="ORD00856"/>
    <x v="290"/>
    <s v="CUST219"/>
    <s v="Anjali"/>
    <x v="0"/>
    <x v="3"/>
    <x v="3"/>
    <x v="2"/>
    <x v="3"/>
    <x v="4"/>
    <n v="5"/>
    <n v="30196"/>
    <n v="5"/>
    <n v="7549"/>
    <n v="25817.58"/>
    <n v="472"/>
    <n v="169248.58"/>
    <n v="169720.58"/>
    <x v="2"/>
    <x v="1"/>
    <s v="Patiala"/>
    <x v="1"/>
    <x v="1"/>
    <n v="6"/>
    <x v="0"/>
    <n v="1"/>
    <x v="1"/>
  </r>
  <r>
    <s v="ORD00857"/>
    <x v="112"/>
    <s v="CUST763"/>
    <s v="Anjali"/>
    <x v="1"/>
    <x v="42"/>
    <x v="6"/>
    <x v="0"/>
    <x v="6"/>
    <x v="8"/>
    <n v="2"/>
    <n v="22407"/>
    <n v="5"/>
    <n v="2240.6999999999998"/>
    <n v="7663.19"/>
    <n v="46"/>
    <n v="50236.49"/>
    <n v="50282.49"/>
    <x v="2"/>
    <x v="0"/>
    <s v="Lucknow"/>
    <x v="4"/>
    <x v="1"/>
    <n v="4"/>
    <x v="0"/>
    <n v="1"/>
    <x v="1"/>
  </r>
  <r>
    <s v="ORD00858"/>
    <x v="299"/>
    <s v="CUST418"/>
    <s v="Rahul"/>
    <x v="1"/>
    <x v="10"/>
    <x v="8"/>
    <x v="0"/>
    <x v="8"/>
    <x v="7"/>
    <n v="4"/>
    <n v="21850"/>
    <n v="15"/>
    <n v="13110"/>
    <n v="13372.2"/>
    <n v="303"/>
    <n v="87662.2"/>
    <n v="87965.2"/>
    <x v="1"/>
    <x v="0"/>
    <s v="Lucknow"/>
    <x v="4"/>
    <x v="1"/>
    <n v="9"/>
    <x v="1"/>
    <n v="3"/>
    <x v="3"/>
  </r>
  <r>
    <s v="ORD00859"/>
    <x v="56"/>
    <s v="CUST830"/>
    <s v="Riya"/>
    <x v="0"/>
    <x v="13"/>
    <x v="5"/>
    <x v="0"/>
    <x v="5"/>
    <x v="3"/>
    <n v="1"/>
    <n v="24965"/>
    <n v="20"/>
    <n v="4993"/>
    <n v="3594.96"/>
    <n v="431"/>
    <n v="23566.959999999999"/>
    <n v="23997.96"/>
    <x v="0"/>
    <x v="0"/>
    <s v="Patiala"/>
    <x v="1"/>
    <x v="1"/>
    <n v="1"/>
    <x v="1"/>
    <n v="1"/>
    <x v="0"/>
  </r>
  <r>
    <s v="ORD00860"/>
    <x v="95"/>
    <s v="CUST564"/>
    <s v="Sneha"/>
    <x v="1"/>
    <x v="35"/>
    <x v="8"/>
    <x v="0"/>
    <x v="8"/>
    <x v="8"/>
    <n v="2"/>
    <n v="44956"/>
    <n v="15"/>
    <n v="13486.8"/>
    <n v="13756.54"/>
    <n v="136"/>
    <n v="90181.74"/>
    <n v="90317.74"/>
    <x v="2"/>
    <x v="1"/>
    <s v="Mumbai"/>
    <x v="0"/>
    <x v="0"/>
    <n v="1"/>
    <x v="0"/>
    <n v="2"/>
    <x v="0"/>
  </r>
  <r>
    <s v="ORD00861"/>
    <x v="236"/>
    <s v="CUST312"/>
    <s v="Riya"/>
    <x v="0"/>
    <x v="24"/>
    <x v="5"/>
    <x v="0"/>
    <x v="5"/>
    <x v="0"/>
    <n v="3"/>
    <n v="42360"/>
    <n v="15"/>
    <n v="19062"/>
    <n v="19443.240000000002"/>
    <n v="46"/>
    <n v="127461.24"/>
    <n v="127507.24"/>
    <x v="1"/>
    <x v="0"/>
    <s v="Patiala"/>
    <x v="1"/>
    <x v="1"/>
    <n v="6"/>
    <x v="1"/>
    <n v="1"/>
    <x v="3"/>
  </r>
  <r>
    <s v="ORD00862"/>
    <x v="176"/>
    <s v="CUST246"/>
    <s v="Priya"/>
    <x v="1"/>
    <x v="38"/>
    <x v="7"/>
    <x v="1"/>
    <x v="7"/>
    <x v="2"/>
    <n v="2"/>
    <n v="26834"/>
    <n v="20"/>
    <n v="10733.6"/>
    <n v="7728.19"/>
    <n v="488"/>
    <n v="50662.59"/>
    <n v="51150.59"/>
    <x v="2"/>
    <x v="0"/>
    <s v="Mumbai"/>
    <x v="0"/>
    <x v="0"/>
    <n v="8"/>
    <x v="1"/>
    <n v="4"/>
    <x v="3"/>
  </r>
  <r>
    <s v="ORD00863"/>
    <x v="57"/>
    <s v="CUST635"/>
    <s v="Riya"/>
    <x v="1"/>
    <x v="7"/>
    <x v="1"/>
    <x v="0"/>
    <x v="1"/>
    <x v="0"/>
    <n v="4"/>
    <n v="43417"/>
    <n v="20"/>
    <n v="34733.599999999999"/>
    <n v="25008.19"/>
    <n v="360"/>
    <n v="163942.59"/>
    <n v="164302.59"/>
    <x v="0"/>
    <x v="1"/>
    <s v="Mumbai"/>
    <x v="0"/>
    <x v="0"/>
    <n v="5"/>
    <x v="0"/>
    <n v="1"/>
    <x v="3"/>
  </r>
  <r>
    <s v="ORD00864"/>
    <x v="317"/>
    <s v="CUST293"/>
    <s v="Anjali"/>
    <x v="0"/>
    <x v="30"/>
    <x v="3"/>
    <x v="2"/>
    <x v="3"/>
    <x v="4"/>
    <n v="5"/>
    <n v="36728"/>
    <n v="10"/>
    <n v="18364"/>
    <n v="29749.68"/>
    <n v="119"/>
    <n v="195025.68"/>
    <n v="195144.68"/>
    <x v="2"/>
    <x v="1"/>
    <s v="Delhi"/>
    <x v="5"/>
    <x v="1"/>
    <n v="1"/>
    <x v="1"/>
    <n v="4"/>
    <x v="0"/>
  </r>
  <r>
    <s v="ORD00865"/>
    <x v="236"/>
    <s v="CUST482"/>
    <s v="Anjali"/>
    <x v="0"/>
    <x v="10"/>
    <x v="6"/>
    <x v="0"/>
    <x v="6"/>
    <x v="7"/>
    <n v="1"/>
    <n v="41533"/>
    <n v="0"/>
    <n v="0"/>
    <n v="7475.94"/>
    <n v="229"/>
    <n v="49008.94"/>
    <n v="49237.94"/>
    <x v="3"/>
    <x v="0"/>
    <s v="Pune"/>
    <x v="0"/>
    <x v="0"/>
    <n v="2"/>
    <x v="1"/>
    <n v="5"/>
    <x v="3"/>
  </r>
  <r>
    <s v="ORD00866"/>
    <x v="26"/>
    <s v="CUST379"/>
    <s v="Rahul"/>
    <x v="0"/>
    <x v="14"/>
    <x v="5"/>
    <x v="0"/>
    <x v="5"/>
    <x v="6"/>
    <n v="5"/>
    <n v="30419"/>
    <n v="10"/>
    <n v="15209.5"/>
    <n v="24639.39"/>
    <n v="45"/>
    <n v="161524.89000000001"/>
    <n v="161569.89000000001"/>
    <x v="1"/>
    <x v="0"/>
    <s v="Pune"/>
    <x v="0"/>
    <x v="0"/>
    <n v="3"/>
    <x v="0"/>
    <n v="4"/>
    <x v="3"/>
  </r>
  <r>
    <s v="ORD00867"/>
    <x v="310"/>
    <s v="CUST366"/>
    <s v="Sneha"/>
    <x v="1"/>
    <x v="35"/>
    <x v="4"/>
    <x v="0"/>
    <x v="4"/>
    <x v="5"/>
    <n v="3"/>
    <n v="41505"/>
    <n v="20"/>
    <n v="24903"/>
    <n v="17930.16"/>
    <n v="297"/>
    <n v="117542.16"/>
    <n v="117839.16"/>
    <x v="0"/>
    <x v="1"/>
    <s v="Mumbai"/>
    <x v="0"/>
    <x v="0"/>
    <n v="1"/>
    <x v="0"/>
    <n v="3"/>
    <x v="0"/>
  </r>
  <r>
    <s v="ORD00868"/>
    <x v="195"/>
    <s v="CUST770"/>
    <s v="Neha"/>
    <x v="0"/>
    <x v="34"/>
    <x v="2"/>
    <x v="1"/>
    <x v="2"/>
    <x v="0"/>
    <n v="3"/>
    <n v="5310"/>
    <n v="10"/>
    <n v="1593"/>
    <n v="2580.66"/>
    <n v="400"/>
    <n v="16917.66"/>
    <n v="17317.66"/>
    <x v="0"/>
    <x v="1"/>
    <s v="Delhi"/>
    <x v="5"/>
    <x v="1"/>
    <n v="6"/>
    <x v="0"/>
    <n v="5"/>
    <x v="1"/>
  </r>
  <r>
    <s v="ORD00869"/>
    <x v="252"/>
    <s v="CUST580"/>
    <s v="Anjali"/>
    <x v="1"/>
    <x v="8"/>
    <x v="8"/>
    <x v="0"/>
    <x v="8"/>
    <x v="8"/>
    <n v="4"/>
    <n v="14528"/>
    <n v="20"/>
    <n v="11622.4"/>
    <n v="8368.1299999999992"/>
    <n v="121"/>
    <n v="54857.73"/>
    <n v="54978.73"/>
    <x v="1"/>
    <x v="0"/>
    <s v="Chandigarh"/>
    <x v="1"/>
    <x v="1"/>
    <n v="7"/>
    <x v="0"/>
    <n v="5"/>
    <x v="2"/>
  </r>
  <r>
    <s v="ORD00870"/>
    <x v="122"/>
    <s v="CUST103"/>
    <s v="Priya"/>
    <x v="1"/>
    <x v="36"/>
    <x v="7"/>
    <x v="1"/>
    <x v="7"/>
    <x v="8"/>
    <n v="4"/>
    <n v="29992"/>
    <n v="5"/>
    <n v="5998.4"/>
    <n v="20514.53"/>
    <n v="338"/>
    <n v="134484.13"/>
    <n v="134822.13"/>
    <x v="3"/>
    <x v="1"/>
    <s v="Patiala"/>
    <x v="1"/>
    <x v="1"/>
    <n v="4"/>
    <x v="1"/>
    <n v="2"/>
    <x v="2"/>
  </r>
  <r>
    <s v="ORD00871"/>
    <x v="6"/>
    <s v="CUST210"/>
    <s v="Arjun"/>
    <x v="0"/>
    <x v="6"/>
    <x v="1"/>
    <x v="0"/>
    <x v="1"/>
    <x v="8"/>
    <n v="4"/>
    <n v="29117"/>
    <n v="15"/>
    <n v="17470.2"/>
    <n v="17819.599999999999"/>
    <n v="300"/>
    <n v="116817.4"/>
    <n v="117117.4"/>
    <x v="1"/>
    <x v="0"/>
    <s v="Pune"/>
    <x v="0"/>
    <x v="0"/>
    <n v="9"/>
    <x v="0"/>
    <n v="5"/>
    <x v="2"/>
  </r>
  <r>
    <s v="ORD00872"/>
    <x v="96"/>
    <s v="CUST685"/>
    <s v="Rahul"/>
    <x v="0"/>
    <x v="8"/>
    <x v="1"/>
    <x v="0"/>
    <x v="1"/>
    <x v="0"/>
    <n v="1"/>
    <n v="6441"/>
    <n v="20"/>
    <n v="1288.2"/>
    <n v="927.5"/>
    <n v="124"/>
    <n v="6080.3"/>
    <n v="6204.3"/>
    <x v="1"/>
    <x v="0"/>
    <s v="Jaipur"/>
    <x v="2"/>
    <x v="1"/>
    <n v="7"/>
    <x v="0"/>
    <n v="3"/>
    <x v="3"/>
  </r>
  <r>
    <s v="ORD00873"/>
    <x v="112"/>
    <s v="CUST376"/>
    <s v="Vikas"/>
    <x v="0"/>
    <x v="10"/>
    <x v="3"/>
    <x v="2"/>
    <x v="3"/>
    <x v="6"/>
    <n v="3"/>
    <n v="23228"/>
    <n v="15"/>
    <n v="10452.6"/>
    <n v="10661.65"/>
    <n v="74"/>
    <n v="69893.05"/>
    <n v="69967.05"/>
    <x v="2"/>
    <x v="1"/>
    <s v="Bangalore"/>
    <x v="3"/>
    <x v="2"/>
    <n v="4"/>
    <x v="1"/>
    <n v="2"/>
    <x v="1"/>
  </r>
  <r>
    <s v="ORD00874"/>
    <x v="301"/>
    <s v="CUST528"/>
    <s v="Karan"/>
    <x v="0"/>
    <x v="27"/>
    <x v="0"/>
    <x v="0"/>
    <x v="0"/>
    <x v="2"/>
    <n v="5"/>
    <n v="13705"/>
    <n v="20"/>
    <n v="13705"/>
    <n v="9867.6"/>
    <n v="26"/>
    <n v="64687.6"/>
    <n v="64713.599999999999"/>
    <x v="0"/>
    <x v="0"/>
    <s v="Jaipur"/>
    <x v="2"/>
    <x v="1"/>
    <n v="4"/>
    <x v="1"/>
    <n v="3"/>
    <x v="3"/>
  </r>
  <r>
    <s v="ORD00875"/>
    <x v="331"/>
    <s v="CUST894"/>
    <s v="Neha"/>
    <x v="0"/>
    <x v="41"/>
    <x v="3"/>
    <x v="2"/>
    <x v="3"/>
    <x v="2"/>
    <n v="2"/>
    <n v="48561"/>
    <n v="20"/>
    <n v="19424.400000000001"/>
    <n v="13985.57"/>
    <n v="179"/>
    <n v="91683.17"/>
    <n v="91862.17"/>
    <x v="1"/>
    <x v="0"/>
    <s v="Bangalore"/>
    <x v="3"/>
    <x v="2"/>
    <n v="1"/>
    <x v="1"/>
    <n v="2"/>
    <x v="2"/>
  </r>
  <r>
    <s v="ORD00876"/>
    <x v="305"/>
    <s v="CUST458"/>
    <s v="Anjali"/>
    <x v="1"/>
    <x v="6"/>
    <x v="2"/>
    <x v="1"/>
    <x v="2"/>
    <x v="7"/>
    <n v="2"/>
    <n v="17048"/>
    <n v="10"/>
    <n v="3409.6"/>
    <n v="5523.55"/>
    <n v="126"/>
    <n v="36209.949999999997"/>
    <n v="36335.949999999997"/>
    <x v="0"/>
    <x v="1"/>
    <s v="Jaipur"/>
    <x v="2"/>
    <x v="1"/>
    <n v="6"/>
    <x v="0"/>
    <n v="2"/>
    <x v="0"/>
  </r>
  <r>
    <s v="ORD00877"/>
    <x v="172"/>
    <s v="CUST929"/>
    <s v="Priya"/>
    <x v="0"/>
    <x v="14"/>
    <x v="1"/>
    <x v="0"/>
    <x v="1"/>
    <x v="7"/>
    <n v="2"/>
    <n v="46981"/>
    <n v="0"/>
    <n v="0"/>
    <n v="16913.16"/>
    <n v="252"/>
    <n v="110875.16"/>
    <n v="111127.16"/>
    <x v="3"/>
    <x v="0"/>
    <s v="Mumbai"/>
    <x v="0"/>
    <x v="0"/>
    <n v="4"/>
    <x v="1"/>
    <n v="1"/>
    <x v="0"/>
  </r>
  <r>
    <s v="ORD00878"/>
    <x v="206"/>
    <s v="CUST537"/>
    <s v="Sneha"/>
    <x v="0"/>
    <x v="22"/>
    <x v="4"/>
    <x v="0"/>
    <x v="4"/>
    <x v="7"/>
    <n v="3"/>
    <n v="42665"/>
    <n v="10"/>
    <n v="12799.5"/>
    <n v="20735.189999999999"/>
    <n v="452"/>
    <n v="135930.69"/>
    <n v="136382.69"/>
    <x v="0"/>
    <x v="1"/>
    <s v="Delhi"/>
    <x v="5"/>
    <x v="1"/>
    <n v="1"/>
    <x v="0"/>
    <n v="3"/>
    <x v="2"/>
  </r>
  <r>
    <s v="ORD00879"/>
    <x v="216"/>
    <s v="CUST419"/>
    <s v="Sneha"/>
    <x v="0"/>
    <x v="5"/>
    <x v="4"/>
    <x v="0"/>
    <x v="4"/>
    <x v="8"/>
    <n v="3"/>
    <n v="33362"/>
    <n v="0"/>
    <n v="0"/>
    <n v="18015.48"/>
    <n v="429"/>
    <n v="118101.48"/>
    <n v="118530.48"/>
    <x v="0"/>
    <x v="1"/>
    <s v="Lucknow"/>
    <x v="4"/>
    <x v="1"/>
    <n v="1"/>
    <x v="0"/>
    <n v="2"/>
    <x v="1"/>
  </r>
  <r>
    <s v="ORD00880"/>
    <x v="239"/>
    <s v="CUST510"/>
    <s v="Riya"/>
    <x v="0"/>
    <x v="1"/>
    <x v="8"/>
    <x v="0"/>
    <x v="8"/>
    <x v="4"/>
    <n v="1"/>
    <n v="4860"/>
    <n v="10"/>
    <n v="486"/>
    <n v="787.32"/>
    <n v="245"/>
    <n v="5161.32"/>
    <n v="5406.32"/>
    <x v="0"/>
    <x v="1"/>
    <s v="Delhi"/>
    <x v="5"/>
    <x v="1"/>
    <n v="9"/>
    <x v="1"/>
    <n v="5"/>
    <x v="2"/>
  </r>
  <r>
    <s v="ORD00881"/>
    <x v="1"/>
    <s v="CUST979"/>
    <s v="Rahul"/>
    <x v="1"/>
    <x v="36"/>
    <x v="0"/>
    <x v="0"/>
    <x v="0"/>
    <x v="9"/>
    <n v="3"/>
    <n v="39078"/>
    <n v="15"/>
    <n v="17585.099999999999"/>
    <n v="17936.8"/>
    <n v="64"/>
    <n v="117585.7"/>
    <n v="117649.7"/>
    <x v="2"/>
    <x v="1"/>
    <s v="Pune"/>
    <x v="0"/>
    <x v="0"/>
    <n v="7"/>
    <x v="0"/>
    <n v="1"/>
    <x v="3"/>
  </r>
  <r>
    <s v="ORD00882"/>
    <x v="290"/>
    <s v="CUST999"/>
    <s v="Neha"/>
    <x v="1"/>
    <x v="25"/>
    <x v="7"/>
    <x v="1"/>
    <x v="7"/>
    <x v="1"/>
    <n v="5"/>
    <n v="5258"/>
    <n v="15"/>
    <n v="3943.5"/>
    <n v="4022.37"/>
    <n v="359"/>
    <n v="26368.87"/>
    <n v="26727.87"/>
    <x v="0"/>
    <x v="1"/>
    <s v="Patiala"/>
    <x v="1"/>
    <x v="1"/>
    <n v="10"/>
    <x v="0"/>
    <n v="2"/>
    <x v="2"/>
  </r>
  <r>
    <s v="ORD00883"/>
    <x v="319"/>
    <s v="CUST321"/>
    <s v="Priya"/>
    <x v="0"/>
    <x v="13"/>
    <x v="1"/>
    <x v="0"/>
    <x v="1"/>
    <x v="0"/>
    <n v="5"/>
    <n v="13845"/>
    <n v="15"/>
    <n v="10383.75"/>
    <n v="10591.42"/>
    <n v="169"/>
    <n v="69432.679999999993"/>
    <n v="69601.679999999993"/>
    <x v="2"/>
    <x v="1"/>
    <s v="Pune"/>
    <x v="0"/>
    <x v="0"/>
    <n v="10"/>
    <x v="0"/>
    <n v="5"/>
    <x v="1"/>
  </r>
  <r>
    <s v="ORD00884"/>
    <x v="65"/>
    <s v="CUST575"/>
    <s v="Karan"/>
    <x v="0"/>
    <x v="11"/>
    <x v="0"/>
    <x v="0"/>
    <x v="0"/>
    <x v="6"/>
    <n v="3"/>
    <n v="39216"/>
    <n v="20"/>
    <n v="23529.599999999999"/>
    <n v="16941.310000000001"/>
    <n v="13"/>
    <n v="111059.71"/>
    <n v="111072.71"/>
    <x v="0"/>
    <x v="1"/>
    <s v="Delhi"/>
    <x v="5"/>
    <x v="1"/>
    <n v="1"/>
    <x v="1"/>
    <n v="4"/>
    <x v="0"/>
  </r>
  <r>
    <s v="ORD00885"/>
    <x v="141"/>
    <s v="CUST250"/>
    <s v="Neha"/>
    <x v="1"/>
    <x v="32"/>
    <x v="2"/>
    <x v="1"/>
    <x v="2"/>
    <x v="3"/>
    <n v="5"/>
    <n v="21764"/>
    <n v="20"/>
    <n v="21764"/>
    <n v="15670.08"/>
    <n v="260"/>
    <n v="102726.08"/>
    <n v="102986.08"/>
    <x v="2"/>
    <x v="0"/>
    <s v="Patiala"/>
    <x v="1"/>
    <x v="1"/>
    <n v="2"/>
    <x v="1"/>
    <n v="4"/>
    <x v="0"/>
  </r>
  <r>
    <s v="ORD00886"/>
    <x v="88"/>
    <s v="CUST916"/>
    <s v="Priya"/>
    <x v="0"/>
    <x v="42"/>
    <x v="9"/>
    <x v="0"/>
    <x v="9"/>
    <x v="2"/>
    <n v="1"/>
    <n v="35662"/>
    <n v="20"/>
    <n v="7132.4"/>
    <n v="5135.33"/>
    <n v="390"/>
    <n v="33664.93"/>
    <n v="34054.93"/>
    <x v="0"/>
    <x v="1"/>
    <s v="Lucknow"/>
    <x v="4"/>
    <x v="1"/>
    <n v="5"/>
    <x v="1"/>
    <n v="3"/>
    <x v="1"/>
  </r>
  <r>
    <s v="ORD00887"/>
    <x v="22"/>
    <s v="CUST553"/>
    <s v="Anjali"/>
    <x v="0"/>
    <x v="33"/>
    <x v="9"/>
    <x v="0"/>
    <x v="9"/>
    <x v="7"/>
    <n v="2"/>
    <n v="32832"/>
    <n v="10"/>
    <n v="6566.4"/>
    <n v="10637.57"/>
    <n v="492"/>
    <n v="69735.17"/>
    <n v="70227.17"/>
    <x v="1"/>
    <x v="1"/>
    <s v="Delhi"/>
    <x v="5"/>
    <x v="1"/>
    <n v="3"/>
    <x v="1"/>
    <n v="4"/>
    <x v="0"/>
  </r>
  <r>
    <s v="ORD00888"/>
    <x v="128"/>
    <s v="CUST957"/>
    <s v="Anjali"/>
    <x v="1"/>
    <x v="12"/>
    <x v="9"/>
    <x v="0"/>
    <x v="9"/>
    <x v="2"/>
    <n v="5"/>
    <n v="42505"/>
    <n v="15"/>
    <n v="31878.75"/>
    <n v="32516.32"/>
    <n v="414"/>
    <n v="213162.58"/>
    <n v="213576.58"/>
    <x v="1"/>
    <x v="0"/>
    <s v="Mumbai"/>
    <x v="0"/>
    <x v="0"/>
    <n v="7"/>
    <x v="0"/>
    <n v="2"/>
    <x v="1"/>
  </r>
  <r>
    <s v="ORD00889"/>
    <x v="149"/>
    <s v="CUST179"/>
    <s v="Neha"/>
    <x v="0"/>
    <x v="23"/>
    <x v="0"/>
    <x v="0"/>
    <x v="0"/>
    <x v="5"/>
    <n v="4"/>
    <n v="42685"/>
    <n v="20"/>
    <n v="34148"/>
    <n v="24586.560000000001"/>
    <n v="281"/>
    <n v="161178.56"/>
    <n v="161459.56"/>
    <x v="2"/>
    <x v="0"/>
    <s v="Patiala"/>
    <x v="1"/>
    <x v="1"/>
    <n v="4"/>
    <x v="1"/>
    <n v="4"/>
    <x v="0"/>
  </r>
  <r>
    <s v="ORD00890"/>
    <x v="244"/>
    <s v="CUST935"/>
    <s v="Rahul"/>
    <x v="0"/>
    <x v="5"/>
    <x v="6"/>
    <x v="0"/>
    <x v="6"/>
    <x v="8"/>
    <n v="4"/>
    <n v="38588"/>
    <n v="5"/>
    <n v="7717.6"/>
    <n v="26394.19"/>
    <n v="304"/>
    <n v="173028.59"/>
    <n v="173332.59"/>
    <x v="1"/>
    <x v="0"/>
    <s v="Jaipur"/>
    <x v="2"/>
    <x v="1"/>
    <n v="10"/>
    <x v="1"/>
    <n v="3"/>
    <x v="2"/>
  </r>
  <r>
    <s v="ORD00891"/>
    <x v="324"/>
    <s v="CUST512"/>
    <s v="Priya"/>
    <x v="1"/>
    <x v="29"/>
    <x v="1"/>
    <x v="0"/>
    <x v="1"/>
    <x v="2"/>
    <n v="4"/>
    <n v="13547"/>
    <n v="15"/>
    <n v="8128.2"/>
    <n v="8290.76"/>
    <n v="303"/>
    <n v="54350.559999999998"/>
    <n v="54653.56"/>
    <x v="0"/>
    <x v="0"/>
    <s v="Delhi"/>
    <x v="5"/>
    <x v="1"/>
    <n v="3"/>
    <x v="1"/>
    <n v="4"/>
    <x v="0"/>
  </r>
  <r>
    <s v="ORD00892"/>
    <x v="58"/>
    <s v="CUST271"/>
    <s v="Rahul"/>
    <x v="1"/>
    <x v="27"/>
    <x v="7"/>
    <x v="1"/>
    <x v="7"/>
    <x v="2"/>
    <n v="3"/>
    <n v="21239"/>
    <n v="0"/>
    <n v="0"/>
    <n v="11469.06"/>
    <n v="442"/>
    <n v="75186.06"/>
    <n v="75628.06"/>
    <x v="1"/>
    <x v="0"/>
    <s v="Jaipur"/>
    <x v="2"/>
    <x v="1"/>
    <n v="2"/>
    <x v="1"/>
    <n v="3"/>
    <x v="3"/>
  </r>
  <r>
    <s v="ORD00893"/>
    <x v="205"/>
    <s v="CUST485"/>
    <s v="Riya"/>
    <x v="1"/>
    <x v="13"/>
    <x v="1"/>
    <x v="0"/>
    <x v="1"/>
    <x v="1"/>
    <n v="5"/>
    <n v="29270"/>
    <n v="5"/>
    <n v="7317.5"/>
    <n v="25025.85"/>
    <n v="96"/>
    <n v="164058.35"/>
    <n v="164154.35"/>
    <x v="0"/>
    <x v="0"/>
    <s v="Chandigarh"/>
    <x v="1"/>
    <x v="1"/>
    <n v="3"/>
    <x v="1"/>
    <n v="5"/>
    <x v="2"/>
  </r>
  <r>
    <s v="ORD00894"/>
    <x v="269"/>
    <s v="CUST325"/>
    <s v="Neha"/>
    <x v="0"/>
    <x v="28"/>
    <x v="8"/>
    <x v="0"/>
    <x v="8"/>
    <x v="6"/>
    <n v="2"/>
    <n v="21419"/>
    <n v="5"/>
    <n v="2141.9"/>
    <n v="7325.3"/>
    <n v="117"/>
    <n v="48021.4"/>
    <n v="48138.400000000001"/>
    <x v="1"/>
    <x v="0"/>
    <s v="Patiala"/>
    <x v="1"/>
    <x v="1"/>
    <n v="4"/>
    <x v="0"/>
    <n v="5"/>
    <x v="2"/>
  </r>
  <r>
    <s v="ORD00895"/>
    <x v="218"/>
    <s v="CUST900"/>
    <s v="Rahul"/>
    <x v="1"/>
    <x v="8"/>
    <x v="2"/>
    <x v="1"/>
    <x v="2"/>
    <x v="4"/>
    <n v="1"/>
    <n v="49049"/>
    <n v="0"/>
    <n v="0"/>
    <n v="8828.82"/>
    <n v="224"/>
    <n v="57877.82"/>
    <n v="58101.82"/>
    <x v="1"/>
    <x v="1"/>
    <s v="Chandigarh"/>
    <x v="1"/>
    <x v="1"/>
    <n v="5"/>
    <x v="1"/>
    <n v="1"/>
    <x v="0"/>
  </r>
  <r>
    <s v="ORD00896"/>
    <x v="140"/>
    <s v="CUST908"/>
    <s v="Anjali"/>
    <x v="1"/>
    <x v="11"/>
    <x v="5"/>
    <x v="0"/>
    <x v="5"/>
    <x v="5"/>
    <n v="3"/>
    <n v="49307"/>
    <n v="5"/>
    <n v="7396.05"/>
    <n v="25294.49"/>
    <n v="113"/>
    <n v="165819.44"/>
    <n v="165932.44"/>
    <x v="2"/>
    <x v="0"/>
    <s v="Jaipur"/>
    <x v="2"/>
    <x v="1"/>
    <n v="8"/>
    <x v="0"/>
    <n v="3"/>
    <x v="0"/>
  </r>
  <r>
    <s v="ORD00897"/>
    <x v="265"/>
    <s v="CUST694"/>
    <s v="Neha"/>
    <x v="1"/>
    <x v="28"/>
    <x v="0"/>
    <x v="0"/>
    <x v="0"/>
    <x v="1"/>
    <n v="1"/>
    <n v="16899"/>
    <n v="15"/>
    <n v="2534.85"/>
    <n v="2585.5500000000002"/>
    <n v="2"/>
    <n v="16949.7"/>
    <n v="16951.7"/>
    <x v="2"/>
    <x v="0"/>
    <s v="Patiala"/>
    <x v="1"/>
    <x v="1"/>
    <n v="10"/>
    <x v="0"/>
    <n v="4"/>
    <x v="0"/>
  </r>
  <r>
    <s v="ORD00898"/>
    <x v="139"/>
    <s v="CUST546"/>
    <s v="Priya"/>
    <x v="1"/>
    <x v="18"/>
    <x v="7"/>
    <x v="1"/>
    <x v="7"/>
    <x v="2"/>
    <n v="3"/>
    <n v="48086"/>
    <n v="5"/>
    <n v="7212.9"/>
    <n v="24668.12"/>
    <n v="82"/>
    <n v="161713.22"/>
    <n v="161795.22"/>
    <x v="3"/>
    <x v="1"/>
    <s v="Pune"/>
    <x v="0"/>
    <x v="0"/>
    <n v="6"/>
    <x v="1"/>
    <n v="1"/>
    <x v="3"/>
  </r>
  <r>
    <s v="ORD00899"/>
    <x v="309"/>
    <s v="CUST804"/>
    <s v="Amit"/>
    <x v="1"/>
    <x v="22"/>
    <x v="6"/>
    <x v="0"/>
    <x v="6"/>
    <x v="6"/>
    <n v="2"/>
    <n v="39784"/>
    <n v="10"/>
    <n v="7956.8"/>
    <n v="12890.02"/>
    <n v="184"/>
    <n v="84501.22"/>
    <n v="84685.22"/>
    <x v="1"/>
    <x v="1"/>
    <s v="Pune"/>
    <x v="0"/>
    <x v="0"/>
    <n v="6"/>
    <x v="0"/>
    <n v="3"/>
    <x v="3"/>
  </r>
  <r>
    <s v="ORD00900"/>
    <x v="1"/>
    <s v="CUST294"/>
    <s v="Neha"/>
    <x v="0"/>
    <x v="9"/>
    <x v="8"/>
    <x v="0"/>
    <x v="8"/>
    <x v="7"/>
    <n v="1"/>
    <n v="17849"/>
    <n v="15"/>
    <n v="2677.35"/>
    <n v="2730.9"/>
    <n v="268"/>
    <n v="17902.55"/>
    <n v="18170.55"/>
    <x v="3"/>
    <x v="1"/>
    <s v="Pune"/>
    <x v="0"/>
    <x v="0"/>
    <n v="3"/>
    <x v="0"/>
    <n v="4"/>
    <x v="3"/>
  </r>
  <r>
    <s v="ORD00901"/>
    <x v="53"/>
    <s v="CUST345"/>
    <s v="Neha"/>
    <x v="0"/>
    <x v="3"/>
    <x v="2"/>
    <x v="1"/>
    <x v="2"/>
    <x v="5"/>
    <n v="4"/>
    <n v="22659"/>
    <n v="15"/>
    <n v="13595.4"/>
    <n v="13867.31"/>
    <n v="374"/>
    <n v="90907.91"/>
    <n v="91281.91"/>
    <x v="0"/>
    <x v="0"/>
    <s v="Chandigarh"/>
    <x v="1"/>
    <x v="1"/>
    <n v="6"/>
    <x v="1"/>
    <n v="5"/>
    <x v="3"/>
  </r>
  <r>
    <s v="ORD00902"/>
    <x v="220"/>
    <s v="CUST943"/>
    <s v="Amit"/>
    <x v="0"/>
    <x v="8"/>
    <x v="5"/>
    <x v="0"/>
    <x v="5"/>
    <x v="0"/>
    <n v="4"/>
    <n v="34273"/>
    <n v="0"/>
    <n v="0"/>
    <n v="24676.560000000001"/>
    <n v="420"/>
    <n v="161768.56"/>
    <n v="162188.56"/>
    <x v="3"/>
    <x v="1"/>
    <s v="Bangalore"/>
    <x v="3"/>
    <x v="2"/>
    <n v="10"/>
    <x v="1"/>
    <n v="2"/>
    <x v="1"/>
  </r>
  <r>
    <s v="ORD00903"/>
    <x v="209"/>
    <s v="CUST120"/>
    <s v="Riya"/>
    <x v="1"/>
    <x v="33"/>
    <x v="2"/>
    <x v="1"/>
    <x v="2"/>
    <x v="0"/>
    <n v="1"/>
    <n v="5894"/>
    <n v="20"/>
    <n v="1178.8"/>
    <n v="848.74"/>
    <n v="203"/>
    <n v="5563.94"/>
    <n v="5766.94"/>
    <x v="2"/>
    <x v="1"/>
    <s v="Delhi"/>
    <x v="5"/>
    <x v="1"/>
    <n v="10"/>
    <x v="0"/>
    <n v="2"/>
    <x v="0"/>
  </r>
  <r>
    <s v="ORD00904"/>
    <x v="290"/>
    <s v="CUST702"/>
    <s v="Amit"/>
    <x v="1"/>
    <x v="27"/>
    <x v="1"/>
    <x v="0"/>
    <x v="1"/>
    <x v="1"/>
    <n v="5"/>
    <n v="31840"/>
    <n v="20"/>
    <n v="31840"/>
    <n v="22924.799999999999"/>
    <n v="434"/>
    <n v="150284.79999999999"/>
    <n v="150718.79999999999"/>
    <x v="2"/>
    <x v="0"/>
    <s v="Jaipur"/>
    <x v="2"/>
    <x v="1"/>
    <n v="7"/>
    <x v="0"/>
    <n v="1"/>
    <x v="1"/>
  </r>
  <r>
    <s v="ORD00905"/>
    <x v="260"/>
    <s v="CUST703"/>
    <s v="Amit"/>
    <x v="1"/>
    <x v="21"/>
    <x v="3"/>
    <x v="2"/>
    <x v="3"/>
    <x v="0"/>
    <n v="1"/>
    <n v="3751"/>
    <n v="10"/>
    <n v="375.1"/>
    <n v="607.66"/>
    <n v="21"/>
    <n v="3983.56"/>
    <n v="4004.56"/>
    <x v="2"/>
    <x v="1"/>
    <s v="Lucknow"/>
    <x v="4"/>
    <x v="1"/>
    <n v="6"/>
    <x v="1"/>
    <n v="5"/>
    <x v="0"/>
  </r>
  <r>
    <s v="ORD00906"/>
    <x v="10"/>
    <s v="CUST344"/>
    <s v="Neha"/>
    <x v="0"/>
    <x v="20"/>
    <x v="0"/>
    <x v="0"/>
    <x v="0"/>
    <x v="2"/>
    <n v="1"/>
    <n v="9225"/>
    <n v="5"/>
    <n v="461.25"/>
    <n v="1577.47"/>
    <n v="455"/>
    <n v="10341.23"/>
    <n v="10796.23"/>
    <x v="0"/>
    <x v="0"/>
    <s v="Lucknow"/>
    <x v="4"/>
    <x v="1"/>
    <n v="1"/>
    <x v="1"/>
    <n v="3"/>
    <x v="3"/>
  </r>
  <r>
    <s v="ORD00907"/>
    <x v="169"/>
    <s v="CUST917"/>
    <s v="Riya"/>
    <x v="1"/>
    <x v="21"/>
    <x v="8"/>
    <x v="0"/>
    <x v="8"/>
    <x v="5"/>
    <n v="1"/>
    <n v="6372"/>
    <n v="0"/>
    <n v="0"/>
    <n v="1146.96"/>
    <n v="422"/>
    <n v="7518.96"/>
    <n v="7940.96"/>
    <x v="2"/>
    <x v="0"/>
    <s v="Pune"/>
    <x v="0"/>
    <x v="0"/>
    <n v="8"/>
    <x v="0"/>
    <n v="1"/>
    <x v="3"/>
  </r>
  <r>
    <s v="ORD00908"/>
    <x v="332"/>
    <s v="CUST853"/>
    <s v="Sneha"/>
    <x v="0"/>
    <x v="35"/>
    <x v="2"/>
    <x v="1"/>
    <x v="2"/>
    <x v="0"/>
    <n v="5"/>
    <n v="49982"/>
    <n v="10"/>
    <n v="24991"/>
    <n v="40485.42"/>
    <n v="205"/>
    <n v="265404.42"/>
    <n v="265609.42"/>
    <x v="1"/>
    <x v="1"/>
    <s v="Delhi"/>
    <x v="5"/>
    <x v="1"/>
    <n v="1"/>
    <x v="1"/>
    <n v="1"/>
    <x v="3"/>
  </r>
  <r>
    <s v="ORD00909"/>
    <x v="225"/>
    <s v="CUST948"/>
    <s v="Rahul"/>
    <x v="0"/>
    <x v="21"/>
    <x v="3"/>
    <x v="2"/>
    <x v="3"/>
    <x v="0"/>
    <n v="5"/>
    <n v="35237"/>
    <n v="10"/>
    <n v="17618.5"/>
    <n v="28541.97"/>
    <n v="14"/>
    <n v="187108.47"/>
    <n v="187122.47"/>
    <x v="1"/>
    <x v="1"/>
    <s v="Pune"/>
    <x v="0"/>
    <x v="0"/>
    <n v="1"/>
    <x v="1"/>
    <n v="4"/>
    <x v="1"/>
  </r>
  <r>
    <s v="ORD00910"/>
    <x v="123"/>
    <s v="CUST763"/>
    <s v="Arjun"/>
    <x v="1"/>
    <x v="25"/>
    <x v="2"/>
    <x v="1"/>
    <x v="2"/>
    <x v="7"/>
    <n v="4"/>
    <n v="26654"/>
    <n v="15"/>
    <n v="15992.4"/>
    <n v="16312.25"/>
    <n v="222"/>
    <n v="106935.85"/>
    <n v="107157.85"/>
    <x v="0"/>
    <x v="1"/>
    <s v="Mumbai"/>
    <x v="0"/>
    <x v="0"/>
    <n v="3"/>
    <x v="0"/>
    <n v="2"/>
    <x v="0"/>
  </r>
  <r>
    <s v="ORD00911"/>
    <x v="98"/>
    <s v="CUST287"/>
    <s v="Amit"/>
    <x v="0"/>
    <x v="10"/>
    <x v="8"/>
    <x v="0"/>
    <x v="8"/>
    <x v="5"/>
    <n v="3"/>
    <n v="12886"/>
    <n v="5"/>
    <n v="1932.9"/>
    <n v="6610.52"/>
    <n v="485"/>
    <n v="43335.62"/>
    <n v="43820.62"/>
    <x v="3"/>
    <x v="0"/>
    <s v="Chandigarh"/>
    <x v="1"/>
    <x v="1"/>
    <n v="2"/>
    <x v="1"/>
    <n v="3"/>
    <x v="2"/>
  </r>
  <r>
    <s v="ORD00912"/>
    <x v="106"/>
    <s v="CUST164"/>
    <s v="Riya"/>
    <x v="1"/>
    <x v="6"/>
    <x v="2"/>
    <x v="1"/>
    <x v="2"/>
    <x v="3"/>
    <n v="4"/>
    <n v="35630"/>
    <n v="15"/>
    <n v="21378"/>
    <n v="21805.56"/>
    <n v="107"/>
    <n v="142947.56"/>
    <n v="143054.56"/>
    <x v="1"/>
    <x v="1"/>
    <s v="Mumbai"/>
    <x v="0"/>
    <x v="0"/>
    <n v="3"/>
    <x v="0"/>
    <n v="1"/>
    <x v="1"/>
  </r>
  <r>
    <s v="ORD00913"/>
    <x v="70"/>
    <s v="CUST107"/>
    <s v="Neha"/>
    <x v="1"/>
    <x v="22"/>
    <x v="9"/>
    <x v="0"/>
    <x v="9"/>
    <x v="8"/>
    <n v="2"/>
    <n v="36760"/>
    <n v="20"/>
    <n v="14704"/>
    <n v="10586.88"/>
    <n v="454"/>
    <n v="69402.880000000005"/>
    <n v="69856.88"/>
    <x v="2"/>
    <x v="0"/>
    <s v="Chandigarh"/>
    <x v="1"/>
    <x v="1"/>
    <n v="8"/>
    <x v="1"/>
    <n v="2"/>
    <x v="3"/>
  </r>
  <r>
    <s v="ORD00914"/>
    <x v="233"/>
    <s v="CUST344"/>
    <s v="Riya"/>
    <x v="1"/>
    <x v="34"/>
    <x v="8"/>
    <x v="0"/>
    <x v="8"/>
    <x v="5"/>
    <n v="1"/>
    <n v="18286"/>
    <n v="20"/>
    <n v="3657.2"/>
    <n v="2633.18"/>
    <n v="99"/>
    <n v="17261.98"/>
    <n v="17360.98"/>
    <x v="2"/>
    <x v="0"/>
    <s v="Patiala"/>
    <x v="1"/>
    <x v="1"/>
    <n v="3"/>
    <x v="1"/>
    <n v="3"/>
    <x v="1"/>
  </r>
  <r>
    <s v="ORD00915"/>
    <x v="205"/>
    <s v="CUST605"/>
    <s v="Karan"/>
    <x v="0"/>
    <x v="7"/>
    <x v="2"/>
    <x v="1"/>
    <x v="2"/>
    <x v="0"/>
    <n v="2"/>
    <n v="25487"/>
    <n v="20"/>
    <n v="10194.799999999999"/>
    <n v="7340.26"/>
    <n v="126"/>
    <n v="48119.46"/>
    <n v="48245.46"/>
    <x v="0"/>
    <x v="1"/>
    <s v="Delhi"/>
    <x v="5"/>
    <x v="1"/>
    <n v="4"/>
    <x v="1"/>
    <n v="5"/>
    <x v="1"/>
  </r>
  <r>
    <s v="ORD00916"/>
    <x v="296"/>
    <s v="CUST763"/>
    <s v="Riya"/>
    <x v="1"/>
    <x v="12"/>
    <x v="4"/>
    <x v="0"/>
    <x v="4"/>
    <x v="3"/>
    <n v="3"/>
    <n v="3238"/>
    <n v="0"/>
    <n v="0"/>
    <n v="1748.52"/>
    <n v="121"/>
    <n v="11462.52"/>
    <n v="11583.52"/>
    <x v="2"/>
    <x v="0"/>
    <s v="Delhi"/>
    <x v="5"/>
    <x v="1"/>
    <n v="3"/>
    <x v="0"/>
    <n v="3"/>
    <x v="3"/>
  </r>
  <r>
    <s v="ORD00917"/>
    <x v="117"/>
    <s v="CUST223"/>
    <s v="Rahul"/>
    <x v="1"/>
    <x v="22"/>
    <x v="7"/>
    <x v="1"/>
    <x v="7"/>
    <x v="8"/>
    <n v="4"/>
    <n v="9369"/>
    <n v="5"/>
    <n v="1873.8"/>
    <n v="6408.4"/>
    <n v="483"/>
    <n v="42010.6"/>
    <n v="42493.599999999999"/>
    <x v="0"/>
    <x v="0"/>
    <s v="Bangalore"/>
    <x v="3"/>
    <x v="2"/>
    <n v="2"/>
    <x v="0"/>
    <n v="2"/>
    <x v="2"/>
  </r>
  <r>
    <s v="ORD00918"/>
    <x v="11"/>
    <s v="CUST283"/>
    <s v="Sneha"/>
    <x v="1"/>
    <x v="31"/>
    <x v="3"/>
    <x v="2"/>
    <x v="3"/>
    <x v="1"/>
    <n v="5"/>
    <n v="7487"/>
    <n v="20"/>
    <n v="7487"/>
    <n v="5390.64"/>
    <n v="492"/>
    <n v="35338.639999999999"/>
    <n v="35830.639999999999"/>
    <x v="3"/>
    <x v="0"/>
    <s v="Chandigarh"/>
    <x v="1"/>
    <x v="1"/>
    <n v="4"/>
    <x v="0"/>
    <n v="4"/>
    <x v="1"/>
  </r>
  <r>
    <s v="ORD00919"/>
    <x v="68"/>
    <s v="CUST652"/>
    <s v="Anjali"/>
    <x v="0"/>
    <x v="5"/>
    <x v="5"/>
    <x v="0"/>
    <x v="5"/>
    <x v="4"/>
    <n v="5"/>
    <n v="8615"/>
    <n v="5"/>
    <n v="2153.75"/>
    <n v="7365.82"/>
    <n v="143"/>
    <n v="48287.07"/>
    <n v="48430.07"/>
    <x v="2"/>
    <x v="0"/>
    <s v="Mumbai"/>
    <x v="0"/>
    <x v="0"/>
    <n v="7"/>
    <x v="0"/>
    <n v="5"/>
    <x v="0"/>
  </r>
  <r>
    <s v="ORD00920"/>
    <x v="169"/>
    <s v="CUST688"/>
    <s v="Amit"/>
    <x v="0"/>
    <x v="25"/>
    <x v="0"/>
    <x v="0"/>
    <x v="0"/>
    <x v="4"/>
    <n v="1"/>
    <n v="17074"/>
    <n v="15"/>
    <n v="2561.1"/>
    <n v="2612.3200000000002"/>
    <n v="197"/>
    <n v="17125.22"/>
    <n v="17322.22"/>
    <x v="3"/>
    <x v="1"/>
    <s v="Delhi"/>
    <x v="5"/>
    <x v="1"/>
    <n v="10"/>
    <x v="1"/>
    <n v="2"/>
    <x v="0"/>
  </r>
  <r>
    <s v="ORD00921"/>
    <x v="124"/>
    <s v="CUST454"/>
    <s v="Karan"/>
    <x v="0"/>
    <x v="4"/>
    <x v="6"/>
    <x v="0"/>
    <x v="6"/>
    <x v="4"/>
    <n v="5"/>
    <n v="31555"/>
    <n v="0"/>
    <n v="0"/>
    <n v="28399.5"/>
    <n v="290"/>
    <n v="186174.5"/>
    <n v="186464.5"/>
    <x v="3"/>
    <x v="0"/>
    <s v="Jaipur"/>
    <x v="2"/>
    <x v="1"/>
    <n v="5"/>
    <x v="1"/>
    <n v="2"/>
    <x v="0"/>
  </r>
  <r>
    <s v="ORD00922"/>
    <x v="71"/>
    <s v="CUST251"/>
    <s v="Sneha"/>
    <x v="1"/>
    <x v="5"/>
    <x v="5"/>
    <x v="0"/>
    <x v="5"/>
    <x v="8"/>
    <n v="2"/>
    <n v="36468"/>
    <n v="10"/>
    <n v="7293.6"/>
    <n v="11815.63"/>
    <n v="106"/>
    <n v="77458.03"/>
    <n v="77564.03"/>
    <x v="0"/>
    <x v="1"/>
    <s v="Lucknow"/>
    <x v="4"/>
    <x v="1"/>
    <n v="7"/>
    <x v="0"/>
    <n v="1"/>
    <x v="0"/>
  </r>
  <r>
    <s v="ORD00923"/>
    <x v="266"/>
    <s v="CUST613"/>
    <s v="Neha"/>
    <x v="0"/>
    <x v="11"/>
    <x v="7"/>
    <x v="1"/>
    <x v="7"/>
    <x v="7"/>
    <n v="1"/>
    <n v="17001"/>
    <n v="20"/>
    <n v="3400.2"/>
    <n v="2448.14"/>
    <n v="72"/>
    <n v="16048.94"/>
    <n v="16120.94"/>
    <x v="2"/>
    <x v="0"/>
    <s v="Patiala"/>
    <x v="1"/>
    <x v="1"/>
    <n v="3"/>
    <x v="0"/>
    <n v="4"/>
    <x v="0"/>
  </r>
  <r>
    <s v="ORD00924"/>
    <x v="333"/>
    <s v="CUST764"/>
    <s v="Vikas"/>
    <x v="1"/>
    <x v="35"/>
    <x v="7"/>
    <x v="1"/>
    <x v="7"/>
    <x v="2"/>
    <n v="1"/>
    <n v="2091"/>
    <n v="10"/>
    <n v="209.1"/>
    <n v="338.74"/>
    <n v="95"/>
    <n v="2220.64"/>
    <n v="2315.64"/>
    <x v="1"/>
    <x v="1"/>
    <s v="Pune"/>
    <x v="0"/>
    <x v="0"/>
    <n v="4"/>
    <x v="1"/>
    <n v="4"/>
    <x v="2"/>
  </r>
  <r>
    <s v="ORD00925"/>
    <x v="299"/>
    <s v="CUST685"/>
    <s v="Riya"/>
    <x v="0"/>
    <x v="35"/>
    <x v="4"/>
    <x v="0"/>
    <x v="4"/>
    <x v="9"/>
    <n v="5"/>
    <n v="27061"/>
    <n v="15"/>
    <n v="20295.75"/>
    <n v="20701.669999999998"/>
    <n v="389"/>
    <n v="135710.92000000001"/>
    <n v="136099.92000000001"/>
    <x v="2"/>
    <x v="1"/>
    <s v="Jaipur"/>
    <x v="2"/>
    <x v="1"/>
    <n v="4"/>
    <x v="0"/>
    <n v="2"/>
    <x v="2"/>
  </r>
  <r>
    <s v="ORD00926"/>
    <x v="267"/>
    <s v="CUST300"/>
    <s v="Priya"/>
    <x v="0"/>
    <x v="0"/>
    <x v="4"/>
    <x v="0"/>
    <x v="4"/>
    <x v="5"/>
    <n v="3"/>
    <n v="9812"/>
    <n v="20"/>
    <n v="5887.2"/>
    <n v="4238.78"/>
    <n v="136"/>
    <n v="27787.58"/>
    <n v="27923.58"/>
    <x v="1"/>
    <x v="0"/>
    <s v="Delhi"/>
    <x v="5"/>
    <x v="1"/>
    <n v="5"/>
    <x v="1"/>
    <n v="5"/>
    <x v="2"/>
  </r>
  <r>
    <s v="ORD00927"/>
    <x v="103"/>
    <s v="CUST542"/>
    <s v="Arjun"/>
    <x v="0"/>
    <x v="19"/>
    <x v="8"/>
    <x v="0"/>
    <x v="8"/>
    <x v="1"/>
    <n v="2"/>
    <n v="42773"/>
    <n v="0"/>
    <n v="0"/>
    <n v="15398.28"/>
    <n v="254"/>
    <n v="100944.28"/>
    <n v="101198.28"/>
    <x v="1"/>
    <x v="0"/>
    <s v="Pune"/>
    <x v="0"/>
    <x v="0"/>
    <n v="3"/>
    <x v="1"/>
    <n v="2"/>
    <x v="2"/>
  </r>
  <r>
    <s v="ORD00928"/>
    <x v="304"/>
    <s v="CUST512"/>
    <s v="Priya"/>
    <x v="1"/>
    <x v="5"/>
    <x v="5"/>
    <x v="0"/>
    <x v="5"/>
    <x v="7"/>
    <n v="1"/>
    <n v="14852"/>
    <n v="15"/>
    <n v="2227.8000000000002"/>
    <n v="2272.36"/>
    <n v="109"/>
    <n v="14896.56"/>
    <n v="15005.56"/>
    <x v="3"/>
    <x v="1"/>
    <s v="Delhi"/>
    <x v="5"/>
    <x v="1"/>
    <n v="5"/>
    <x v="0"/>
    <n v="5"/>
    <x v="1"/>
  </r>
  <r>
    <s v="ORD00929"/>
    <x v="298"/>
    <s v="CUST876"/>
    <s v="Anjali"/>
    <x v="1"/>
    <x v="9"/>
    <x v="9"/>
    <x v="0"/>
    <x v="9"/>
    <x v="3"/>
    <n v="3"/>
    <n v="8496"/>
    <n v="15"/>
    <n v="3823.2"/>
    <n v="3899.66"/>
    <n v="138"/>
    <n v="25564.46"/>
    <n v="25702.46"/>
    <x v="0"/>
    <x v="0"/>
    <s v="Delhi"/>
    <x v="5"/>
    <x v="1"/>
    <n v="9"/>
    <x v="0"/>
    <n v="3"/>
    <x v="3"/>
  </r>
  <r>
    <s v="ORD00930"/>
    <x v="250"/>
    <s v="CUST222"/>
    <s v="Anjali"/>
    <x v="1"/>
    <x v="34"/>
    <x v="9"/>
    <x v="0"/>
    <x v="9"/>
    <x v="2"/>
    <n v="3"/>
    <n v="8963"/>
    <n v="20"/>
    <n v="5377.8"/>
    <n v="3872.02"/>
    <n v="168"/>
    <n v="25383.22"/>
    <n v="25551.22"/>
    <x v="1"/>
    <x v="0"/>
    <s v="Delhi"/>
    <x v="5"/>
    <x v="1"/>
    <n v="8"/>
    <x v="1"/>
    <n v="1"/>
    <x v="3"/>
  </r>
  <r>
    <s v="ORD00931"/>
    <x v="129"/>
    <s v="CUST108"/>
    <s v="Sneha"/>
    <x v="1"/>
    <x v="39"/>
    <x v="4"/>
    <x v="0"/>
    <x v="4"/>
    <x v="3"/>
    <n v="5"/>
    <n v="13929"/>
    <n v="0"/>
    <n v="0"/>
    <n v="12536.1"/>
    <n v="429"/>
    <n v="82181.100000000006"/>
    <n v="82610.100000000006"/>
    <x v="3"/>
    <x v="0"/>
    <s v="Mumbai"/>
    <x v="0"/>
    <x v="0"/>
    <n v="1"/>
    <x v="0"/>
    <n v="2"/>
    <x v="0"/>
  </r>
  <r>
    <s v="ORD00932"/>
    <x v="172"/>
    <s v="CUST917"/>
    <s v="Rahul"/>
    <x v="1"/>
    <x v="31"/>
    <x v="6"/>
    <x v="0"/>
    <x v="6"/>
    <x v="4"/>
    <n v="3"/>
    <n v="5257"/>
    <n v="0"/>
    <n v="0"/>
    <n v="2838.78"/>
    <n v="305"/>
    <n v="18609.78"/>
    <n v="18914.78"/>
    <x v="1"/>
    <x v="1"/>
    <s v="Pune"/>
    <x v="0"/>
    <x v="0"/>
    <n v="8"/>
    <x v="1"/>
    <n v="1"/>
    <x v="2"/>
  </r>
  <r>
    <s v="ORD00933"/>
    <x v="148"/>
    <s v="CUST730"/>
    <s v="Neha"/>
    <x v="0"/>
    <x v="36"/>
    <x v="3"/>
    <x v="2"/>
    <x v="3"/>
    <x v="4"/>
    <n v="5"/>
    <n v="38726"/>
    <n v="10"/>
    <n v="19363"/>
    <n v="31368.06"/>
    <n v="69"/>
    <n v="205635.06"/>
    <n v="205704.06"/>
    <x v="1"/>
    <x v="0"/>
    <s v="Bangalore"/>
    <x v="3"/>
    <x v="2"/>
    <n v="5"/>
    <x v="0"/>
    <n v="3"/>
    <x v="3"/>
  </r>
  <r>
    <s v="ORD00934"/>
    <x v="319"/>
    <s v="CUST802"/>
    <s v="Rahul"/>
    <x v="0"/>
    <x v="26"/>
    <x v="9"/>
    <x v="0"/>
    <x v="9"/>
    <x v="3"/>
    <n v="3"/>
    <n v="36827"/>
    <n v="20"/>
    <n v="22096.2"/>
    <n v="15909.26"/>
    <n v="406"/>
    <n v="104294.06"/>
    <n v="104700.06"/>
    <x v="3"/>
    <x v="1"/>
    <s v="Jaipur"/>
    <x v="2"/>
    <x v="1"/>
    <n v="2"/>
    <x v="0"/>
    <n v="1"/>
    <x v="2"/>
  </r>
  <r>
    <s v="ORD00935"/>
    <x v="97"/>
    <s v="CUST176"/>
    <s v="Neha"/>
    <x v="1"/>
    <x v="39"/>
    <x v="4"/>
    <x v="0"/>
    <x v="4"/>
    <x v="4"/>
    <n v="5"/>
    <n v="41450"/>
    <n v="15"/>
    <n v="31087.5"/>
    <n v="31709.25"/>
    <n v="432"/>
    <n v="207871.75"/>
    <n v="208303.75"/>
    <x v="3"/>
    <x v="1"/>
    <s v="Lucknow"/>
    <x v="4"/>
    <x v="1"/>
    <n v="10"/>
    <x v="1"/>
    <n v="3"/>
    <x v="3"/>
  </r>
  <r>
    <s v="ORD00936"/>
    <x v="91"/>
    <s v="CUST368"/>
    <s v="Anjali"/>
    <x v="0"/>
    <x v="34"/>
    <x v="7"/>
    <x v="1"/>
    <x v="7"/>
    <x v="1"/>
    <n v="4"/>
    <n v="26576"/>
    <n v="5"/>
    <n v="5315.2"/>
    <n v="18177.98"/>
    <n v="152"/>
    <n v="119166.78"/>
    <n v="119318.78"/>
    <x v="1"/>
    <x v="1"/>
    <s v="Delhi"/>
    <x v="5"/>
    <x v="1"/>
    <n v="9"/>
    <x v="1"/>
    <n v="4"/>
    <x v="3"/>
  </r>
  <r>
    <s v="ORD00937"/>
    <x v="108"/>
    <s v="CUST910"/>
    <s v="Arjun"/>
    <x v="1"/>
    <x v="2"/>
    <x v="0"/>
    <x v="0"/>
    <x v="0"/>
    <x v="5"/>
    <n v="1"/>
    <n v="24845"/>
    <n v="5"/>
    <n v="1242.25"/>
    <n v="4248.49"/>
    <n v="17"/>
    <n v="27851.24"/>
    <n v="27868.240000000002"/>
    <x v="1"/>
    <x v="0"/>
    <s v="Mumbai"/>
    <x v="0"/>
    <x v="0"/>
    <n v="9"/>
    <x v="1"/>
    <n v="4"/>
    <x v="0"/>
  </r>
  <r>
    <s v="ORD00938"/>
    <x v="189"/>
    <s v="CUST635"/>
    <s v="Riya"/>
    <x v="1"/>
    <x v="14"/>
    <x v="0"/>
    <x v="0"/>
    <x v="0"/>
    <x v="1"/>
    <n v="2"/>
    <n v="49886"/>
    <n v="15"/>
    <n v="14965.8"/>
    <n v="15265.12"/>
    <n v="266"/>
    <n v="100071.32"/>
    <n v="100337.32"/>
    <x v="2"/>
    <x v="0"/>
    <s v="Chandigarh"/>
    <x v="1"/>
    <x v="1"/>
    <n v="1"/>
    <x v="0"/>
    <n v="5"/>
    <x v="3"/>
  </r>
  <r>
    <s v="ORD00939"/>
    <x v="334"/>
    <s v="CUST755"/>
    <s v="Anjali"/>
    <x v="0"/>
    <x v="7"/>
    <x v="6"/>
    <x v="0"/>
    <x v="6"/>
    <x v="0"/>
    <n v="5"/>
    <n v="31838"/>
    <n v="15"/>
    <n v="23878.5"/>
    <n v="24356.07"/>
    <n v="154"/>
    <n v="159667.57"/>
    <n v="159821.57"/>
    <x v="0"/>
    <x v="0"/>
    <s v="Jaipur"/>
    <x v="2"/>
    <x v="1"/>
    <n v="4"/>
    <x v="0"/>
    <n v="1"/>
    <x v="3"/>
  </r>
  <r>
    <s v="ORD00940"/>
    <x v="282"/>
    <s v="CUST232"/>
    <s v="Riya"/>
    <x v="0"/>
    <x v="20"/>
    <x v="2"/>
    <x v="1"/>
    <x v="2"/>
    <x v="9"/>
    <n v="5"/>
    <n v="41624"/>
    <n v="5"/>
    <n v="10406"/>
    <n v="35588.519999999997"/>
    <n v="290"/>
    <n v="233302.52"/>
    <n v="233592.52"/>
    <x v="0"/>
    <x v="0"/>
    <s v="Bangalore"/>
    <x v="3"/>
    <x v="2"/>
    <n v="3"/>
    <x v="0"/>
    <n v="2"/>
    <x v="3"/>
  </r>
  <r>
    <s v="ORD00941"/>
    <x v="67"/>
    <s v="CUST928"/>
    <s v="Karan"/>
    <x v="0"/>
    <x v="32"/>
    <x v="2"/>
    <x v="1"/>
    <x v="2"/>
    <x v="9"/>
    <n v="5"/>
    <n v="7734"/>
    <n v="0"/>
    <n v="0"/>
    <n v="6960.6"/>
    <n v="264"/>
    <n v="45630.6"/>
    <n v="45894.6"/>
    <x v="2"/>
    <x v="1"/>
    <s v="Mumbai"/>
    <x v="0"/>
    <x v="0"/>
    <n v="5"/>
    <x v="0"/>
    <n v="5"/>
    <x v="0"/>
  </r>
  <r>
    <s v="ORD00942"/>
    <x v="15"/>
    <s v="CUST468"/>
    <s v="Priya"/>
    <x v="0"/>
    <x v="40"/>
    <x v="3"/>
    <x v="2"/>
    <x v="3"/>
    <x v="9"/>
    <n v="1"/>
    <n v="13846"/>
    <n v="5"/>
    <n v="692.3"/>
    <n v="2367.67"/>
    <n v="300"/>
    <n v="15521.37"/>
    <n v="15821.37"/>
    <x v="2"/>
    <x v="1"/>
    <s v="Chandigarh"/>
    <x v="1"/>
    <x v="1"/>
    <n v="6"/>
    <x v="1"/>
    <n v="5"/>
    <x v="2"/>
  </r>
  <r>
    <s v="ORD00943"/>
    <x v="335"/>
    <s v="CUST272"/>
    <s v="Neha"/>
    <x v="1"/>
    <x v="12"/>
    <x v="3"/>
    <x v="2"/>
    <x v="3"/>
    <x v="9"/>
    <n v="3"/>
    <n v="7577"/>
    <n v="10"/>
    <n v="2273.1"/>
    <n v="3682.42"/>
    <n v="242"/>
    <n v="24140.32"/>
    <n v="24382.32"/>
    <x v="0"/>
    <x v="0"/>
    <s v="Patiala"/>
    <x v="1"/>
    <x v="1"/>
    <n v="1"/>
    <x v="0"/>
    <n v="2"/>
    <x v="1"/>
  </r>
  <r>
    <s v="ORD00944"/>
    <x v="304"/>
    <s v="CUST621"/>
    <s v="Priya"/>
    <x v="0"/>
    <x v="31"/>
    <x v="1"/>
    <x v="0"/>
    <x v="1"/>
    <x v="1"/>
    <n v="5"/>
    <n v="32146"/>
    <n v="10"/>
    <n v="16073"/>
    <n v="26038.26"/>
    <n v="38"/>
    <n v="170695.26"/>
    <n v="170733.26"/>
    <x v="0"/>
    <x v="1"/>
    <s v="Patiala"/>
    <x v="1"/>
    <x v="1"/>
    <n v="3"/>
    <x v="1"/>
    <n v="1"/>
    <x v="1"/>
  </r>
  <r>
    <s v="ORD00945"/>
    <x v="336"/>
    <s v="CUST101"/>
    <s v="Priya"/>
    <x v="0"/>
    <x v="26"/>
    <x v="8"/>
    <x v="0"/>
    <x v="8"/>
    <x v="0"/>
    <n v="2"/>
    <n v="36331"/>
    <n v="15"/>
    <n v="10899.3"/>
    <n v="11117.29"/>
    <n v="386"/>
    <n v="72879.990000000005"/>
    <n v="73265.990000000005"/>
    <x v="1"/>
    <x v="0"/>
    <s v="Mumbai"/>
    <x v="0"/>
    <x v="0"/>
    <n v="3"/>
    <x v="1"/>
    <n v="5"/>
    <x v="3"/>
  </r>
  <r>
    <s v="ORD00946"/>
    <x v="12"/>
    <s v="CUST501"/>
    <s v="Priya"/>
    <x v="1"/>
    <x v="16"/>
    <x v="3"/>
    <x v="2"/>
    <x v="3"/>
    <x v="2"/>
    <n v="3"/>
    <n v="30863"/>
    <n v="0"/>
    <n v="0"/>
    <n v="16666.02"/>
    <n v="493"/>
    <n v="109255.02"/>
    <n v="109748.02"/>
    <x v="3"/>
    <x v="1"/>
    <s v="Patiala"/>
    <x v="1"/>
    <x v="1"/>
    <n v="10"/>
    <x v="0"/>
    <n v="3"/>
    <x v="2"/>
  </r>
  <r>
    <s v="ORD00947"/>
    <x v="97"/>
    <s v="CUST195"/>
    <s v="Neha"/>
    <x v="1"/>
    <x v="3"/>
    <x v="8"/>
    <x v="0"/>
    <x v="8"/>
    <x v="3"/>
    <n v="1"/>
    <n v="14652"/>
    <n v="0"/>
    <n v="0"/>
    <n v="2637.36"/>
    <n v="24"/>
    <n v="17289.36"/>
    <n v="17313.36"/>
    <x v="3"/>
    <x v="1"/>
    <s v="Chandigarh"/>
    <x v="1"/>
    <x v="1"/>
    <n v="4"/>
    <x v="0"/>
    <n v="4"/>
    <x v="1"/>
  </r>
  <r>
    <s v="ORD00948"/>
    <x v="214"/>
    <s v="CUST810"/>
    <s v="Amit"/>
    <x v="1"/>
    <x v="42"/>
    <x v="0"/>
    <x v="0"/>
    <x v="0"/>
    <x v="9"/>
    <n v="5"/>
    <n v="1032"/>
    <n v="10"/>
    <n v="516"/>
    <n v="835.92"/>
    <n v="234"/>
    <n v="5479.92"/>
    <n v="5713.92"/>
    <x v="3"/>
    <x v="0"/>
    <s v="Mumbai"/>
    <x v="0"/>
    <x v="0"/>
    <n v="4"/>
    <x v="0"/>
    <n v="3"/>
    <x v="0"/>
  </r>
  <r>
    <s v="ORD00949"/>
    <x v="217"/>
    <s v="CUST787"/>
    <s v="Karan"/>
    <x v="0"/>
    <x v="5"/>
    <x v="5"/>
    <x v="0"/>
    <x v="5"/>
    <x v="2"/>
    <n v="5"/>
    <n v="4697"/>
    <n v="0"/>
    <n v="0"/>
    <n v="4227.3"/>
    <n v="377"/>
    <n v="27712.3"/>
    <n v="28089.3"/>
    <x v="3"/>
    <x v="1"/>
    <s v="Pune"/>
    <x v="0"/>
    <x v="0"/>
    <n v="7"/>
    <x v="0"/>
    <n v="3"/>
    <x v="0"/>
  </r>
  <r>
    <s v="ORD00950"/>
    <x v="22"/>
    <s v="CUST171"/>
    <s v="Sneha"/>
    <x v="1"/>
    <x v="21"/>
    <x v="9"/>
    <x v="0"/>
    <x v="9"/>
    <x v="4"/>
    <n v="1"/>
    <n v="5912"/>
    <n v="10"/>
    <n v="591.20000000000005"/>
    <n v="957.74"/>
    <n v="45"/>
    <n v="6278.54"/>
    <n v="6323.54"/>
    <x v="0"/>
    <x v="0"/>
    <s v="Mumbai"/>
    <x v="0"/>
    <x v="0"/>
    <n v="2"/>
    <x v="1"/>
    <n v="2"/>
    <x v="0"/>
  </r>
  <r>
    <s v="ORD00951"/>
    <x v="167"/>
    <s v="CUST398"/>
    <s v="Amit"/>
    <x v="0"/>
    <x v="38"/>
    <x v="2"/>
    <x v="1"/>
    <x v="2"/>
    <x v="1"/>
    <n v="2"/>
    <n v="43132"/>
    <n v="0"/>
    <n v="0"/>
    <n v="15527.52"/>
    <n v="296"/>
    <n v="101791.52"/>
    <n v="102087.52"/>
    <x v="1"/>
    <x v="0"/>
    <s v="Chandigarh"/>
    <x v="1"/>
    <x v="1"/>
    <n v="7"/>
    <x v="1"/>
    <n v="1"/>
    <x v="0"/>
  </r>
  <r>
    <s v="ORD00952"/>
    <x v="123"/>
    <s v="CUST858"/>
    <s v="Vikas"/>
    <x v="1"/>
    <x v="37"/>
    <x v="9"/>
    <x v="0"/>
    <x v="9"/>
    <x v="3"/>
    <n v="1"/>
    <n v="47653"/>
    <n v="5"/>
    <n v="2382.65"/>
    <n v="8148.66"/>
    <n v="319"/>
    <n v="53419.01"/>
    <n v="53738.01"/>
    <x v="0"/>
    <x v="0"/>
    <s v="Bangalore"/>
    <x v="3"/>
    <x v="2"/>
    <n v="9"/>
    <x v="1"/>
    <n v="3"/>
    <x v="0"/>
  </r>
  <r>
    <s v="ORD00953"/>
    <x v="294"/>
    <s v="CUST827"/>
    <s v="Anjali"/>
    <x v="1"/>
    <x v="34"/>
    <x v="9"/>
    <x v="0"/>
    <x v="9"/>
    <x v="4"/>
    <n v="5"/>
    <n v="34519"/>
    <n v="10"/>
    <n v="17259.5"/>
    <n v="27960.39"/>
    <n v="202"/>
    <n v="183295.89"/>
    <n v="183497.89"/>
    <x v="0"/>
    <x v="0"/>
    <s v="Pune"/>
    <x v="0"/>
    <x v="0"/>
    <n v="4"/>
    <x v="0"/>
    <n v="1"/>
    <x v="2"/>
  </r>
  <r>
    <s v="ORD00954"/>
    <x v="337"/>
    <s v="CUST761"/>
    <s v="Amit"/>
    <x v="0"/>
    <x v="37"/>
    <x v="7"/>
    <x v="1"/>
    <x v="7"/>
    <x v="8"/>
    <n v="3"/>
    <n v="39182"/>
    <n v="15"/>
    <n v="17631.900000000001"/>
    <n v="17984.54"/>
    <n v="76"/>
    <n v="117898.64"/>
    <n v="117974.64"/>
    <x v="2"/>
    <x v="0"/>
    <s v="Jaipur"/>
    <x v="2"/>
    <x v="1"/>
    <n v="6"/>
    <x v="0"/>
    <n v="5"/>
    <x v="0"/>
  </r>
  <r>
    <s v="ORD00955"/>
    <x v="86"/>
    <s v="CUST420"/>
    <s v="Arjun"/>
    <x v="0"/>
    <x v="12"/>
    <x v="9"/>
    <x v="0"/>
    <x v="11"/>
    <x v="0"/>
    <n v="4"/>
    <n v="34291"/>
    <n v="20"/>
    <n v="27432.799999999999"/>
    <n v="19751.62"/>
    <n v="458"/>
    <n v="129482.82"/>
    <n v="129940.82"/>
    <x v="3"/>
    <x v="1"/>
    <s v="Mumbai"/>
    <x v="0"/>
    <x v="0"/>
    <n v="7"/>
    <x v="1"/>
    <n v="4"/>
    <x v="0"/>
  </r>
  <r>
    <s v="ORD00956"/>
    <x v="177"/>
    <s v="CUST382"/>
    <s v="Priya"/>
    <x v="1"/>
    <x v="21"/>
    <x v="7"/>
    <x v="1"/>
    <x v="7"/>
    <x v="2"/>
    <n v="4"/>
    <n v="30226"/>
    <n v="0"/>
    <n v="0"/>
    <n v="21762.720000000001"/>
    <n v="174"/>
    <n v="142666.72"/>
    <n v="142840.72"/>
    <x v="0"/>
    <x v="1"/>
    <s v="Jaipur"/>
    <x v="2"/>
    <x v="1"/>
    <n v="7"/>
    <x v="0"/>
    <n v="3"/>
    <x v="1"/>
  </r>
  <r>
    <s v="ORD00957"/>
    <x v="191"/>
    <s v="CUST302"/>
    <s v="Anjali"/>
    <x v="0"/>
    <x v="16"/>
    <x v="5"/>
    <x v="0"/>
    <x v="5"/>
    <x v="8"/>
    <n v="3"/>
    <n v="3452"/>
    <n v="20"/>
    <n v="2071.1999999999998"/>
    <n v="1491.26"/>
    <n v="219"/>
    <n v="9776.06"/>
    <n v="9995.06"/>
    <x v="1"/>
    <x v="0"/>
    <s v="Jaipur"/>
    <x v="2"/>
    <x v="1"/>
    <n v="5"/>
    <x v="1"/>
    <n v="3"/>
    <x v="3"/>
  </r>
  <r>
    <s v="ORD00958"/>
    <x v="101"/>
    <s v="CUST170"/>
    <s v="Neha"/>
    <x v="1"/>
    <x v="35"/>
    <x v="6"/>
    <x v="0"/>
    <x v="6"/>
    <x v="3"/>
    <n v="4"/>
    <n v="29812"/>
    <n v="5"/>
    <n v="5962.4"/>
    <n v="20391.41"/>
    <n v="257"/>
    <n v="133677.01"/>
    <n v="133934.01"/>
    <x v="3"/>
    <x v="0"/>
    <s v="Bangalore"/>
    <x v="3"/>
    <x v="2"/>
    <n v="7"/>
    <x v="1"/>
    <n v="3"/>
    <x v="0"/>
  </r>
  <r>
    <s v="ORD00959"/>
    <x v="322"/>
    <s v="CUST305"/>
    <s v="Anjali"/>
    <x v="0"/>
    <x v="30"/>
    <x v="6"/>
    <x v="0"/>
    <x v="11"/>
    <x v="7"/>
    <n v="4"/>
    <n v="12665"/>
    <n v="10"/>
    <n v="5066"/>
    <n v="8206.92"/>
    <n v="304"/>
    <n v="53800.92"/>
    <n v="54104.92"/>
    <x v="0"/>
    <x v="0"/>
    <s v="Jaipur"/>
    <x v="2"/>
    <x v="1"/>
    <n v="9"/>
    <x v="1"/>
    <n v="3"/>
    <x v="1"/>
  </r>
  <r>
    <s v="ORD00960"/>
    <x v="279"/>
    <s v="CUST108"/>
    <s v="Sneha"/>
    <x v="1"/>
    <x v="36"/>
    <x v="0"/>
    <x v="0"/>
    <x v="0"/>
    <x v="3"/>
    <n v="2"/>
    <n v="19888"/>
    <n v="5"/>
    <n v="1988.8"/>
    <n v="6801.7"/>
    <n v="174"/>
    <n v="44588.9"/>
    <n v="44762.9"/>
    <x v="1"/>
    <x v="1"/>
    <s v="Delhi"/>
    <x v="5"/>
    <x v="1"/>
    <n v="7"/>
    <x v="1"/>
    <n v="3"/>
    <x v="3"/>
  </r>
  <r>
    <s v="ORD00961"/>
    <x v="34"/>
    <s v="CUST808"/>
    <s v="Priya"/>
    <x v="1"/>
    <x v="9"/>
    <x v="1"/>
    <x v="0"/>
    <x v="11"/>
    <x v="9"/>
    <n v="5"/>
    <n v="24187"/>
    <n v="20"/>
    <n v="24187"/>
    <n v="17414.64"/>
    <n v="271"/>
    <n v="114162.64"/>
    <n v="114433.64"/>
    <x v="0"/>
    <x v="1"/>
    <s v="Delhi"/>
    <x v="5"/>
    <x v="1"/>
    <n v="9"/>
    <x v="1"/>
    <n v="2"/>
    <x v="0"/>
  </r>
  <r>
    <s v="ORD00962"/>
    <x v="51"/>
    <s v="CUST203"/>
    <s v="Sneha"/>
    <x v="1"/>
    <x v="42"/>
    <x v="2"/>
    <x v="1"/>
    <x v="2"/>
    <x v="4"/>
    <n v="1"/>
    <n v="27343"/>
    <n v="5"/>
    <n v="1367.15"/>
    <n v="4675.6499999999996"/>
    <n v="427"/>
    <n v="30651.5"/>
    <n v="31078.5"/>
    <x v="3"/>
    <x v="0"/>
    <s v="Chandigarh"/>
    <x v="1"/>
    <x v="1"/>
    <n v="6"/>
    <x v="0"/>
    <n v="1"/>
    <x v="3"/>
  </r>
  <r>
    <s v="ORD00963"/>
    <x v="64"/>
    <s v="CUST992"/>
    <s v="Priya"/>
    <x v="0"/>
    <x v="37"/>
    <x v="4"/>
    <x v="0"/>
    <x v="4"/>
    <x v="2"/>
    <n v="1"/>
    <n v="36253"/>
    <n v="0"/>
    <n v="0"/>
    <n v="6525.54"/>
    <n v="493"/>
    <n v="42778.54"/>
    <n v="43271.54"/>
    <x v="2"/>
    <x v="0"/>
    <s v="Patiala"/>
    <x v="1"/>
    <x v="1"/>
    <n v="7"/>
    <x v="0"/>
    <n v="2"/>
    <x v="0"/>
  </r>
  <r>
    <s v="ORD00964"/>
    <x v="242"/>
    <s v="CUST363"/>
    <s v="Sneha"/>
    <x v="1"/>
    <x v="25"/>
    <x v="6"/>
    <x v="0"/>
    <x v="6"/>
    <x v="3"/>
    <n v="2"/>
    <n v="6461"/>
    <n v="0"/>
    <n v="0"/>
    <n v="2325.96"/>
    <n v="137"/>
    <n v="15247.96"/>
    <n v="15384.96"/>
    <x v="0"/>
    <x v="1"/>
    <s v="Mumbai"/>
    <x v="0"/>
    <x v="0"/>
    <n v="4"/>
    <x v="1"/>
    <n v="2"/>
    <x v="2"/>
  </r>
  <r>
    <s v="ORD00965"/>
    <x v="181"/>
    <s v="CUST175"/>
    <s v="Neha"/>
    <x v="0"/>
    <x v="33"/>
    <x v="0"/>
    <x v="0"/>
    <x v="0"/>
    <x v="0"/>
    <n v="5"/>
    <n v="34990"/>
    <n v="20"/>
    <n v="34990"/>
    <n v="25192.799999999999"/>
    <n v="340"/>
    <n v="165152.79999999999"/>
    <n v="165492.79999999999"/>
    <x v="3"/>
    <x v="0"/>
    <s v="Lucknow"/>
    <x v="4"/>
    <x v="1"/>
    <n v="2"/>
    <x v="1"/>
    <n v="1"/>
    <x v="3"/>
  </r>
  <r>
    <s v="ORD00966"/>
    <x v="99"/>
    <s v="CUST509"/>
    <s v="Arjun"/>
    <x v="1"/>
    <x v="30"/>
    <x v="1"/>
    <x v="0"/>
    <x v="1"/>
    <x v="1"/>
    <n v="3"/>
    <n v="6736"/>
    <n v="15"/>
    <n v="3031.2"/>
    <n v="3091.82"/>
    <n v="130"/>
    <n v="20268.62"/>
    <n v="20398.62"/>
    <x v="2"/>
    <x v="0"/>
    <s v="Delhi"/>
    <x v="5"/>
    <x v="1"/>
    <n v="8"/>
    <x v="1"/>
    <n v="3"/>
    <x v="2"/>
  </r>
  <r>
    <s v="ORD00967"/>
    <x v="268"/>
    <s v="CUST151"/>
    <s v="Amit"/>
    <x v="0"/>
    <x v="29"/>
    <x v="0"/>
    <x v="0"/>
    <x v="0"/>
    <x v="6"/>
    <n v="1"/>
    <n v="24799"/>
    <n v="0"/>
    <n v="0"/>
    <n v="4463.82"/>
    <n v="488"/>
    <n v="29262.82"/>
    <n v="29750.82"/>
    <x v="3"/>
    <x v="1"/>
    <s v="Chandigarh"/>
    <x v="1"/>
    <x v="1"/>
    <n v="1"/>
    <x v="1"/>
    <n v="4"/>
    <x v="3"/>
  </r>
  <r>
    <s v="ORD00968"/>
    <x v="177"/>
    <s v="CUST611"/>
    <s v="Rahul"/>
    <x v="1"/>
    <x v="25"/>
    <x v="9"/>
    <x v="0"/>
    <x v="9"/>
    <x v="6"/>
    <n v="1"/>
    <n v="9195"/>
    <n v="20"/>
    <n v="1839"/>
    <n v="1324.08"/>
    <n v="174"/>
    <n v="8680.08"/>
    <n v="8854.08"/>
    <x v="2"/>
    <x v="0"/>
    <s v="Delhi"/>
    <x v="5"/>
    <x v="1"/>
    <n v="2"/>
    <x v="1"/>
    <n v="5"/>
    <x v="1"/>
  </r>
  <r>
    <s v="ORD00969"/>
    <x v="304"/>
    <s v="CUST466"/>
    <s v="Riya"/>
    <x v="0"/>
    <x v="39"/>
    <x v="1"/>
    <x v="0"/>
    <x v="1"/>
    <x v="9"/>
    <n v="3"/>
    <n v="46281"/>
    <n v="5"/>
    <n v="6942.15"/>
    <n v="23742.15"/>
    <n v="54"/>
    <n v="155643"/>
    <n v="155697"/>
    <x v="2"/>
    <x v="1"/>
    <s v="Mumbai"/>
    <x v="0"/>
    <x v="0"/>
    <n v="8"/>
    <x v="1"/>
    <n v="2"/>
    <x v="2"/>
  </r>
  <r>
    <s v="ORD00970"/>
    <x v="267"/>
    <s v="CUST886"/>
    <s v="Sneha"/>
    <x v="1"/>
    <x v="25"/>
    <x v="1"/>
    <x v="0"/>
    <x v="1"/>
    <x v="8"/>
    <n v="3"/>
    <n v="11665"/>
    <n v="15"/>
    <n v="5249.25"/>
    <n v="5354.23"/>
    <n v="392"/>
    <n v="35099.99"/>
    <n v="35491.99"/>
    <x v="3"/>
    <x v="1"/>
    <s v="Jaipur"/>
    <x v="2"/>
    <x v="1"/>
    <n v="6"/>
    <x v="0"/>
    <n v="5"/>
    <x v="1"/>
  </r>
  <r>
    <s v="ORD00971"/>
    <x v="8"/>
    <s v="CUST692"/>
    <s v="Neha"/>
    <x v="0"/>
    <x v="37"/>
    <x v="1"/>
    <x v="0"/>
    <x v="1"/>
    <x v="0"/>
    <n v="2"/>
    <n v="41905"/>
    <n v="20"/>
    <n v="16762"/>
    <n v="12068.64"/>
    <n v="427"/>
    <n v="79116.639999999999"/>
    <n v="79543.64"/>
    <x v="2"/>
    <x v="1"/>
    <s v="Patiala"/>
    <x v="1"/>
    <x v="1"/>
    <n v="5"/>
    <x v="0"/>
    <n v="1"/>
    <x v="2"/>
  </r>
  <r>
    <s v="ORD00972"/>
    <x v="203"/>
    <s v="CUST251"/>
    <s v="Arjun"/>
    <x v="1"/>
    <x v="41"/>
    <x v="1"/>
    <x v="0"/>
    <x v="1"/>
    <x v="4"/>
    <n v="1"/>
    <n v="13855"/>
    <n v="15"/>
    <n v="2078.25"/>
    <n v="2119.8200000000002"/>
    <n v="127"/>
    <n v="13896.57"/>
    <n v="14023.57"/>
    <x v="1"/>
    <x v="0"/>
    <s v="Jaipur"/>
    <x v="2"/>
    <x v="1"/>
    <n v="7"/>
    <x v="1"/>
    <n v="5"/>
    <x v="0"/>
  </r>
  <r>
    <s v="ORD00973"/>
    <x v="316"/>
    <s v="CUST798"/>
    <s v="Sneha"/>
    <x v="1"/>
    <x v="12"/>
    <x v="2"/>
    <x v="1"/>
    <x v="2"/>
    <x v="0"/>
    <n v="4"/>
    <n v="29217"/>
    <n v="0"/>
    <n v="0"/>
    <n v="21036.240000000002"/>
    <n v="188"/>
    <n v="137904.24"/>
    <n v="138092.24"/>
    <x v="2"/>
    <x v="1"/>
    <s v="Mumbai"/>
    <x v="0"/>
    <x v="0"/>
    <n v="10"/>
    <x v="0"/>
    <n v="1"/>
    <x v="0"/>
  </r>
  <r>
    <s v="ORD00974"/>
    <x v="192"/>
    <s v="CUST431"/>
    <s v="Priya"/>
    <x v="0"/>
    <x v="11"/>
    <x v="3"/>
    <x v="2"/>
    <x v="3"/>
    <x v="6"/>
    <n v="3"/>
    <n v="34047"/>
    <n v="0"/>
    <n v="0"/>
    <n v="18385.38"/>
    <n v="42"/>
    <n v="120526.38"/>
    <n v="120568.38"/>
    <x v="2"/>
    <x v="1"/>
    <s v="Delhi"/>
    <x v="5"/>
    <x v="1"/>
    <n v="3"/>
    <x v="0"/>
    <n v="5"/>
    <x v="0"/>
  </r>
  <r>
    <s v="ORD00975"/>
    <x v="338"/>
    <s v="CUST242"/>
    <s v="Riya"/>
    <x v="1"/>
    <x v="25"/>
    <x v="7"/>
    <x v="1"/>
    <x v="7"/>
    <x v="1"/>
    <n v="4"/>
    <n v="40544"/>
    <n v="5"/>
    <n v="8108.8"/>
    <n v="27732.1"/>
    <n v="384"/>
    <n v="181799.3"/>
    <n v="182183.3"/>
    <x v="1"/>
    <x v="0"/>
    <s v="Delhi"/>
    <x v="5"/>
    <x v="1"/>
    <n v="10"/>
    <x v="1"/>
    <n v="1"/>
    <x v="2"/>
  </r>
  <r>
    <s v="ORD00976"/>
    <x v="56"/>
    <s v="CUST276"/>
    <s v="Rahul"/>
    <x v="1"/>
    <x v="37"/>
    <x v="0"/>
    <x v="0"/>
    <x v="0"/>
    <x v="6"/>
    <n v="1"/>
    <n v="34177"/>
    <n v="15"/>
    <n v="5126.55"/>
    <n v="5229.08"/>
    <n v="114"/>
    <n v="34279.53"/>
    <n v="34393.53"/>
    <x v="3"/>
    <x v="0"/>
    <s v="Bangalore"/>
    <x v="3"/>
    <x v="2"/>
    <n v="7"/>
    <x v="0"/>
    <n v="5"/>
    <x v="2"/>
  </r>
  <r>
    <s v="ORD00977"/>
    <x v="111"/>
    <s v="CUST137"/>
    <s v="Neha"/>
    <x v="1"/>
    <x v="0"/>
    <x v="7"/>
    <x v="1"/>
    <x v="7"/>
    <x v="0"/>
    <n v="4"/>
    <n v="32481"/>
    <n v="20"/>
    <n v="25984.799999999999"/>
    <n v="18709.060000000001"/>
    <n v="431"/>
    <n v="122648.26"/>
    <n v="123079.26"/>
    <x v="2"/>
    <x v="1"/>
    <s v="Mumbai"/>
    <x v="0"/>
    <x v="0"/>
    <n v="5"/>
    <x v="1"/>
    <n v="3"/>
    <x v="2"/>
  </r>
  <r>
    <s v="ORD00978"/>
    <x v="23"/>
    <s v="CUST947"/>
    <s v="Anjali"/>
    <x v="1"/>
    <x v="1"/>
    <x v="5"/>
    <x v="0"/>
    <x v="5"/>
    <x v="2"/>
    <n v="4"/>
    <n v="26540"/>
    <n v="10"/>
    <n v="10616"/>
    <n v="17197.919999999998"/>
    <n v="448"/>
    <n v="112741.92"/>
    <n v="113189.92"/>
    <x v="0"/>
    <x v="1"/>
    <s v="Bangalore"/>
    <x v="3"/>
    <x v="2"/>
    <n v="8"/>
    <x v="1"/>
    <n v="5"/>
    <x v="3"/>
  </r>
  <r>
    <s v="ORD00979"/>
    <x v="251"/>
    <s v="CUST468"/>
    <s v="Neha"/>
    <x v="0"/>
    <x v="24"/>
    <x v="1"/>
    <x v="0"/>
    <x v="1"/>
    <x v="1"/>
    <n v="2"/>
    <n v="7396"/>
    <n v="20"/>
    <n v="2958.4"/>
    <n v="2130.0500000000002"/>
    <n v="160"/>
    <n v="13963.65"/>
    <n v="14123.65"/>
    <x v="0"/>
    <x v="1"/>
    <s v="Chandigarh"/>
    <x v="1"/>
    <x v="1"/>
    <n v="2"/>
    <x v="1"/>
    <n v="4"/>
    <x v="1"/>
  </r>
  <r>
    <s v="ORD00980"/>
    <x v="97"/>
    <s v="CUST944"/>
    <s v="Riya"/>
    <x v="1"/>
    <x v="11"/>
    <x v="4"/>
    <x v="0"/>
    <x v="4"/>
    <x v="5"/>
    <n v="4"/>
    <n v="12010"/>
    <n v="5"/>
    <n v="2402"/>
    <n v="8214.84"/>
    <n v="40"/>
    <n v="53852.84"/>
    <n v="53892.84"/>
    <x v="1"/>
    <x v="1"/>
    <s v="Mumbai"/>
    <x v="0"/>
    <x v="0"/>
    <n v="2"/>
    <x v="1"/>
    <n v="1"/>
    <x v="1"/>
  </r>
  <r>
    <s v="ORD00981"/>
    <x v="327"/>
    <s v="CUST139"/>
    <s v="Riya"/>
    <x v="1"/>
    <x v="33"/>
    <x v="8"/>
    <x v="0"/>
    <x v="11"/>
    <x v="8"/>
    <n v="2"/>
    <n v="2315"/>
    <n v="20"/>
    <n v="926"/>
    <n v="666.72"/>
    <n v="203"/>
    <n v="4370.72"/>
    <n v="4573.72"/>
    <x v="2"/>
    <x v="1"/>
    <s v="Pune"/>
    <x v="0"/>
    <x v="0"/>
    <n v="10"/>
    <x v="0"/>
    <n v="4"/>
    <x v="1"/>
  </r>
  <r>
    <s v="ORD00982"/>
    <x v="92"/>
    <s v="CUST106"/>
    <s v="Sneha"/>
    <x v="1"/>
    <x v="22"/>
    <x v="4"/>
    <x v="0"/>
    <x v="4"/>
    <x v="7"/>
    <n v="2"/>
    <n v="14022"/>
    <n v="20"/>
    <n v="5608.8"/>
    <n v="4038.34"/>
    <n v="455"/>
    <n v="26473.54"/>
    <n v="26928.54"/>
    <x v="3"/>
    <x v="0"/>
    <s v="Delhi"/>
    <x v="5"/>
    <x v="1"/>
    <n v="1"/>
    <x v="0"/>
    <n v="3"/>
    <x v="1"/>
  </r>
  <r>
    <s v="ORD00983"/>
    <x v="272"/>
    <s v="CUST518"/>
    <s v="Rahul"/>
    <x v="1"/>
    <x v="9"/>
    <x v="3"/>
    <x v="2"/>
    <x v="3"/>
    <x v="0"/>
    <n v="3"/>
    <n v="31885"/>
    <n v="5"/>
    <n v="4782.75"/>
    <n v="16357"/>
    <n v="220"/>
    <n v="107229.26"/>
    <n v="107449.26"/>
    <x v="0"/>
    <x v="0"/>
    <s v="Jaipur"/>
    <x v="2"/>
    <x v="1"/>
    <n v="8"/>
    <x v="0"/>
    <n v="1"/>
    <x v="1"/>
  </r>
  <r>
    <s v="ORD00984"/>
    <x v="244"/>
    <s v="CUST396"/>
    <s v="Rahul"/>
    <x v="1"/>
    <x v="8"/>
    <x v="3"/>
    <x v="2"/>
    <x v="3"/>
    <x v="3"/>
    <n v="2"/>
    <n v="12286"/>
    <n v="20"/>
    <n v="4914.3999999999996"/>
    <n v="3538.37"/>
    <n v="422"/>
    <n v="23195.97"/>
    <n v="23617.97"/>
    <x v="3"/>
    <x v="1"/>
    <s v="Patiala"/>
    <x v="1"/>
    <x v="1"/>
    <n v="4"/>
    <x v="0"/>
    <n v="3"/>
    <x v="2"/>
  </r>
  <r>
    <s v="ORD00985"/>
    <x v="88"/>
    <s v="CUST376"/>
    <s v="Riya"/>
    <x v="0"/>
    <x v="37"/>
    <x v="8"/>
    <x v="0"/>
    <x v="8"/>
    <x v="6"/>
    <n v="3"/>
    <n v="49317"/>
    <n v="20"/>
    <n v="29590.2"/>
    <n v="21304.94"/>
    <n v="76"/>
    <n v="139665.74"/>
    <n v="139741.74"/>
    <x v="1"/>
    <x v="0"/>
    <s v="Pune"/>
    <x v="0"/>
    <x v="0"/>
    <n v="7"/>
    <x v="0"/>
    <n v="4"/>
    <x v="3"/>
  </r>
  <r>
    <s v="ORD00986"/>
    <x v="285"/>
    <s v="CUST180"/>
    <s v="Rahul"/>
    <x v="1"/>
    <x v="22"/>
    <x v="6"/>
    <x v="0"/>
    <x v="6"/>
    <x v="3"/>
    <n v="1"/>
    <n v="2308"/>
    <n v="20"/>
    <n v="461.6"/>
    <n v="332.35"/>
    <n v="445"/>
    <n v="2178.75"/>
    <n v="2623.75"/>
    <x v="1"/>
    <x v="1"/>
    <s v="Bangalore"/>
    <x v="3"/>
    <x v="2"/>
    <n v="6"/>
    <x v="0"/>
    <n v="5"/>
    <x v="3"/>
  </r>
  <r>
    <s v="ORD00987"/>
    <x v="304"/>
    <s v="CUST544"/>
    <s v="Sneha"/>
    <x v="1"/>
    <x v="34"/>
    <x v="2"/>
    <x v="1"/>
    <x v="2"/>
    <x v="8"/>
    <n v="2"/>
    <n v="12242"/>
    <n v="5"/>
    <n v="1224.2"/>
    <n v="4186.76"/>
    <n v="314"/>
    <n v="27446.560000000001"/>
    <n v="27760.560000000001"/>
    <x v="0"/>
    <x v="0"/>
    <s v="Delhi"/>
    <x v="5"/>
    <x v="1"/>
    <n v="10"/>
    <x v="1"/>
    <n v="4"/>
    <x v="1"/>
  </r>
  <r>
    <s v="ORD00988"/>
    <x v="0"/>
    <s v="CUST865"/>
    <s v="Vikas"/>
    <x v="1"/>
    <x v="16"/>
    <x v="9"/>
    <x v="0"/>
    <x v="9"/>
    <x v="0"/>
    <n v="4"/>
    <n v="2691"/>
    <n v="15"/>
    <n v="1614.6"/>
    <n v="1646.89"/>
    <n v="248"/>
    <n v="10796.29"/>
    <n v="11044.29"/>
    <x v="0"/>
    <x v="1"/>
    <s v="Chandigarh"/>
    <x v="1"/>
    <x v="1"/>
    <n v="9"/>
    <x v="0"/>
    <n v="1"/>
    <x v="1"/>
  </r>
  <r>
    <s v="ORD00989"/>
    <x v="289"/>
    <s v="CUST852"/>
    <s v="Anjali"/>
    <x v="1"/>
    <x v="7"/>
    <x v="4"/>
    <x v="0"/>
    <x v="4"/>
    <x v="8"/>
    <n v="1"/>
    <n v="3151"/>
    <n v="15"/>
    <n v="472.65"/>
    <n v="482.1"/>
    <n v="224"/>
    <n v="3160.45"/>
    <n v="3384.45"/>
    <x v="2"/>
    <x v="1"/>
    <s v="Bangalore"/>
    <x v="3"/>
    <x v="2"/>
    <n v="6"/>
    <x v="0"/>
    <n v="2"/>
    <x v="0"/>
  </r>
  <r>
    <s v="ORD00990"/>
    <x v="125"/>
    <s v="CUST213"/>
    <s v="Riya"/>
    <x v="1"/>
    <x v="7"/>
    <x v="9"/>
    <x v="0"/>
    <x v="9"/>
    <x v="6"/>
    <n v="5"/>
    <n v="31839"/>
    <n v="15"/>
    <n v="23879.25"/>
    <n v="24356.83"/>
    <n v="295"/>
    <n v="159672.57999999999"/>
    <n v="159967.57999999999"/>
    <x v="0"/>
    <x v="0"/>
    <s v="Pune"/>
    <x v="0"/>
    <x v="0"/>
    <n v="3"/>
    <x v="1"/>
    <n v="4"/>
    <x v="1"/>
  </r>
  <r>
    <s v="ORD00991"/>
    <x v="143"/>
    <s v="CUST982"/>
    <s v="Vikas"/>
    <x v="1"/>
    <x v="16"/>
    <x v="3"/>
    <x v="2"/>
    <x v="3"/>
    <x v="1"/>
    <n v="1"/>
    <n v="18336"/>
    <n v="0"/>
    <n v="0"/>
    <n v="3300.48"/>
    <n v="116"/>
    <n v="21636.48"/>
    <n v="21752.48"/>
    <x v="3"/>
    <x v="1"/>
    <s v="Lucknow"/>
    <x v="4"/>
    <x v="1"/>
    <n v="8"/>
    <x v="0"/>
    <n v="2"/>
    <x v="1"/>
  </r>
  <r>
    <s v="ORD00992"/>
    <x v="77"/>
    <s v="CUST283"/>
    <s v="Karan"/>
    <x v="0"/>
    <x v="24"/>
    <x v="2"/>
    <x v="1"/>
    <x v="2"/>
    <x v="6"/>
    <n v="5"/>
    <n v="39114"/>
    <n v="20"/>
    <n v="39114"/>
    <n v="28162.080000000002"/>
    <n v="411"/>
    <n v="184618.08"/>
    <n v="185029.08"/>
    <x v="0"/>
    <x v="1"/>
    <s v="Mumbai"/>
    <x v="0"/>
    <x v="0"/>
    <n v="8"/>
    <x v="1"/>
    <n v="2"/>
    <x v="0"/>
  </r>
  <r>
    <s v="ORD00993"/>
    <x v="106"/>
    <s v="CUST225"/>
    <s v="Karan"/>
    <x v="1"/>
    <x v="29"/>
    <x v="3"/>
    <x v="2"/>
    <x v="3"/>
    <x v="5"/>
    <n v="1"/>
    <n v="17294"/>
    <n v="15"/>
    <n v="2594.1"/>
    <n v="2645.98"/>
    <n v="210"/>
    <n v="17345.88"/>
    <n v="17555.88"/>
    <x v="1"/>
    <x v="0"/>
    <s v="Jaipur"/>
    <x v="2"/>
    <x v="1"/>
    <n v="3"/>
    <x v="1"/>
    <n v="2"/>
    <x v="3"/>
  </r>
  <r>
    <s v="ORD00994"/>
    <x v="257"/>
    <s v="CUST442"/>
    <s v="Sneha"/>
    <x v="0"/>
    <x v="19"/>
    <x v="7"/>
    <x v="1"/>
    <x v="7"/>
    <x v="8"/>
    <n v="1"/>
    <n v="24272"/>
    <n v="20"/>
    <n v="4854.3999999999996"/>
    <n v="3495.17"/>
    <n v="462"/>
    <n v="22912.77"/>
    <n v="23374.77"/>
    <x v="3"/>
    <x v="0"/>
    <s v="Bangalore"/>
    <x v="3"/>
    <x v="2"/>
    <n v="7"/>
    <x v="1"/>
    <n v="4"/>
    <x v="2"/>
  </r>
  <r>
    <s v="ORD00995"/>
    <x v="212"/>
    <s v="CUST205"/>
    <s v="Vikas"/>
    <x v="1"/>
    <x v="28"/>
    <x v="4"/>
    <x v="0"/>
    <x v="4"/>
    <x v="3"/>
    <n v="2"/>
    <n v="39387"/>
    <n v="15"/>
    <n v="11816.1"/>
    <n v="12052.42"/>
    <n v="127"/>
    <n v="79010.320000000007"/>
    <n v="79137.320000000007"/>
    <x v="2"/>
    <x v="1"/>
    <s v="Delhi"/>
    <x v="5"/>
    <x v="1"/>
    <n v="5"/>
    <x v="0"/>
    <n v="5"/>
    <x v="0"/>
  </r>
  <r>
    <s v="ORD00996"/>
    <x v="117"/>
    <s v="CUST724"/>
    <s v="Karan"/>
    <x v="1"/>
    <x v="18"/>
    <x v="9"/>
    <x v="0"/>
    <x v="9"/>
    <x v="4"/>
    <n v="4"/>
    <n v="1783"/>
    <n v="5"/>
    <n v="356.6"/>
    <n v="1219.57"/>
    <n v="382"/>
    <n v="7994.9699999999993"/>
    <n v="8376.9699999999993"/>
    <x v="2"/>
    <x v="1"/>
    <s v="Chandigarh"/>
    <x v="1"/>
    <x v="1"/>
    <n v="6"/>
    <x v="1"/>
    <n v="5"/>
    <x v="0"/>
  </r>
  <r>
    <s v="ORD00997"/>
    <x v="116"/>
    <s v="CUST522"/>
    <s v="Rahul"/>
    <x v="1"/>
    <x v="36"/>
    <x v="9"/>
    <x v="0"/>
    <x v="9"/>
    <x v="6"/>
    <n v="2"/>
    <n v="9037"/>
    <n v="20"/>
    <n v="3614.8"/>
    <n v="2602.66"/>
    <n v="427"/>
    <n v="17061.86"/>
    <n v="17488.86"/>
    <x v="3"/>
    <x v="1"/>
    <s v="Mumbai"/>
    <x v="0"/>
    <x v="0"/>
    <n v="8"/>
    <x v="0"/>
    <n v="4"/>
    <x v="3"/>
  </r>
  <r>
    <s v="ORD00998"/>
    <x v="334"/>
    <s v="CUST640"/>
    <s v="Amit"/>
    <x v="0"/>
    <x v="6"/>
    <x v="7"/>
    <x v="1"/>
    <x v="7"/>
    <x v="1"/>
    <n v="4"/>
    <n v="4700"/>
    <n v="10"/>
    <n v="1880"/>
    <n v="3045.6"/>
    <n v="112"/>
    <n v="19965.599999999999"/>
    <n v="20077.599999999999"/>
    <x v="2"/>
    <x v="0"/>
    <s v="Lucknow"/>
    <x v="4"/>
    <x v="1"/>
    <n v="2"/>
    <x v="0"/>
    <n v="3"/>
    <x v="2"/>
  </r>
  <r>
    <s v="ORD00999"/>
    <x v="331"/>
    <s v="CUST947"/>
    <s v="Priya"/>
    <x v="1"/>
    <x v="29"/>
    <x v="0"/>
    <x v="0"/>
    <x v="0"/>
    <x v="8"/>
    <n v="3"/>
    <n v="3766"/>
    <n v="0"/>
    <n v="0"/>
    <n v="2033.64"/>
    <n v="38"/>
    <n v="13331.64"/>
    <n v="13369.64"/>
    <x v="3"/>
    <x v="1"/>
    <s v="Chandigarh"/>
    <x v="1"/>
    <x v="1"/>
    <n v="2"/>
    <x v="1"/>
    <n v="5"/>
    <x v="2"/>
  </r>
  <r>
    <s v="ORD01000"/>
    <x v="165"/>
    <s v="CUST131"/>
    <s v="Sneha"/>
    <x v="0"/>
    <x v="38"/>
    <x v="0"/>
    <x v="0"/>
    <x v="0"/>
    <x v="9"/>
    <n v="3"/>
    <n v="26044"/>
    <n v="20"/>
    <n v="15626.4"/>
    <n v="11251.01"/>
    <n v="346"/>
    <n v="73756.61"/>
    <n v="74102.61"/>
    <x v="0"/>
    <x v="0"/>
    <s v="Patiala"/>
    <x v="1"/>
    <x v="1"/>
    <n v="9"/>
    <x v="1"/>
    <n v="3"/>
    <x v="3"/>
  </r>
  <r>
    <s v="ORD01001"/>
    <x v="165"/>
    <s v="CUST131"/>
    <s v="Sneha"/>
    <x v="0"/>
    <x v="38"/>
    <x v="0"/>
    <x v="0"/>
    <x v="11"/>
    <x v="9"/>
    <n v="3"/>
    <n v="26044"/>
    <n v="20"/>
    <n v="15626.4"/>
    <n v="11251.01"/>
    <n v="346"/>
    <n v="73756.61"/>
    <n v="74102.61"/>
    <x v="0"/>
    <x v="0"/>
    <s v="Patiala"/>
    <x v="1"/>
    <x v="1"/>
    <n v="9"/>
    <x v="1"/>
    <n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D3C340-74E5-45DD-83DE-C77255A51CFC}" name="PivotTable9"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B51:C62" firstHeaderRow="1" firstDataRow="1" firstDataCol="1"/>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axis="axisRow" showAll="0">
      <items count="11">
        <item x="3"/>
        <item x="5"/>
        <item x="0"/>
        <item x="1"/>
        <item x="4"/>
        <item x="9"/>
        <item x="6"/>
        <item x="2"/>
        <item x="8"/>
        <item x="7"/>
        <item t="default"/>
      </items>
    </pivotField>
    <pivotField showAll="0">
      <items count="4">
        <item x="2"/>
        <item x="0"/>
        <item x="1"/>
        <item t="default"/>
      </items>
    </pivotField>
    <pivotField showAll="0">
      <items count="13">
        <item x="3"/>
        <item x="5"/>
        <item x="0"/>
        <item x="1"/>
        <item x="4"/>
        <item x="9"/>
        <item x="6"/>
        <item x="2"/>
        <item x="8"/>
        <item x="10"/>
        <item x="11"/>
        <item x="7"/>
        <item t="default"/>
      </items>
    </pivotField>
    <pivotField showAll="0">
      <items count="11">
        <item h="1" x="9"/>
        <item h="1" x="7"/>
        <item h="1" x="1"/>
        <item h="1" x="2"/>
        <item h="1" x="3"/>
        <item h="1" x="4"/>
        <item x="6"/>
        <item h="1" x="8"/>
        <item h="1" x="5"/>
        <item h="1" x="0"/>
        <item t="default"/>
      </items>
    </pivotField>
    <pivotField showAll="0"/>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showAll="0"/>
    <pivotField showAll="0">
      <items count="5">
        <item x="2"/>
        <item x="0"/>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6"/>
  </rowFields>
  <rowItems count="11">
    <i>
      <x/>
    </i>
    <i>
      <x v="1"/>
    </i>
    <i>
      <x v="2"/>
    </i>
    <i>
      <x v="3"/>
    </i>
    <i>
      <x v="4"/>
    </i>
    <i>
      <x v="5"/>
    </i>
    <i>
      <x v="6"/>
    </i>
    <i>
      <x v="7"/>
    </i>
    <i>
      <x v="8"/>
    </i>
    <i>
      <x v="9"/>
    </i>
    <i t="grand">
      <x/>
    </i>
  </rowItems>
  <colItems count="1">
    <i/>
  </colItems>
  <dataFields count="1">
    <dataField name="Sum of TotalAmount" fld="17" showDataAs="percentOfTotal" baseField="0" baseItem="0" numFmtId="10"/>
  </dataField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8C19088-B558-4E39-84E9-943DA105B76B}" name="PivotTable6"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I46:M83" firstHeaderRow="1" firstDataRow="2" firstDataCol="1"/>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axis="axisRow" showAll="0">
      <items count="44">
        <item x="3"/>
        <item x="11"/>
        <item x="31"/>
        <item x="42"/>
        <item x="4"/>
        <item x="37"/>
        <item x="35"/>
        <item x="10"/>
        <item x="33"/>
        <item x="29"/>
        <item x="6"/>
        <item x="2"/>
        <item x="18"/>
        <item x="13"/>
        <item x="8"/>
        <item x="30"/>
        <item x="36"/>
        <item x="0"/>
        <item x="15"/>
        <item x="26"/>
        <item x="41"/>
        <item x="38"/>
        <item x="32"/>
        <item x="39"/>
        <item x="5"/>
        <item x="20"/>
        <item x="21"/>
        <item x="1"/>
        <item x="40"/>
        <item x="25"/>
        <item x="19"/>
        <item x="34"/>
        <item x="28"/>
        <item x="12"/>
        <item x="7"/>
        <item x="27"/>
        <item x="16"/>
        <item x="14"/>
        <item x="17"/>
        <item x="24"/>
        <item x="9"/>
        <item x="22"/>
        <item x="23"/>
        <item t="default"/>
      </items>
    </pivotField>
    <pivotField showAll="0"/>
    <pivotField axis="axisCol" showAll="0">
      <items count="4">
        <item x="2"/>
        <item x="0"/>
        <item x="1"/>
        <item t="default"/>
      </items>
    </pivotField>
    <pivotField showAll="0">
      <items count="13">
        <item x="3"/>
        <item x="5"/>
        <item x="0"/>
        <item x="1"/>
        <item x="4"/>
        <item x="9"/>
        <item x="6"/>
        <item x="2"/>
        <item x="8"/>
        <item x="10"/>
        <item x="11"/>
        <item x="7"/>
        <item t="default"/>
      </items>
    </pivotField>
    <pivotField showAll="0">
      <items count="11">
        <item h="1" x="9"/>
        <item h="1" x="7"/>
        <item h="1" x="1"/>
        <item h="1" x="2"/>
        <item h="1" x="3"/>
        <item h="1" x="4"/>
        <item x="6"/>
        <item h="1" x="8"/>
        <item h="1" x="5"/>
        <item h="1" x="0"/>
        <item t="default"/>
      </items>
    </pivotField>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showAll="0"/>
    <pivotField showAll="0">
      <items count="5">
        <item x="2"/>
        <item x="0"/>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5"/>
  </rowFields>
  <rowItems count="36">
    <i>
      <x/>
    </i>
    <i>
      <x v="1"/>
    </i>
    <i>
      <x v="4"/>
    </i>
    <i>
      <x v="5"/>
    </i>
    <i>
      <x v="6"/>
    </i>
    <i>
      <x v="7"/>
    </i>
    <i>
      <x v="9"/>
    </i>
    <i>
      <x v="10"/>
    </i>
    <i>
      <x v="11"/>
    </i>
    <i>
      <x v="12"/>
    </i>
    <i>
      <x v="13"/>
    </i>
    <i>
      <x v="14"/>
    </i>
    <i>
      <x v="15"/>
    </i>
    <i>
      <x v="16"/>
    </i>
    <i>
      <x v="17"/>
    </i>
    <i>
      <x v="19"/>
    </i>
    <i>
      <x v="21"/>
    </i>
    <i>
      <x v="22"/>
    </i>
    <i>
      <x v="23"/>
    </i>
    <i>
      <x v="24"/>
    </i>
    <i>
      <x v="25"/>
    </i>
    <i>
      <x v="26"/>
    </i>
    <i>
      <x v="27"/>
    </i>
    <i>
      <x v="29"/>
    </i>
    <i>
      <x v="31"/>
    </i>
    <i>
      <x v="32"/>
    </i>
    <i>
      <x v="34"/>
    </i>
    <i>
      <x v="35"/>
    </i>
    <i>
      <x v="36"/>
    </i>
    <i>
      <x v="37"/>
    </i>
    <i>
      <x v="38"/>
    </i>
    <i>
      <x v="39"/>
    </i>
    <i>
      <x v="40"/>
    </i>
    <i>
      <x v="41"/>
    </i>
    <i>
      <x v="42"/>
    </i>
    <i t="grand">
      <x/>
    </i>
  </rowItems>
  <colFields count="1">
    <field x="7"/>
  </colFields>
  <colItems count="4">
    <i>
      <x/>
    </i>
    <i>
      <x v="1"/>
    </i>
    <i>
      <x v="2"/>
    </i>
    <i t="grand">
      <x/>
    </i>
  </colItems>
  <dataFields count="1">
    <dataField name="Sum of Quantity" fld="10" baseField="0" baseItem="0"/>
  </dataFields>
  <chartFormats count="7">
    <chartFormat chart="7" format="0" series="1">
      <pivotArea type="data" outline="0" fieldPosition="0">
        <references count="2">
          <reference field="4294967294" count="1" selected="0">
            <x v="0"/>
          </reference>
          <reference field="7" count="1" selected="0">
            <x v="0"/>
          </reference>
        </references>
      </pivotArea>
    </chartFormat>
    <chartFormat chart="7" format="1" series="1">
      <pivotArea type="data" outline="0" fieldPosition="0">
        <references count="2">
          <reference field="4294967294" count="1" selected="0">
            <x v="0"/>
          </reference>
          <reference field="7" count="1" selected="0">
            <x v="1"/>
          </reference>
        </references>
      </pivotArea>
    </chartFormat>
    <chartFormat chart="7" format="2" series="1">
      <pivotArea type="data" outline="0" fieldPosition="0">
        <references count="2">
          <reference field="4294967294" count="1" selected="0">
            <x v="0"/>
          </reference>
          <reference field="7" count="1" selected="0">
            <x v="2"/>
          </reference>
        </references>
      </pivotArea>
    </chartFormat>
    <chartFormat chart="7" format="3" series="1">
      <pivotArea type="data" outline="0" fieldPosition="0">
        <references count="1">
          <reference field="4294967294" count="1" selected="0">
            <x v="0"/>
          </reference>
        </references>
      </pivotArea>
    </chartFormat>
    <chartFormat chart="18" format="7" series="1">
      <pivotArea type="data" outline="0" fieldPosition="0">
        <references count="2">
          <reference field="4294967294" count="1" selected="0">
            <x v="0"/>
          </reference>
          <reference field="7" count="1" selected="0">
            <x v="0"/>
          </reference>
        </references>
      </pivotArea>
    </chartFormat>
    <chartFormat chart="18" format="8" series="1">
      <pivotArea type="data" outline="0" fieldPosition="0">
        <references count="2">
          <reference field="4294967294" count="1" selected="0">
            <x v="0"/>
          </reference>
          <reference field="7" count="1" selected="0">
            <x v="1"/>
          </reference>
        </references>
      </pivotArea>
    </chartFormat>
    <chartFormat chart="18" format="9" series="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00F5DC-447E-4BA0-8B87-A8AEF9C8FF9E}" name="PivotTable5"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W6:W7" firstHeaderRow="1" firstDataRow="1" firstDataCol="0"/>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items count="13">
        <item x="3"/>
        <item x="5"/>
        <item x="0"/>
        <item x="1"/>
        <item x="4"/>
        <item x="9"/>
        <item x="6"/>
        <item x="2"/>
        <item x="8"/>
        <item x="10"/>
        <item x="11"/>
        <item x="7"/>
        <item t="default"/>
      </items>
    </pivotField>
    <pivotField showAll="0">
      <items count="11">
        <item h="1" x="9"/>
        <item h="1" x="7"/>
        <item h="1" x="1"/>
        <item h="1" x="2"/>
        <item h="1" x="3"/>
        <item h="1" x="4"/>
        <item x="6"/>
        <item h="1" x="8"/>
        <item h="1" x="5"/>
        <item h="1" x="0"/>
        <item t="default"/>
      </items>
    </pivotField>
    <pivotField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dataField="1" showAll="0"/>
    <pivotField showAll="0">
      <items count="5">
        <item x="2"/>
        <item x="0"/>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Rating" fld="25" subtotal="average" baseField="0" baseItem="0" numFmtId="165"/>
  </dataFields>
  <formats count="3">
    <format dxfId="28">
      <pivotArea type="all" dataOnly="0" outline="0" fieldPosition="0"/>
    </format>
    <format dxfId="29">
      <pivotArea outline="0" collapsedLevelsAreSubtotals="1" fieldPosition="0"/>
    </format>
    <format dxfId="3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982A74-1489-4FA0-BF1B-126751FA0DFC}" name="PivotTable4"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S6:S7" firstHeaderRow="1" firstDataRow="1" firstDataCol="0"/>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items count="13">
        <item x="3"/>
        <item x="5"/>
        <item x="0"/>
        <item x="1"/>
        <item x="4"/>
        <item x="9"/>
        <item x="6"/>
        <item x="2"/>
        <item x="8"/>
        <item x="10"/>
        <item x="11"/>
        <item x="7"/>
        <item t="default"/>
      </items>
    </pivotField>
    <pivotField showAll="0">
      <items count="11">
        <item h="1" x="9"/>
        <item h="1" x="7"/>
        <item h="1" x="1"/>
        <item h="1" x="2"/>
        <item h="1" x="3"/>
        <item h="1" x="4"/>
        <item x="6"/>
        <item h="1" x="8"/>
        <item h="1" x="5"/>
        <item h="1" x="0"/>
        <item t="default"/>
      </items>
    </pivotField>
    <pivotField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dataField="1" showAll="0"/>
    <pivotField showAll="0">
      <items count="3">
        <item x="0"/>
        <item x="1"/>
        <item t="default"/>
      </items>
    </pivotField>
    <pivotField showAll="0"/>
    <pivotField showAll="0">
      <items count="5">
        <item x="2"/>
        <item x="0"/>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Average of DeliveryDays" fld="23" subtotal="average" baseField="0" baseItem="0" numFmtId="1"/>
  </dataFields>
  <formats count="3">
    <format dxfId="31">
      <pivotArea type="all" dataOnly="0" outline="0" fieldPosition="0"/>
    </format>
    <format dxfId="32">
      <pivotArea outline="0" collapsedLevelsAreSubtotals="1" fieldPosition="0"/>
    </format>
    <format dxfId="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5FBF4E-E008-4394-BBE8-34D59C271684}" name="PivotTable3"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O6:O7" firstHeaderRow="1" firstDataRow="1" firstDataCol="0"/>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items count="13">
        <item x="3"/>
        <item x="5"/>
        <item x="0"/>
        <item x="1"/>
        <item x="4"/>
        <item x="9"/>
        <item x="6"/>
        <item x="2"/>
        <item x="8"/>
        <item x="10"/>
        <item x="11"/>
        <item x="7"/>
        <item t="default"/>
      </items>
    </pivotField>
    <pivotField showAll="0">
      <items count="11">
        <item h="1" x="9"/>
        <item h="1" x="7"/>
        <item h="1" x="1"/>
        <item h="1" x="2"/>
        <item h="1" x="3"/>
        <item h="1" x="4"/>
        <item x="6"/>
        <item h="1" x="8"/>
        <item h="1" x="5"/>
        <item h="1" x="0"/>
        <item t="default"/>
      </items>
    </pivotField>
    <pivotField showAll="0"/>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showAll="0"/>
    <pivotField showAll="0">
      <items count="5">
        <item x="2"/>
        <item x="0"/>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TotalAmount" fld="17" baseField="0" baseItem="0" numFmtId="2"/>
  </dataFields>
  <formats count="3">
    <format dxfId="34">
      <pivotArea type="all" dataOnly="0" outline="0" fieldPosition="0"/>
    </format>
    <format dxfId="35">
      <pivotArea outline="0" collapsedLevelsAreSubtotals="1" fieldPosition="0"/>
    </format>
    <format dxfId="3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9562C4-746C-4711-9385-FABB4E6D075A}" name="PivotTable2"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L40:M43" firstHeaderRow="1" firstDataRow="1" firstDataCol="1"/>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items count="13">
        <item x="3"/>
        <item x="5"/>
        <item x="0"/>
        <item x="1"/>
        <item x="4"/>
        <item x="9"/>
        <item x="6"/>
        <item x="2"/>
        <item x="8"/>
        <item x="10"/>
        <item x="11"/>
        <item x="7"/>
        <item t="default"/>
      </items>
    </pivotField>
    <pivotField showAll="0">
      <items count="11">
        <item h="1" x="9"/>
        <item h="1" x="7"/>
        <item h="1" x="1"/>
        <item h="1" x="2"/>
        <item h="1" x="3"/>
        <item h="1" x="4"/>
        <item x="6"/>
        <item h="1" x="8"/>
        <item h="1" x="5"/>
        <item h="1" x="0"/>
        <item t="default"/>
      </items>
    </pivotField>
    <pivotField showAll="0"/>
    <pivotField showAll="0"/>
    <pivotField showAll="0"/>
    <pivotField showAll="0"/>
    <pivotField showAll="0"/>
    <pivotField showAll="0"/>
    <pivotField showAll="0"/>
    <pivotField dataField="1" showAll="0"/>
    <pivotField showAll="0">
      <items count="5">
        <item x="3"/>
        <item x="1"/>
        <item x="0"/>
        <item x="2"/>
        <item t="default"/>
      </items>
    </pivotField>
    <pivotField axis="axisRow"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showAll="0"/>
    <pivotField showAll="0">
      <items count="5">
        <item x="2"/>
        <item x="0"/>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9"/>
  </rowFields>
  <rowItems count="3">
    <i>
      <x/>
    </i>
    <i>
      <x v="1"/>
    </i>
    <i t="grand">
      <x/>
    </i>
  </rowItems>
  <colItems count="1">
    <i/>
  </colItems>
  <dataFields count="1">
    <dataField name="Sum of TotalAmount" fld="17" showDataAs="percentOfTotal" baseField="0" baseItem="0" numFmtId="10"/>
  </dataFields>
  <formats count="1">
    <format dxfId="37">
      <pivotArea collapsedLevelsAreSubtotals="1" fieldPosition="0">
        <references count="1">
          <reference field="19" count="0"/>
        </references>
      </pivotArea>
    </format>
  </formats>
  <chartFormats count="4">
    <chartFormat chart="7"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9" count="1" selected="0">
            <x v="0"/>
          </reference>
        </references>
      </pivotArea>
    </chartFormat>
    <chartFormat chart="20" format="6">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8C85471-E414-48DE-B783-1A1034DA8977}" name="PivotTable1"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location ref="L34:M37" firstHeaderRow="1" firstDataRow="1" firstDataCol="1"/>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axis="axisRow" showAll="0">
      <items count="3">
        <item x="0"/>
        <item x="1"/>
        <item t="default"/>
      </items>
    </pivotField>
    <pivotField showAll="0"/>
    <pivotField showAll="0"/>
    <pivotField showAll="0">
      <items count="4">
        <item x="2"/>
        <item x="0"/>
        <item x="1"/>
        <item t="default"/>
      </items>
    </pivotField>
    <pivotField showAll="0">
      <items count="13">
        <item x="3"/>
        <item x="5"/>
        <item x="0"/>
        <item x="1"/>
        <item x="4"/>
        <item x="9"/>
        <item x="6"/>
        <item x="2"/>
        <item x="8"/>
        <item x="10"/>
        <item x="11"/>
        <item x="7"/>
        <item t="default"/>
      </items>
    </pivotField>
    <pivotField showAll="0">
      <items count="11">
        <item h="1" x="9"/>
        <item h="1" x="7"/>
        <item h="1" x="1"/>
        <item h="1" x="2"/>
        <item h="1" x="3"/>
        <item h="1" x="4"/>
        <item x="6"/>
        <item h="1" x="8"/>
        <item h="1" x="5"/>
        <item h="1" x="0"/>
        <item t="default"/>
      </items>
    </pivotField>
    <pivotField showAll="0"/>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showAll="0"/>
    <pivotField showAll="0">
      <items count="5">
        <item x="2"/>
        <item x="0"/>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3">
    <i>
      <x/>
    </i>
    <i>
      <x v="1"/>
    </i>
    <i t="grand">
      <x/>
    </i>
  </rowItems>
  <colItems count="1">
    <i/>
  </colItems>
  <dataFields count="1">
    <dataField name="Sum of TotalAmount" fld="17" showDataAs="percentOfTotal" baseField="0" baseItem="0" numFmtId="10"/>
  </dataFields>
  <formats count="1">
    <format dxfId="38">
      <pivotArea collapsedLevelsAreSubtotals="1" fieldPosition="0">
        <references count="1">
          <reference field="4" count="0"/>
        </references>
      </pivotArea>
    </format>
  </formats>
  <chartFormats count="4">
    <chartFormat chart="9" format="0"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4" count="1" selected="0">
            <x v="0"/>
          </reference>
        </references>
      </pivotArea>
    </chartFormat>
    <chartFormat chart="12" format="6">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D68664-36FE-4537-83A1-7C7114C0672A}" name="PivotTable10"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location ref="H21:I26" firstHeaderRow="1" firstDataRow="1" firstDataCol="1"/>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items count="13">
        <item x="3"/>
        <item x="5"/>
        <item x="0"/>
        <item x="1"/>
        <item x="4"/>
        <item x="9"/>
        <item x="6"/>
        <item x="2"/>
        <item x="8"/>
        <item x="10"/>
        <item x="11"/>
        <item x="7"/>
        <item t="default"/>
      </items>
    </pivotField>
    <pivotField showAll="0">
      <items count="11">
        <item h="1" x="9"/>
        <item h="1" x="7"/>
        <item h="1" x="1"/>
        <item h="1" x="2"/>
        <item h="1" x="3"/>
        <item h="1" x="4"/>
        <item x="6"/>
        <item h="1" x="8"/>
        <item h="1" x="5"/>
        <item h="1" x="0"/>
        <item t="default"/>
      </items>
    </pivotField>
    <pivotField dataField="1" showAll="0"/>
    <pivotField showAll="0"/>
    <pivotField showAll="0"/>
    <pivotField showAll="0"/>
    <pivotField showAll="0"/>
    <pivotField showAll="0"/>
    <pivotField showAll="0"/>
    <pivotField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showAll="0"/>
    <pivotField axis="axisRow" showAll="0">
      <items count="5">
        <item x="2"/>
        <item x="0"/>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6"/>
  </rowFields>
  <rowItems count="5">
    <i>
      <x/>
    </i>
    <i>
      <x v="1"/>
    </i>
    <i>
      <x v="2"/>
    </i>
    <i>
      <x v="3"/>
    </i>
    <i t="grand">
      <x/>
    </i>
  </rowItems>
  <colItems count="1">
    <i/>
  </colItems>
  <dataFields count="1">
    <dataField name="Sum of Quantity" fld="10" showDataAs="percentOfTotal" baseField="0" baseItem="0" numFmtId="10"/>
  </dataFields>
  <formats count="1">
    <format dxfId="41">
      <pivotArea collapsedLevelsAreSubtotals="1" fieldPosition="0">
        <references count="1">
          <reference field="26" count="0"/>
        </references>
      </pivotArea>
    </format>
  </formats>
  <chartFormats count="6">
    <chartFormat chart="7" format="0" series="1">
      <pivotArea type="data" outline="0" fieldPosition="0">
        <references count="1">
          <reference field="4294967294" count="1" selected="0">
            <x v="0"/>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26" count="1" selected="0">
            <x v="0"/>
          </reference>
        </references>
      </pivotArea>
    </chartFormat>
    <chartFormat chart="13" format="8">
      <pivotArea type="data" outline="0" fieldPosition="0">
        <references count="2">
          <reference field="4294967294" count="1" selected="0">
            <x v="0"/>
          </reference>
          <reference field="26" count="1" selected="0">
            <x v="1"/>
          </reference>
        </references>
      </pivotArea>
    </chartFormat>
    <chartFormat chart="13" format="9">
      <pivotArea type="data" outline="0" fieldPosition="0">
        <references count="2">
          <reference field="4294967294" count="1" selected="0">
            <x v="0"/>
          </reference>
          <reference field="26" count="1" selected="0">
            <x v="2"/>
          </reference>
        </references>
      </pivotArea>
    </chartFormat>
    <chartFormat chart="13" format="10">
      <pivotArea type="data" outline="0" fieldPosition="0">
        <references count="2">
          <reference field="4294967294" count="1" selected="0">
            <x v="0"/>
          </reference>
          <reference field="2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07107E-31E0-488B-B5A6-A480BC5B616E}" name="PivotTable8"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location ref="K3:M10" firstHeaderRow="0" firstDataRow="1" firstDataCol="1"/>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items count="13">
        <item x="3"/>
        <item x="5"/>
        <item x="0"/>
        <item x="1"/>
        <item x="4"/>
        <item x="9"/>
        <item x="6"/>
        <item x="2"/>
        <item x="8"/>
        <item x="10"/>
        <item x="11"/>
        <item x="7"/>
        <item t="default"/>
      </items>
    </pivotField>
    <pivotField showAll="0">
      <items count="11">
        <item h="1" x="9"/>
        <item h="1" x="7"/>
        <item h="1" x="1"/>
        <item h="1" x="2"/>
        <item h="1" x="3"/>
        <item h="1" x="4"/>
        <item x="6"/>
        <item h="1" x="8"/>
        <item h="1" x="5"/>
        <item h="1" x="0"/>
        <item t="default"/>
      </items>
    </pivotField>
    <pivotField dataField="1" showAll="0"/>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axis="axisRow"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showAll="0"/>
    <pivotField showAll="0">
      <items count="5">
        <item x="2"/>
        <item x="0"/>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1"/>
  </rowFields>
  <rowItems count="7">
    <i>
      <x/>
    </i>
    <i>
      <x v="1"/>
    </i>
    <i>
      <x v="2"/>
    </i>
    <i>
      <x v="3"/>
    </i>
    <i>
      <x v="4"/>
    </i>
    <i>
      <x v="5"/>
    </i>
    <i t="grand">
      <x/>
    </i>
  </rowItems>
  <colFields count="1">
    <field x="-2"/>
  </colFields>
  <colItems count="2">
    <i>
      <x/>
    </i>
    <i i="1">
      <x v="1"/>
    </i>
  </colItems>
  <dataFields count="2">
    <dataField name="Sum of Quantity" fld="10" baseField="0" baseItem="0"/>
    <dataField name="Sum of TotalAm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179D012-C5F7-4CE0-B000-1CA0DCA52995}" name="PivotTable7"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8">
  <location ref="F3:G16" firstHeaderRow="1" firstDataRow="1" firstDataCol="1"/>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items count="13">
        <item x="3"/>
        <item x="5"/>
        <item x="0"/>
        <item x="1"/>
        <item x="4"/>
        <item x="9"/>
        <item x="6"/>
        <item x="2"/>
        <item x="8"/>
        <item x="10"/>
        <item x="11"/>
        <item x="7"/>
        <item t="default"/>
      </items>
    </pivotField>
    <pivotField showAll="0">
      <items count="11">
        <item h="1" x="9"/>
        <item h="1" x="7"/>
        <item h="1" x="1"/>
        <item h="1" x="2"/>
        <item h="1" x="3"/>
        <item h="1" x="4"/>
        <item x="6"/>
        <item h="1" x="8"/>
        <item h="1" x="5"/>
        <item h="1" x="0"/>
        <item t="default"/>
      </items>
    </pivotField>
    <pivotField showAll="0"/>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pivotField showAll="0">
      <items count="4">
        <item x="1"/>
        <item x="2"/>
        <item x="0"/>
        <item t="default"/>
      </items>
    </pivotField>
    <pivotField showAll="0"/>
    <pivotField showAll="0">
      <items count="3">
        <item x="0"/>
        <item x="1"/>
        <item t="default"/>
      </items>
    </pivotField>
    <pivotField showAll="0"/>
    <pivotField showAll="0">
      <items count="5">
        <item x="2"/>
        <item x="0"/>
        <item x="1"/>
        <item x="3"/>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7"/>
  </rowFields>
  <rowItems count="13">
    <i>
      <x v="1"/>
    </i>
    <i>
      <x v="2"/>
    </i>
    <i>
      <x v="3"/>
    </i>
    <i>
      <x v="4"/>
    </i>
    <i>
      <x v="5"/>
    </i>
    <i>
      <x v="6"/>
    </i>
    <i>
      <x v="7"/>
    </i>
    <i>
      <x v="8"/>
    </i>
    <i>
      <x v="9"/>
    </i>
    <i>
      <x v="10"/>
    </i>
    <i>
      <x v="11"/>
    </i>
    <i>
      <x v="12"/>
    </i>
    <i t="grand">
      <x/>
    </i>
  </rowItems>
  <colItems count="1">
    <i/>
  </colItems>
  <dataFields count="1">
    <dataField name="Sum of TotalAmount" fld="17" showDataAs="percentOfTotal" baseField="0" baseItem="0" numFmtId="10"/>
  </dataFields>
  <chartFormats count="2">
    <chartFormat chart="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5C22D09-692D-47BF-A89B-D5A41F3D5F7C}" name="totalprice"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3">
  <location ref="A3:C7" firstHeaderRow="0" firstDataRow="1" firstDataCol="1"/>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axis="axisRow" showAll="0">
      <items count="4">
        <item x="2"/>
        <item x="0"/>
        <item x="1"/>
        <item t="default"/>
      </items>
    </pivotField>
    <pivotField showAll="0">
      <items count="13">
        <item x="3"/>
        <item x="5"/>
        <item x="0"/>
        <item x="1"/>
        <item x="4"/>
        <item x="9"/>
        <item x="6"/>
        <item x="2"/>
        <item x="8"/>
        <item x="10"/>
        <item x="11"/>
        <item x="7"/>
        <item t="default"/>
      </items>
    </pivotField>
    <pivotField showAll="0">
      <items count="11">
        <item h="1" x="9"/>
        <item h="1" x="7"/>
        <item h="1" x="1"/>
        <item h="1" x="2"/>
        <item h="1" x="3"/>
        <item h="1" x="4"/>
        <item x="6"/>
        <item h="1" x="8"/>
        <item h="1" x="5"/>
        <item h="1" x="0"/>
        <item t="default"/>
      </items>
    </pivotField>
    <pivotField dataField="1" showAll="0"/>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pivotField showAll="0">
      <items count="4">
        <item x="1"/>
        <item x="2"/>
        <item x="0"/>
        <item t="default"/>
      </items>
    </pivotField>
    <pivotField showAll="0"/>
    <pivotField showAll="0">
      <items count="3">
        <item x="0"/>
        <item x="1"/>
        <item t="default"/>
      </items>
    </pivotField>
    <pivotField showAll="0"/>
    <pivotField showAll="0">
      <items count="5">
        <item x="2"/>
        <item x="0"/>
        <item x="1"/>
        <item x="3"/>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t="grand">
      <x/>
    </i>
  </rowItems>
  <colFields count="1">
    <field x="-2"/>
  </colFields>
  <colItems count="2">
    <i>
      <x/>
    </i>
    <i i="1">
      <x v="1"/>
    </i>
  </colItems>
  <dataFields count="2">
    <dataField name="Sum of Quantity" fld="10" baseField="0" baseItem="0"/>
    <dataField name="Sum of TotalAmount" fld="17" baseField="0" baseItem="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5" format="4" series="1">
      <pivotArea type="data" outline="0" fieldPosition="0">
        <references count="1">
          <reference field="4294967294" count="1" selected="0">
            <x v="1"/>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529662C-8B0D-48D4-AFF8-C49B23BE5490}" name="PivotTable12"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6">
  <location ref="H30:J32" firstHeaderRow="0" firstDataRow="1" firstDataCol="1"/>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items count="13">
        <item x="3"/>
        <item x="5"/>
        <item x="0"/>
        <item x="1"/>
        <item x="4"/>
        <item x="9"/>
        <item x="6"/>
        <item x="2"/>
        <item x="8"/>
        <item x="10"/>
        <item x="11"/>
        <item x="7"/>
        <item t="default"/>
      </items>
    </pivotField>
    <pivotField axis="axisRow" showAll="0">
      <items count="11">
        <item h="1" x="9"/>
        <item h="1" x="7"/>
        <item h="1" x="1"/>
        <item h="1" x="2"/>
        <item h="1" x="3"/>
        <item h="1" x="4"/>
        <item x="6"/>
        <item h="1" x="8"/>
        <item h="1" x="5"/>
        <item h="1" x="0"/>
        <item t="default"/>
      </items>
    </pivotField>
    <pivotField showAll="0"/>
    <pivotField showAll="0"/>
    <pivotField showAll="0"/>
    <pivotField showAll="0"/>
    <pivotField showAll="0"/>
    <pivotField showAll="0"/>
    <pivotField showAll="0"/>
    <pivotField dataField="1" showAll="0"/>
    <pivotField showAll="0">
      <items count="5">
        <item x="3"/>
        <item x="1"/>
        <item x="0"/>
        <item x="2"/>
        <item t="default"/>
      </items>
    </pivotField>
    <pivotField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dataField="1" showAll="0"/>
    <pivotField showAll="0">
      <items count="5">
        <item x="2"/>
        <item x="0"/>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2">
    <i>
      <x v="6"/>
    </i>
    <i t="grand">
      <x/>
    </i>
  </rowItems>
  <colFields count="1">
    <field x="-2"/>
  </colFields>
  <colItems count="2">
    <i>
      <x/>
    </i>
    <i i="1">
      <x v="1"/>
    </i>
  </colItems>
  <dataFields count="2">
    <dataField name="Sum of TotalAmount" fld="17" baseField="0" baseItem="0"/>
    <dataField name="Average of Rating" fld="25" subtotal="average" baseField="9" baseItem="0" numFmtId="165"/>
  </dataFields>
  <formats count="1">
    <format dxfId="39">
      <pivotArea outline="0" collapsedLevelsAreSubtotals="1" fieldPosition="0">
        <references count="1">
          <reference field="4294967294" count="1" selected="0">
            <x v="1"/>
          </reference>
        </references>
      </pivotArea>
    </format>
  </formats>
  <chartFormats count="2">
    <chartFormat chart="13"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490B45-772A-4B17-AA5A-30F4E740890B}" name="PivotTable11" cacheId="7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location ref="K23:N29" firstHeaderRow="1" firstDataRow="2" firstDataCol="1"/>
  <pivotFields count="30">
    <pivotField showAll="0"/>
    <pivotField numFmtId="15" showAll="0">
      <items count="340">
        <item x="322"/>
        <item x="253"/>
        <item x="195"/>
        <item x="76"/>
        <item x="82"/>
        <item x="210"/>
        <item x="288"/>
        <item x="88"/>
        <item x="217"/>
        <item x="299"/>
        <item x="249"/>
        <item x="247"/>
        <item x="271"/>
        <item x="110"/>
        <item x="123"/>
        <item x="187"/>
        <item x="310"/>
        <item x="318"/>
        <item x="40"/>
        <item x="311"/>
        <item x="8"/>
        <item x="166"/>
        <item x="7"/>
        <item x="319"/>
        <item x="307"/>
        <item x="17"/>
        <item x="117"/>
        <item x="194"/>
        <item x="314"/>
        <item x="225"/>
        <item x="177"/>
        <item x="1"/>
        <item x="236"/>
        <item x="86"/>
        <item x="205"/>
        <item x="264"/>
        <item x="207"/>
        <item x="158"/>
        <item x="243"/>
        <item x="235"/>
        <item x="108"/>
        <item x="57"/>
        <item x="150"/>
        <item x="233"/>
        <item x="70"/>
        <item x="230"/>
        <item x="156"/>
        <item x="32"/>
        <item x="16"/>
        <item x="75"/>
        <item x="120"/>
        <item x="201"/>
        <item x="83"/>
        <item x="281"/>
        <item x="149"/>
        <item x="192"/>
        <item x="52"/>
        <item x="313"/>
        <item x="50"/>
        <item x="213"/>
        <item x="36"/>
        <item x="28"/>
        <item x="333"/>
        <item x="199"/>
        <item x="327"/>
        <item x="43"/>
        <item x="293"/>
        <item x="124"/>
        <item x="282"/>
        <item x="46"/>
        <item x="116"/>
        <item x="10"/>
        <item x="98"/>
        <item x="202"/>
        <item x="161"/>
        <item x="132"/>
        <item x="302"/>
        <item x="305"/>
        <item x="147"/>
        <item x="292"/>
        <item x="139"/>
        <item x="248"/>
        <item x="112"/>
        <item x="94"/>
        <item x="62"/>
        <item x="69"/>
        <item x="212"/>
        <item x="146"/>
        <item x="3"/>
        <item x="109"/>
        <item x="127"/>
        <item x="0"/>
        <item x="338"/>
        <item x="89"/>
        <item x="72"/>
        <item x="306"/>
        <item x="309"/>
        <item x="51"/>
        <item x="154"/>
        <item x="9"/>
        <item x="265"/>
        <item x="80"/>
        <item x="320"/>
        <item x="79"/>
        <item x="137"/>
        <item x="114"/>
        <item x="104"/>
        <item x="183"/>
        <item x="186"/>
        <item x="66"/>
        <item x="33"/>
        <item x="289"/>
        <item x="179"/>
        <item x="184"/>
        <item x="227"/>
        <item x="68"/>
        <item x="226"/>
        <item x="27"/>
        <item x="277"/>
        <item x="297"/>
        <item x="175"/>
        <item x="58"/>
        <item x="291"/>
        <item x="324"/>
        <item x="251"/>
        <item x="122"/>
        <item x="84"/>
        <item x="206"/>
        <item x="239"/>
        <item x="329"/>
        <item x="19"/>
        <item x="203"/>
        <item x="2"/>
        <item x="102"/>
        <item x="106"/>
        <item x="47"/>
        <item x="283"/>
        <item x="286"/>
        <item x="121"/>
        <item x="44"/>
        <item x="61"/>
        <item x="298"/>
        <item x="103"/>
        <item x="74"/>
        <item x="60"/>
        <item x="111"/>
        <item x="37"/>
        <item x="159"/>
        <item x="38"/>
        <item x="242"/>
        <item x="234"/>
        <item x="228"/>
        <item x="59"/>
        <item x="45"/>
        <item x="270"/>
        <item x="48"/>
        <item x="130"/>
        <item x="263"/>
        <item x="138"/>
        <item x="157"/>
        <item x="56"/>
        <item x="254"/>
        <item x="4"/>
        <item x="23"/>
        <item x="135"/>
        <item x="303"/>
        <item x="180"/>
        <item x="92"/>
        <item x="246"/>
        <item x="181"/>
        <item x="136"/>
        <item x="118"/>
        <item x="30"/>
        <item x="115"/>
        <item x="328"/>
        <item x="67"/>
        <item x="169"/>
        <item x="334"/>
        <item x="119"/>
        <item x="90"/>
        <item x="129"/>
        <item x="91"/>
        <item x="284"/>
        <item x="276"/>
        <item x="64"/>
        <item x="143"/>
        <item x="250"/>
        <item x="134"/>
        <item x="224"/>
        <item x="330"/>
        <item x="229"/>
        <item x="13"/>
        <item x="260"/>
        <item x="245"/>
        <item x="204"/>
        <item x="259"/>
        <item x="71"/>
        <item x="274"/>
        <item x="295"/>
        <item x="78"/>
        <item x="244"/>
        <item x="12"/>
        <item x="337"/>
        <item x="296"/>
        <item x="167"/>
        <item x="125"/>
        <item x="63"/>
        <item x="336"/>
        <item x="326"/>
        <item x="185"/>
        <item x="42"/>
        <item x="308"/>
        <item x="34"/>
        <item x="96"/>
        <item x="332"/>
        <item x="100"/>
        <item x="219"/>
        <item x="18"/>
        <item x="255"/>
        <item x="279"/>
        <item x="144"/>
        <item x="95"/>
        <item x="148"/>
        <item x="258"/>
        <item x="300"/>
        <item x="55"/>
        <item x="261"/>
        <item x="241"/>
        <item x="267"/>
        <item x="15"/>
        <item x="101"/>
        <item x="168"/>
        <item x="29"/>
        <item x="152"/>
        <item x="165"/>
        <item x="151"/>
        <item x="232"/>
        <item x="6"/>
        <item x="220"/>
        <item x="140"/>
        <item x="252"/>
        <item x="162"/>
        <item x="21"/>
        <item x="182"/>
        <item x="273"/>
        <item x="105"/>
        <item x="208"/>
        <item x="20"/>
        <item x="160"/>
        <item x="113"/>
        <item x="197"/>
        <item x="87"/>
        <item x="198"/>
        <item x="218"/>
        <item x="35"/>
        <item x="171"/>
        <item x="142"/>
        <item x="223"/>
        <item x="315"/>
        <item x="81"/>
        <item x="54"/>
        <item x="11"/>
        <item x="65"/>
        <item x="325"/>
        <item x="196"/>
        <item x="53"/>
        <item x="215"/>
        <item x="93"/>
        <item x="287"/>
        <item x="188"/>
        <item x="128"/>
        <item x="209"/>
        <item x="216"/>
        <item x="312"/>
        <item x="262"/>
        <item x="25"/>
        <item x="221"/>
        <item x="323"/>
        <item x="77"/>
        <item x="321"/>
        <item x="331"/>
        <item x="164"/>
        <item x="231"/>
        <item x="5"/>
        <item x="131"/>
        <item x="41"/>
        <item x="268"/>
        <item x="294"/>
        <item x="126"/>
        <item x="176"/>
        <item x="285"/>
        <item x="256"/>
        <item x="31"/>
        <item x="173"/>
        <item x="240"/>
        <item x="155"/>
        <item x="335"/>
        <item x="275"/>
        <item x="145"/>
        <item x="316"/>
        <item x="317"/>
        <item x="22"/>
        <item x="99"/>
        <item x="222"/>
        <item x="238"/>
        <item x="257"/>
        <item x="174"/>
        <item x="133"/>
        <item x="163"/>
        <item x="49"/>
        <item x="237"/>
        <item x="269"/>
        <item x="301"/>
        <item x="191"/>
        <item x="172"/>
        <item x="190"/>
        <item x="14"/>
        <item x="97"/>
        <item x="278"/>
        <item x="153"/>
        <item x="141"/>
        <item x="193"/>
        <item x="200"/>
        <item x="290"/>
        <item x="272"/>
        <item x="24"/>
        <item x="85"/>
        <item x="266"/>
        <item x="211"/>
        <item x="107"/>
        <item x="280"/>
        <item x="73"/>
        <item x="189"/>
        <item x="26"/>
        <item x="170"/>
        <item x="214"/>
        <item x="304"/>
        <item x="39"/>
        <item x="178"/>
        <item t="default"/>
      </items>
    </pivotField>
    <pivotField showAll="0"/>
    <pivotField showAll="0"/>
    <pivotField showAll="0">
      <items count="3">
        <item x="0"/>
        <item x="1"/>
        <item t="default"/>
      </items>
    </pivotField>
    <pivotField showAll="0"/>
    <pivotField showAll="0"/>
    <pivotField showAll="0">
      <items count="4">
        <item x="2"/>
        <item x="0"/>
        <item x="1"/>
        <item t="default"/>
      </items>
    </pivotField>
    <pivotField showAll="0">
      <items count="13">
        <item x="3"/>
        <item x="5"/>
        <item x="0"/>
        <item x="1"/>
        <item x="4"/>
        <item x="9"/>
        <item x="6"/>
        <item x="2"/>
        <item x="8"/>
        <item x="10"/>
        <item x="11"/>
        <item x="7"/>
        <item t="default"/>
      </items>
    </pivotField>
    <pivotField showAll="0">
      <items count="11">
        <item h="1" x="9"/>
        <item h="1" x="7"/>
        <item h="1" x="1"/>
        <item h="1" x="2"/>
        <item h="1" x="3"/>
        <item h="1" x="4"/>
        <item x="6"/>
        <item h="1" x="8"/>
        <item h="1" x="5"/>
        <item h="1" x="0"/>
        <item t="default"/>
      </items>
    </pivotField>
    <pivotField dataField="1" showAll="0"/>
    <pivotField showAll="0"/>
    <pivotField showAll="0"/>
    <pivotField showAll="0"/>
    <pivotField showAll="0"/>
    <pivotField showAll="0"/>
    <pivotField showAll="0"/>
    <pivotField showAll="0"/>
    <pivotField axis="axisRow" showAll="0">
      <items count="5">
        <item x="3"/>
        <item x="1"/>
        <item x="0"/>
        <item x="2"/>
        <item t="default"/>
      </items>
    </pivotField>
    <pivotField axis="axisCol" showAll="0">
      <items count="3">
        <item x="1"/>
        <item x="0"/>
        <item t="default"/>
      </items>
    </pivotField>
    <pivotField showAll="0"/>
    <pivotField showAll="0">
      <items count="7">
        <item x="5"/>
        <item x="3"/>
        <item x="0"/>
        <item x="1"/>
        <item x="2"/>
        <item x="4"/>
        <item t="default"/>
      </items>
    </pivotField>
    <pivotField showAll="0">
      <items count="4">
        <item x="1"/>
        <item x="2"/>
        <item x="0"/>
        <item t="default"/>
      </items>
    </pivotField>
    <pivotField showAll="0"/>
    <pivotField showAll="0">
      <items count="3">
        <item x="0"/>
        <item x="1"/>
        <item t="default"/>
      </items>
    </pivotField>
    <pivotField showAll="0"/>
    <pivotField showAll="0">
      <items count="5">
        <item x="2"/>
        <item x="0"/>
        <item x="1"/>
        <item x="3"/>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18"/>
  </rowFields>
  <rowItems count="5">
    <i>
      <x/>
    </i>
    <i>
      <x v="1"/>
    </i>
    <i>
      <x v="2"/>
    </i>
    <i>
      <x v="3"/>
    </i>
    <i t="grand">
      <x/>
    </i>
  </rowItems>
  <colFields count="1">
    <field x="19"/>
  </colFields>
  <colItems count="3">
    <i>
      <x/>
    </i>
    <i>
      <x v="1"/>
    </i>
    <i t="grand">
      <x/>
    </i>
  </colItems>
  <dataFields count="1">
    <dataField name="Sum of Quantity" fld="10" showDataAs="percentOfTotal" baseField="0" baseItem="0" numFmtId="10"/>
  </dataFields>
  <formats count="1">
    <format dxfId="40">
      <pivotArea collapsedLevelsAreSubtotals="1" fieldPosition="0">
        <references count="1">
          <reference field="18" count="0"/>
        </references>
      </pivotArea>
    </format>
  </formats>
  <chartFormats count="9">
    <chartFormat chart="7" format="0" series="1">
      <pivotArea type="data" outline="0" fieldPosition="0">
        <references count="2">
          <reference field="4294967294" count="1" selected="0">
            <x v="0"/>
          </reference>
          <reference field="19" count="1" selected="0">
            <x v="0"/>
          </reference>
        </references>
      </pivotArea>
    </chartFormat>
    <chartFormat chart="7" format="1" series="1">
      <pivotArea type="data" outline="0" fieldPosition="0">
        <references count="2">
          <reference field="4294967294" count="1" selected="0">
            <x v="0"/>
          </reference>
          <reference field="19" count="1" selected="0">
            <x v="1"/>
          </reference>
        </references>
      </pivotArea>
    </chartFormat>
    <chartFormat chart="7" format="2" series="1">
      <pivotArea type="data" outline="0" fieldPosition="0">
        <references count="1">
          <reference field="4294967294" count="1" selected="0">
            <x v="0"/>
          </reference>
        </references>
      </pivotArea>
    </chartFormat>
    <chartFormat chart="11" format="5" series="1">
      <pivotArea type="data" outline="0" fieldPosition="0">
        <references count="2">
          <reference field="4294967294" count="1" selected="0">
            <x v="0"/>
          </reference>
          <reference field="19" count="1" selected="0">
            <x v="0"/>
          </reference>
        </references>
      </pivotArea>
    </chartFormat>
    <chartFormat chart="11" format="6" series="1">
      <pivotArea type="data" outline="0" fieldPosition="0">
        <references count="2">
          <reference field="4294967294" count="1" selected="0">
            <x v="0"/>
          </reference>
          <reference field="19" count="1" selected="0">
            <x v="1"/>
          </reference>
        </references>
      </pivotArea>
    </chartFormat>
    <chartFormat chart="15" format="0" series="1">
      <pivotArea type="data" outline="0" fieldPosition="0">
        <references count="2">
          <reference field="4294967294" count="1" selected="0">
            <x v="0"/>
          </reference>
          <reference field="19" count="1" selected="0">
            <x v="0"/>
          </reference>
        </references>
      </pivotArea>
    </chartFormat>
    <chartFormat chart="15" format="1" series="1">
      <pivotArea type="data" outline="0" fieldPosition="0">
        <references count="2">
          <reference field="4294967294" count="1" selected="0">
            <x v="0"/>
          </reference>
          <reference field="19" count="1" selected="0">
            <x v="1"/>
          </reference>
        </references>
      </pivotArea>
    </chartFormat>
    <chartFormat chart="19" format="0" series="1">
      <pivotArea type="data" outline="0" fieldPosition="0">
        <references count="2">
          <reference field="4294967294" count="1" selected="0">
            <x v="0"/>
          </reference>
          <reference field="19" count="1" selected="0">
            <x v="0"/>
          </reference>
        </references>
      </pivotArea>
    </chartFormat>
    <chartFormat chart="19" format="1" series="1">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85EB11D-DF81-4C83-B0C4-48E295A6D9BE}" sourceName="Gender">
  <pivotTables>
    <pivotTable tabId="3" name="totalprice"/>
    <pivotTable tabId="3" name="PivotTable7"/>
    <pivotTable tabId="3" name="PivotTable8"/>
    <pivotTable tabId="3" name="PivotTable10"/>
    <pivotTable tabId="3" name="PivotTable11"/>
    <pivotTable tabId="3" name="PivotTable12"/>
    <pivotTable tabId="3" name="PivotTable1"/>
    <pivotTable tabId="3" name="PivotTable2"/>
    <pivotTable tabId="3" name="PivotTable3"/>
    <pivotTable tabId="3" name="PivotTable4"/>
    <pivotTable tabId="3" name="PivotTable5"/>
    <pivotTable tabId="3" name="PivotTable6"/>
    <pivotTable tabId="3" name="PivotTable9"/>
  </pivotTables>
  <data>
    <tabular pivotCacheId="67832286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A2708C4-F105-4F31-A301-E6EFE3F0485F}" sourceName="Category">
  <pivotTables>
    <pivotTable tabId="3" name="totalprice"/>
    <pivotTable tabId="3" name="PivotTable7"/>
    <pivotTable tabId="3" name="PivotTable8"/>
    <pivotTable tabId="3" name="PivotTable10"/>
    <pivotTable tabId="3" name="PivotTable11"/>
    <pivotTable tabId="3" name="PivotTable12"/>
    <pivotTable tabId="3" name="PivotTable1"/>
    <pivotTable tabId="3" name="PivotTable2"/>
    <pivotTable tabId="3" name="PivotTable3"/>
    <pivotTable tabId="3" name="PivotTable4"/>
    <pivotTable tabId="3" name="PivotTable5"/>
    <pivotTable tabId="3" name="PivotTable6"/>
    <pivotTable tabId="3" name="PivotTable9"/>
  </pivotTables>
  <data>
    <tabular pivotCacheId="678322863">
      <items count="3">
        <i x="2" s="1"/>
        <i x="0" s="1"/>
        <i x="1"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733FE8E6-3396-466E-A0C7-40FEBB752958}" sourceName="SubCategory">
  <pivotTables>
    <pivotTable tabId="3" name="totalprice"/>
    <pivotTable tabId="3" name="PivotTable7"/>
    <pivotTable tabId="3" name="PivotTable8"/>
    <pivotTable tabId="3" name="PivotTable10"/>
    <pivotTable tabId="3" name="PivotTable11"/>
    <pivotTable tabId="3" name="PivotTable12"/>
    <pivotTable tabId="3" name="PivotTable1"/>
    <pivotTable tabId="3" name="PivotTable2"/>
    <pivotTable tabId="3" name="PivotTable3"/>
    <pivotTable tabId="3" name="PivotTable4"/>
    <pivotTable tabId="3" name="PivotTable5"/>
    <pivotTable tabId="3" name="PivotTable6"/>
    <pivotTable tabId="3" name="PivotTable9"/>
  </pivotTables>
  <data>
    <tabular pivotCacheId="678322863">
      <items count="12">
        <i x="3" s="1"/>
        <i x="5" s="1"/>
        <i x="0" s="1"/>
        <i x="1" s="1"/>
        <i x="4" s="1"/>
        <i x="9" s="1"/>
        <i x="6" s="1"/>
        <i x="2" s="1"/>
        <i x="8" s="1"/>
        <i x="7" s="1"/>
        <i x="10" s="1" nd="1"/>
        <i x="11"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A24A33E0-003E-4AC6-88BA-E97719273DC1}" sourceName="Brand">
  <pivotTables>
    <pivotTable tabId="3" name="totalprice"/>
    <pivotTable tabId="3" name="PivotTable7"/>
    <pivotTable tabId="3" name="PivotTable8"/>
    <pivotTable tabId="3" name="PivotTable10"/>
    <pivotTable tabId="3" name="PivotTable11"/>
    <pivotTable tabId="3" name="PivotTable12"/>
    <pivotTable tabId="3" name="PivotTable1"/>
    <pivotTable tabId="3" name="PivotTable2"/>
    <pivotTable tabId="3" name="PivotTable3"/>
    <pivotTable tabId="3" name="PivotTable4"/>
    <pivotTable tabId="3" name="PivotTable5"/>
    <pivotTable tabId="3" name="PivotTable6"/>
    <pivotTable tabId="3" name="PivotTable9"/>
  </pivotTables>
  <data>
    <tabular pivotCacheId="678322863">
      <items count="10">
        <i x="9"/>
        <i x="7"/>
        <i x="1"/>
        <i x="2"/>
        <i x="3"/>
        <i x="4"/>
        <i x="6" s="1"/>
        <i x="8"/>
        <i x="5"/>
        <i x="0"/>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90A9EC7D-B000-4722-9D45-D924F0B2C66B}" sourceName="PaymentMethod">
  <pivotTables>
    <pivotTable tabId="3" name="totalprice"/>
    <pivotTable tabId="3" name="PivotTable7"/>
    <pivotTable tabId="3" name="PivotTable8"/>
    <pivotTable tabId="3" name="PivotTable10"/>
    <pivotTable tabId="3" name="PivotTable11"/>
    <pivotTable tabId="3" name="PivotTable12"/>
    <pivotTable tabId="3" name="PivotTable1"/>
    <pivotTable tabId="3" name="PivotTable2"/>
    <pivotTable tabId="3" name="PivotTable3"/>
    <pivotTable tabId="3" name="PivotTable4"/>
    <pivotTable tabId="3" name="PivotTable5"/>
    <pivotTable tabId="3" name="PivotTable6"/>
    <pivotTable tabId="3" name="PivotTable9"/>
  </pivotTables>
  <data>
    <tabular pivotCacheId="678322863">
      <items count="4">
        <i x="3" s="1"/>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Channel" xr10:uid="{A8596F96-843F-428A-B5EB-091FBB832A8E}" sourceName="OrderChannel">
  <pivotTables>
    <pivotTable tabId="3" name="totalprice"/>
    <pivotTable tabId="3" name="PivotTable7"/>
    <pivotTable tabId="3" name="PivotTable8"/>
    <pivotTable tabId="3" name="PivotTable10"/>
    <pivotTable tabId="3" name="PivotTable11"/>
    <pivotTable tabId="3" name="PivotTable12"/>
    <pivotTable tabId="3" name="PivotTable1"/>
    <pivotTable tabId="3" name="PivotTable2"/>
    <pivotTable tabId="3" name="PivotTable3"/>
    <pivotTable tabId="3" name="PivotTable4"/>
    <pivotTable tabId="3" name="PivotTable5"/>
    <pivotTable tabId="3" name="PivotTable6"/>
    <pivotTable tabId="3" name="PivotTable9"/>
  </pivotTables>
  <data>
    <tabular pivotCacheId="678322863">
      <items count="2">
        <i x="1" s="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48AC31-3B21-465A-A3DD-0AD380B9D675}" sourceName="Region">
  <pivotTables>
    <pivotTable tabId="3" name="totalprice"/>
    <pivotTable tabId="3" name="PivotTable7"/>
    <pivotTable tabId="3" name="PivotTable8"/>
    <pivotTable tabId="3" name="PivotTable10"/>
    <pivotTable tabId="3" name="PivotTable11"/>
    <pivotTable tabId="3" name="PivotTable12"/>
    <pivotTable tabId="3" name="PivotTable1"/>
    <pivotTable tabId="3" name="PivotTable2"/>
    <pivotTable tabId="3" name="PivotTable3"/>
    <pivotTable tabId="3" name="PivotTable4"/>
    <pivotTable tabId="3" name="PivotTable5"/>
    <pivotTable tabId="3" name="PivotTable6"/>
    <pivotTable tabId="3" name="PivotTable9"/>
  </pivotTables>
  <data>
    <tabular pivotCacheId="678322863">
      <items count="3">
        <i x="1" s="1"/>
        <i x="2" s="1"/>
        <i x="0"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turnStatus" xr10:uid="{7FBEED11-5769-4A3D-ADF0-CCA5CB95074F}" sourceName="ReturnStatus">
  <pivotTables>
    <pivotTable tabId="3" name="totalprice"/>
    <pivotTable tabId="3" name="PivotTable7"/>
    <pivotTable tabId="3" name="PivotTable8"/>
    <pivotTable tabId="3" name="PivotTable10"/>
    <pivotTable tabId="3" name="PivotTable11"/>
    <pivotTable tabId="3" name="PivotTable12"/>
    <pivotTable tabId="3" name="PivotTable1"/>
    <pivotTable tabId="3" name="PivotTable2"/>
    <pivotTable tabId="3" name="PivotTable3"/>
    <pivotTable tabId="3" name="PivotTable4"/>
    <pivotTable tabId="3" name="PivotTable5"/>
    <pivotTable tabId="3" name="PivotTable6"/>
    <pivotTable tabId="3" name="PivotTable9"/>
  </pivotTables>
  <data>
    <tabular pivotCacheId="678322863">
      <items count="2">
        <i x="0" s="1"/>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5AA43657-598D-451F-85B7-97E1EC5128E9}" sourceName="Status">
  <pivotTables>
    <pivotTable tabId="3" name="totalprice"/>
    <pivotTable tabId="3" name="PivotTable7"/>
    <pivotTable tabId="3" name="PivotTable8"/>
    <pivotTable tabId="3" name="PivotTable10"/>
    <pivotTable tabId="3" name="PivotTable11"/>
    <pivotTable tabId="3" name="PivotTable12"/>
    <pivotTable tabId="3" name="PivotTable1"/>
    <pivotTable tabId="3" name="PivotTable2"/>
    <pivotTable tabId="3" name="PivotTable3"/>
    <pivotTable tabId="3" name="PivotTable4"/>
    <pivotTable tabId="3" name="PivotTable5"/>
    <pivotTable tabId="3" name="PivotTable6"/>
    <pivotTable tabId="3" name="PivotTable9"/>
  </pivotTables>
  <data>
    <tabular pivotCacheId="678322863">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944A9213-E653-4614-BFE5-357A38FF0EE4}" cache="Slicer_Gender" caption="Gender" rowHeight="241300"/>
  <slicer name="Category" xr10:uid="{B95029C9-9DD1-409E-92DA-30D23B841E22}" cache="Slicer_Category" caption="Category" rowHeight="241300"/>
  <slicer name="SubCategory" xr10:uid="{F64BFF69-3D17-4466-B5DA-9FFBDDB3781F}" cache="Slicer_SubCategory" caption="SubCategory" rowHeight="241300"/>
  <slicer name="Brand" xr10:uid="{7332BED0-3FD4-45CA-908D-A2A47D5FA329}" cache="Slicer_Brand" caption="Brand" rowHeight="241300"/>
  <slicer name="PaymentMethod" xr10:uid="{7B3B55CD-AF92-462C-9935-71E16BBE6ABC}" cache="Slicer_PaymentMethod" caption="PaymentMethod" rowHeight="241300"/>
  <slicer name="OrderChannel" xr10:uid="{B334D60E-419A-48AC-B8ED-09E37938DABC}" cache="Slicer_OrderChannel" caption="OrderChannel" rowHeight="241300"/>
  <slicer name="Region" xr10:uid="{183668ED-4E05-471A-B25A-5530F5C5056F}" cache="Slicer_Region" caption="Region" rowHeight="241300"/>
  <slicer name="ReturnStatus" xr10:uid="{89E58846-E0E6-477D-AE40-153BEBD562AB}" cache="Slicer_ReturnStatus" caption="ReturnStatus" rowHeight="241300"/>
  <slicer name="Status" xr10:uid="{A22BF220-7E3F-4F51-9966-D2A4FE75ABE5}" cache="Slicer_Status" caption="Status"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06797C0B-504C-4103-A67E-3FB949EDECAC}" cache="Slicer_Gender" caption="Gender" columnCount="2" style="SlicerStyleLight6" rowHeight="241300"/>
  <slicer name="Category 1" xr10:uid="{EFAE6F72-6849-457D-A223-5DDA0CEA7B8D}" cache="Slicer_Category" caption="Category" style="SlicerStyleLight6" rowHeight="241300"/>
  <slicer name="Brand 1" xr10:uid="{8E1A66D0-3FDE-4321-B6A3-6C55033C0267}" cache="Slicer_Brand" caption="Brand" startItem="4" columnCount="2" style="SlicerStyleLight6" rowHeight="241300"/>
  <slicer name="PaymentMethod 1" xr10:uid="{21FEBBFA-4C7B-41B7-B1A4-E44BBF737A5C}" cache="Slicer_PaymentMethod" caption="PaymentMethod" startItem="1" style="SlicerStyleLight6" rowHeight="241300"/>
  <slicer name="OrderChannel 1" xr10:uid="{FADF7950-26A2-43C3-9895-F8CCF82173BA}" cache="Slicer_OrderChannel" caption="OrderChannel" columnCount="2" style="SlicerStyleLight6" rowHeight="241300"/>
  <slicer name="Region 1" xr10:uid="{5A8D9FD9-8A2E-4DCB-ABB5-89090F5F3C90}" cache="Slicer_Region" caption="Region" style="SlicerStyleLight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FF6FFB3D-CBF8-417C-A780-2A21D0B36D20}" sourceName="OrderDate">
  <pivotTables>
    <pivotTable tabId="3" name="PivotTable7"/>
    <pivotTable tabId="3" name="totalprice"/>
    <pivotTable tabId="3" name="PivotTable8"/>
    <pivotTable tabId="3" name="PivotTable10"/>
    <pivotTable tabId="3" name="PivotTable11"/>
    <pivotTable tabId="3" name="PivotTable12"/>
    <pivotTable tabId="3" name="PivotTable1"/>
    <pivotTable tabId="3" name="PivotTable2"/>
    <pivotTable tabId="3" name="PivotTable3"/>
    <pivotTable tabId="3" name="PivotTable4"/>
    <pivotTable tabId="3" name="PivotTable5"/>
    <pivotTable tabId="3" name="PivotTable6"/>
    <pivotTable tabId="3" name="PivotTable9"/>
  </pivotTables>
  <state minimalRefreshVersion="6" lastRefreshVersion="6" pivotCacheId="678322863"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23C96596-6DFE-42D2-95F5-47DB647EAFB6}" cache="NativeTimeline_OrderDate" caption="OrderDate" level="2" selectionLevel="2" scrollPosition="2025-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C496B169-38ED-426E-9BD9-4606C185FC72}" cache="NativeTimeline_OrderDate" caption="OrderDate" showSelectionLabel="0" showTimeLevel="0" level="2" selectionLevel="2" scrollPosition="2025-01-01T00:00:00" style="TimeSlicerStyleDark6"/>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11/relationships/timeline" Target="../timelines/timeline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B9A2C-7B39-4BE2-B001-AA91462F5E60}">
  <sheetPr>
    <tabColor rgb="FFFF0000"/>
  </sheetPr>
  <dimension ref="A3:W83"/>
  <sheetViews>
    <sheetView zoomScale="70" zoomScaleNormal="70" workbookViewId="0">
      <selection activeCell="K23" sqref="K23:N28"/>
    </sheetView>
  </sheetViews>
  <sheetFormatPr defaultRowHeight="14.5" x14ac:dyDescent="0.35"/>
  <cols>
    <col min="1" max="2" width="13.08984375" bestFit="1" customWidth="1"/>
    <col min="3" max="3" width="18.36328125" bestFit="1" customWidth="1"/>
    <col min="4" max="4" width="29.7265625" bestFit="1" customWidth="1"/>
    <col min="5" max="5" width="14.7265625" bestFit="1" customWidth="1"/>
    <col min="6" max="6" width="13.08984375" bestFit="1" customWidth="1"/>
    <col min="7" max="7" width="18.36328125" bestFit="1" customWidth="1"/>
    <col min="8" max="8" width="13.08984375" bestFit="1" customWidth="1"/>
    <col min="9" max="9" width="14.54296875" bestFit="1" customWidth="1"/>
    <col min="10" max="10" width="15.90625" bestFit="1" customWidth="1"/>
    <col min="11" max="11" width="9.81640625" bestFit="1" customWidth="1"/>
    <col min="12" max="12" width="7.26953125" bestFit="1" customWidth="1"/>
    <col min="13" max="14" width="10.7265625" bestFit="1" customWidth="1"/>
    <col min="15" max="15" width="18.36328125" bestFit="1" customWidth="1"/>
    <col min="19" max="19" width="21.1796875" bestFit="1" customWidth="1"/>
    <col min="23" max="23" width="15.54296875" bestFit="1" customWidth="1"/>
    <col min="24" max="24" width="18.54296875" bestFit="1" customWidth="1"/>
  </cols>
  <sheetData>
    <row r="3" spans="1:23" x14ac:dyDescent="0.35">
      <c r="A3" s="1" t="s">
        <v>1700</v>
      </c>
      <c r="B3" t="s">
        <v>1702</v>
      </c>
      <c r="C3" t="s">
        <v>1699</v>
      </c>
      <c r="F3" s="1" t="s">
        <v>1700</v>
      </c>
      <c r="G3" t="s">
        <v>1699</v>
      </c>
      <c r="K3" s="1" t="s">
        <v>1700</v>
      </c>
      <c r="L3" t="s">
        <v>1702</v>
      </c>
      <c r="M3" t="s">
        <v>1699</v>
      </c>
    </row>
    <row r="4" spans="1:23" x14ac:dyDescent="0.35">
      <c r="A4" s="2" t="s">
        <v>68</v>
      </c>
      <c r="B4" s="9">
        <v>16</v>
      </c>
      <c r="C4" s="9">
        <v>583097.55999999994</v>
      </c>
      <c r="F4" s="2" t="s">
        <v>1704</v>
      </c>
      <c r="G4" s="5">
        <v>7.6969454636535151E-2</v>
      </c>
      <c r="K4" s="2" t="s">
        <v>103</v>
      </c>
      <c r="L4" s="9">
        <v>29</v>
      </c>
      <c r="M4" s="9">
        <v>1100868.6100000001</v>
      </c>
      <c r="O4" s="8">
        <f>GETPIVOTDATA("TotalAmount",$O$6)</f>
        <v>8119400.5199999977</v>
      </c>
    </row>
    <row r="5" spans="1:23" x14ac:dyDescent="0.35">
      <c r="A5" s="2" t="s">
        <v>31</v>
      </c>
      <c r="B5" s="9">
        <v>191</v>
      </c>
      <c r="C5" s="9">
        <v>5815926.5299999993</v>
      </c>
      <c r="F5" s="2" t="s">
        <v>1705</v>
      </c>
      <c r="G5" s="5">
        <v>3.9377960135411574E-2</v>
      </c>
      <c r="K5" s="2" t="s">
        <v>85</v>
      </c>
      <c r="L5" s="9">
        <v>31</v>
      </c>
      <c r="M5" s="9">
        <v>923255.73999999987</v>
      </c>
      <c r="O5" s="8"/>
      <c r="S5" s="6" t="str">
        <f>ROUND(GETPIVOTDATA("DeliveryDays",$S$6),0)&amp;" Days"</f>
        <v>5 Days</v>
      </c>
      <c r="W5" s="7">
        <f>GETPIVOTDATA("Rating",$W$6)</f>
        <v>3.1555555555555554</v>
      </c>
    </row>
    <row r="6" spans="1:23" x14ac:dyDescent="0.35">
      <c r="A6" s="2" t="s">
        <v>52</v>
      </c>
      <c r="B6" s="9">
        <v>54</v>
      </c>
      <c r="C6" s="9">
        <v>1720376.4300000002</v>
      </c>
      <c r="F6" s="2" t="s">
        <v>1706</v>
      </c>
      <c r="G6" s="5">
        <v>0.12135844605433999</v>
      </c>
      <c r="K6" s="2" t="s">
        <v>36</v>
      </c>
      <c r="L6" s="9">
        <v>76</v>
      </c>
      <c r="M6" s="9">
        <v>2436607.5499999998</v>
      </c>
      <c r="O6" s="8" t="s">
        <v>1699</v>
      </c>
      <c r="S6" s="6" t="s">
        <v>1717</v>
      </c>
      <c r="W6" s="7" t="s">
        <v>1716</v>
      </c>
    </row>
    <row r="7" spans="1:23" x14ac:dyDescent="0.35">
      <c r="A7" s="2" t="s">
        <v>1701</v>
      </c>
      <c r="B7" s="9">
        <v>261</v>
      </c>
      <c r="C7" s="9">
        <v>8119400.5199999996</v>
      </c>
      <c r="F7" s="2" t="s">
        <v>1707</v>
      </c>
      <c r="G7" s="5">
        <v>8.0488241513672731E-2</v>
      </c>
      <c r="K7" s="2" t="s">
        <v>56</v>
      </c>
      <c r="L7" s="9">
        <v>70</v>
      </c>
      <c r="M7" s="9">
        <v>2053156.75</v>
      </c>
      <c r="O7" s="8">
        <v>8119400.5199999977</v>
      </c>
      <c r="S7" s="6">
        <v>5.2444444444444445</v>
      </c>
      <c r="W7" s="7">
        <v>3.1555555555555554</v>
      </c>
    </row>
    <row r="8" spans="1:23" x14ac:dyDescent="0.35">
      <c r="F8" s="2" t="s">
        <v>1708</v>
      </c>
      <c r="G8" s="5">
        <v>7.4206452621209049E-2</v>
      </c>
      <c r="K8" s="2" t="s">
        <v>77</v>
      </c>
      <c r="L8" s="9">
        <v>24</v>
      </c>
      <c r="M8" s="9">
        <v>606325.63</v>
      </c>
    </row>
    <row r="9" spans="1:23" x14ac:dyDescent="0.35">
      <c r="F9" s="2" t="s">
        <v>1709</v>
      </c>
      <c r="G9" s="5">
        <v>5.0755653571330411E-2</v>
      </c>
      <c r="K9" s="2" t="s">
        <v>96</v>
      </c>
      <c r="L9" s="9">
        <v>31</v>
      </c>
      <c r="M9" s="9">
        <v>999186.23999999987</v>
      </c>
    </row>
    <row r="10" spans="1:23" x14ac:dyDescent="0.35">
      <c r="F10" s="2" t="s">
        <v>1710</v>
      </c>
      <c r="G10" s="5">
        <v>7.2623838243663835E-2</v>
      </c>
      <c r="K10" s="2" t="s">
        <v>1701</v>
      </c>
      <c r="L10" s="9">
        <v>261</v>
      </c>
      <c r="M10" s="9">
        <v>8119400.5200000005</v>
      </c>
    </row>
    <row r="11" spans="1:23" x14ac:dyDescent="0.35">
      <c r="F11" s="2" t="s">
        <v>1711</v>
      </c>
      <c r="G11" s="5">
        <v>6.722245671408264E-2</v>
      </c>
    </row>
    <row r="12" spans="1:23" x14ac:dyDescent="0.35">
      <c r="F12" s="2" t="s">
        <v>1712</v>
      </c>
      <c r="G12" s="5">
        <v>4.6712826774063368E-2</v>
      </c>
    </row>
    <row r="13" spans="1:23" x14ac:dyDescent="0.35">
      <c r="F13" s="2" t="s">
        <v>1713</v>
      </c>
      <c r="G13" s="5">
        <v>0.16754745090466358</v>
      </c>
      <c r="K13" s="3" t="s">
        <v>1700</v>
      </c>
    </row>
    <row r="14" spans="1:23" x14ac:dyDescent="0.35">
      <c r="F14" s="2" t="s">
        <v>1714</v>
      </c>
      <c r="G14" s="5">
        <v>7.7016179761015158E-2</v>
      </c>
      <c r="K14" s="2" t="s">
        <v>103</v>
      </c>
      <c r="L14">
        <f>GETPIVOTDATA("Sum of TotalAmount",$K$3,"State",K14)</f>
        <v>1100868.6100000001</v>
      </c>
    </row>
    <row r="15" spans="1:23" x14ac:dyDescent="0.35">
      <c r="F15" s="2" t="s">
        <v>1715</v>
      </c>
      <c r="G15" s="5">
        <v>0.12572103907001253</v>
      </c>
      <c r="K15" s="2" t="s">
        <v>85</v>
      </c>
      <c r="L15">
        <f t="shared" ref="L15:L19" si="0">GETPIVOTDATA("Sum of TotalAmount",$K$3,"State",K15)</f>
        <v>923255.73999999987</v>
      </c>
    </row>
    <row r="16" spans="1:23" x14ac:dyDescent="0.35">
      <c r="F16" s="2" t="s">
        <v>1701</v>
      </c>
      <c r="G16" s="5">
        <v>1</v>
      </c>
      <c r="J16" s="7">
        <f>W5</f>
        <v>3.1555555555555554</v>
      </c>
      <c r="K16" s="2" t="s">
        <v>36</v>
      </c>
      <c r="L16">
        <f t="shared" si="0"/>
        <v>2436607.5499999998</v>
      </c>
    </row>
    <row r="17" spans="8:14" x14ac:dyDescent="0.35">
      <c r="K17" s="2" t="s">
        <v>56</v>
      </c>
      <c r="L17">
        <f t="shared" si="0"/>
        <v>2053156.75</v>
      </c>
    </row>
    <row r="18" spans="8:14" x14ac:dyDescent="0.35">
      <c r="K18" s="2" t="s">
        <v>77</v>
      </c>
      <c r="L18">
        <f t="shared" si="0"/>
        <v>606325.63</v>
      </c>
    </row>
    <row r="19" spans="8:14" x14ac:dyDescent="0.35">
      <c r="K19" s="2" t="s">
        <v>96</v>
      </c>
      <c r="L19">
        <f t="shared" si="0"/>
        <v>999186.23999999987</v>
      </c>
    </row>
    <row r="20" spans="8:14" x14ac:dyDescent="0.35">
      <c r="K20" s="4" t="s">
        <v>1701</v>
      </c>
      <c r="L20">
        <f>SUM(L14:L19)</f>
        <v>8119400.5200000005</v>
      </c>
    </row>
    <row r="21" spans="8:14" x14ac:dyDescent="0.35">
      <c r="H21" s="1" t="s">
        <v>1700</v>
      </c>
      <c r="I21" t="s">
        <v>1702</v>
      </c>
    </row>
    <row r="22" spans="8:14" x14ac:dyDescent="0.35">
      <c r="H22" s="2" t="s">
        <v>58</v>
      </c>
      <c r="I22" s="11">
        <v>0.21839080459770116</v>
      </c>
    </row>
    <row r="23" spans="8:14" x14ac:dyDescent="0.35">
      <c r="H23" s="2" t="s">
        <v>39</v>
      </c>
      <c r="I23" s="11">
        <v>0.30268199233716475</v>
      </c>
      <c r="K23" s="1" t="s">
        <v>1702</v>
      </c>
      <c r="L23" s="1" t="s">
        <v>1703</v>
      </c>
    </row>
    <row r="24" spans="8:14" x14ac:dyDescent="0.35">
      <c r="H24" s="2" t="s">
        <v>47</v>
      </c>
      <c r="I24" s="11">
        <v>0.18773946360153257</v>
      </c>
      <c r="K24" s="1" t="s">
        <v>1700</v>
      </c>
      <c r="L24" t="s">
        <v>63</v>
      </c>
      <c r="M24" t="s">
        <v>34</v>
      </c>
      <c r="N24" t="s">
        <v>1701</v>
      </c>
    </row>
    <row r="25" spans="8:14" x14ac:dyDescent="0.35">
      <c r="H25" s="2" t="s">
        <v>91</v>
      </c>
      <c r="I25" s="11">
        <v>0.29118773946360155</v>
      </c>
      <c r="K25" s="2" t="s">
        <v>83</v>
      </c>
      <c r="L25" s="5">
        <v>0.10344827586206896</v>
      </c>
      <c r="M25" s="5">
        <v>0.18390804597701149</v>
      </c>
      <c r="N25" s="5">
        <v>0.28735632183908044</v>
      </c>
    </row>
    <row r="26" spans="8:14" x14ac:dyDescent="0.35">
      <c r="H26" s="2" t="s">
        <v>1701</v>
      </c>
      <c r="I26" s="5">
        <v>1</v>
      </c>
      <c r="K26" s="2" t="s">
        <v>45</v>
      </c>
      <c r="L26" s="5">
        <v>0.12643678160919541</v>
      </c>
      <c r="M26" s="5">
        <v>0.14559386973180077</v>
      </c>
      <c r="N26" s="5">
        <v>0.27203065134099619</v>
      </c>
    </row>
    <row r="27" spans="8:14" x14ac:dyDescent="0.35">
      <c r="K27" s="2" t="s">
        <v>33</v>
      </c>
      <c r="L27" s="5">
        <v>0.18773946360153257</v>
      </c>
      <c r="M27" s="5">
        <v>0.11877394636015326</v>
      </c>
      <c r="N27" s="5">
        <v>0.3065134099616858</v>
      </c>
    </row>
    <row r="28" spans="8:14" x14ac:dyDescent="0.35">
      <c r="K28" s="2" t="s">
        <v>54</v>
      </c>
      <c r="L28" s="5">
        <v>7.2796934865900387E-2</v>
      </c>
      <c r="M28" s="5">
        <v>6.1302681992337162E-2</v>
      </c>
      <c r="N28" s="5">
        <v>0.13409961685823754</v>
      </c>
    </row>
    <row r="29" spans="8:14" x14ac:dyDescent="0.35">
      <c r="K29" s="2" t="s">
        <v>1701</v>
      </c>
      <c r="L29" s="5">
        <v>0.49042145593869729</v>
      </c>
      <c r="M29" s="5">
        <v>0.50957854406130265</v>
      </c>
      <c r="N29" s="5">
        <v>1</v>
      </c>
    </row>
    <row r="30" spans="8:14" x14ac:dyDescent="0.35">
      <c r="H30" s="1" t="s">
        <v>1700</v>
      </c>
      <c r="I30" t="s">
        <v>1699</v>
      </c>
      <c r="J30" t="s">
        <v>1716</v>
      </c>
    </row>
    <row r="31" spans="8:14" x14ac:dyDescent="0.35">
      <c r="H31" s="2" t="s">
        <v>112</v>
      </c>
      <c r="I31" s="9">
        <v>8119400.5199999977</v>
      </c>
      <c r="J31" s="7">
        <v>3.1555555555555554</v>
      </c>
    </row>
    <row r="32" spans="8:14" x14ac:dyDescent="0.35">
      <c r="H32" s="2" t="s">
        <v>1701</v>
      </c>
      <c r="I32" s="9">
        <v>8119400.5199999977</v>
      </c>
      <c r="J32" s="7">
        <v>3.1555555555555554</v>
      </c>
    </row>
    <row r="34" spans="9:13" x14ac:dyDescent="0.35">
      <c r="L34" s="1" t="s">
        <v>1700</v>
      </c>
      <c r="M34" t="s">
        <v>1699</v>
      </c>
    </row>
    <row r="35" spans="9:13" x14ac:dyDescent="0.35">
      <c r="L35" s="2" t="s">
        <v>29</v>
      </c>
      <c r="M35" s="11">
        <v>0.47929654910040093</v>
      </c>
    </row>
    <row r="36" spans="9:13" x14ac:dyDescent="0.35">
      <c r="L36" s="2" t="s">
        <v>43</v>
      </c>
      <c r="M36" s="11">
        <v>0.52070345089959913</v>
      </c>
    </row>
    <row r="37" spans="9:13" x14ac:dyDescent="0.35">
      <c r="L37" s="2" t="s">
        <v>1701</v>
      </c>
      <c r="M37" s="5">
        <v>1</v>
      </c>
    </row>
    <row r="40" spans="9:13" x14ac:dyDescent="0.35">
      <c r="L40" s="1" t="s">
        <v>1700</v>
      </c>
      <c r="M40" t="s">
        <v>1699</v>
      </c>
    </row>
    <row r="41" spans="9:13" x14ac:dyDescent="0.35">
      <c r="L41" s="2" t="s">
        <v>63</v>
      </c>
      <c r="M41" s="11">
        <v>0.48218599887470515</v>
      </c>
    </row>
    <row r="42" spans="9:13" x14ac:dyDescent="0.35">
      <c r="L42" s="2" t="s">
        <v>34</v>
      </c>
      <c r="M42" s="11">
        <v>0.51781400112529485</v>
      </c>
    </row>
    <row r="43" spans="9:13" x14ac:dyDescent="0.35">
      <c r="L43" s="2" t="s">
        <v>1701</v>
      </c>
      <c r="M43" s="5">
        <v>1</v>
      </c>
    </row>
    <row r="46" spans="9:13" x14ac:dyDescent="0.35">
      <c r="I46" s="1" t="s">
        <v>1702</v>
      </c>
      <c r="J46" s="1" t="s">
        <v>1703</v>
      </c>
    </row>
    <row r="47" spans="9:13" x14ac:dyDescent="0.35">
      <c r="I47" s="1" t="s">
        <v>1700</v>
      </c>
      <c r="J47" t="s">
        <v>68</v>
      </c>
      <c r="K47" t="s">
        <v>31</v>
      </c>
      <c r="L47" t="s">
        <v>52</v>
      </c>
      <c r="M47" t="s">
        <v>1701</v>
      </c>
    </row>
    <row r="48" spans="9:13" x14ac:dyDescent="0.35">
      <c r="I48" s="2">
        <v>18</v>
      </c>
      <c r="J48" s="9"/>
      <c r="K48" s="9">
        <v>5</v>
      </c>
      <c r="L48" s="9"/>
      <c r="M48" s="9">
        <v>5</v>
      </c>
    </row>
    <row r="49" spans="2:13" x14ac:dyDescent="0.35">
      <c r="I49" s="2">
        <v>19</v>
      </c>
      <c r="J49" s="9">
        <v>3</v>
      </c>
      <c r="K49" s="9">
        <v>6</v>
      </c>
      <c r="L49" s="9">
        <v>2</v>
      </c>
      <c r="M49" s="9">
        <v>11</v>
      </c>
    </row>
    <row r="50" spans="2:13" x14ac:dyDescent="0.35">
      <c r="I50" s="2">
        <v>22</v>
      </c>
      <c r="J50" s="9"/>
      <c r="K50" s="9">
        <v>4</v>
      </c>
      <c r="L50" s="9"/>
      <c r="M50" s="9">
        <v>4</v>
      </c>
    </row>
    <row r="51" spans="2:13" x14ac:dyDescent="0.35">
      <c r="B51" s="1" t="s">
        <v>1700</v>
      </c>
      <c r="C51" t="s">
        <v>1699</v>
      </c>
      <c r="D51" s="3" t="s">
        <v>1700</v>
      </c>
      <c r="I51" s="2">
        <v>23</v>
      </c>
      <c r="J51" s="9"/>
      <c r="K51" s="9">
        <v>4</v>
      </c>
      <c r="L51" s="9">
        <v>6</v>
      </c>
      <c r="M51" s="9">
        <v>10</v>
      </c>
    </row>
    <row r="52" spans="2:13" x14ac:dyDescent="0.35">
      <c r="B52" s="2" t="s">
        <v>67</v>
      </c>
      <c r="C52" s="5">
        <v>7.1815346288644458E-2</v>
      </c>
      <c r="D52" s="2" t="s">
        <v>67</v>
      </c>
      <c r="E52" s="10">
        <f>GETPIVOTDATA("TotalAmount",$B$51,"Product",D52)</f>
        <v>7.1815346288644458E-2</v>
      </c>
      <c r="I52" s="2">
        <v>24</v>
      </c>
      <c r="J52" s="9"/>
      <c r="K52" s="9">
        <v>6</v>
      </c>
      <c r="L52" s="9">
        <v>2</v>
      </c>
      <c r="M52" s="9">
        <v>8</v>
      </c>
    </row>
    <row r="53" spans="2:13" x14ac:dyDescent="0.35">
      <c r="B53" s="2" t="s">
        <v>90</v>
      </c>
      <c r="C53" s="5">
        <v>0.12845611291509487</v>
      </c>
      <c r="D53" s="2" t="s">
        <v>90</v>
      </c>
      <c r="E53" s="10">
        <f t="shared" ref="E53:E62" si="1">GETPIVOTDATA("TotalAmount",$B$51,"Product",D53)</f>
        <v>0.12845611291509487</v>
      </c>
      <c r="I53" s="2">
        <v>25</v>
      </c>
      <c r="J53" s="9">
        <v>5</v>
      </c>
      <c r="K53" s="9">
        <v>3</v>
      </c>
      <c r="L53" s="9">
        <v>5</v>
      </c>
      <c r="M53" s="9">
        <v>13</v>
      </c>
    </row>
    <row r="54" spans="2:13" x14ac:dyDescent="0.35">
      <c r="B54" s="2" t="s">
        <v>30</v>
      </c>
      <c r="C54" s="5">
        <v>0.15499434433615056</v>
      </c>
      <c r="D54" s="2" t="s">
        <v>30</v>
      </c>
      <c r="E54" s="10">
        <f t="shared" si="1"/>
        <v>0.15499434433615056</v>
      </c>
      <c r="I54" s="2">
        <v>27</v>
      </c>
      <c r="J54" s="9"/>
      <c r="K54" s="9">
        <v>9</v>
      </c>
      <c r="L54" s="9"/>
      <c r="M54" s="9">
        <v>9</v>
      </c>
    </row>
    <row r="55" spans="2:13" x14ac:dyDescent="0.35">
      <c r="B55" s="2" t="s">
        <v>44</v>
      </c>
      <c r="C55" s="5">
        <v>0.14324060343312145</v>
      </c>
      <c r="D55" s="2" t="s">
        <v>44</v>
      </c>
      <c r="E55" s="10">
        <f t="shared" si="1"/>
        <v>0.14324060343312145</v>
      </c>
      <c r="I55" s="2">
        <v>28</v>
      </c>
      <c r="J55" s="9"/>
      <c r="K55" s="9">
        <v>13</v>
      </c>
      <c r="L55" s="9"/>
      <c r="M55" s="9">
        <v>13</v>
      </c>
    </row>
    <row r="56" spans="2:13" x14ac:dyDescent="0.35">
      <c r="B56" s="2" t="s">
        <v>74</v>
      </c>
      <c r="C56" s="5">
        <v>9.7989283573364103E-2</v>
      </c>
      <c r="D56" s="2" t="s">
        <v>74</v>
      </c>
      <c r="E56" s="10">
        <f t="shared" si="1"/>
        <v>9.7989283573364103E-2</v>
      </c>
      <c r="I56" s="2">
        <v>29</v>
      </c>
      <c r="J56" s="9"/>
      <c r="K56" s="9">
        <v>13</v>
      </c>
      <c r="L56" s="9"/>
      <c r="M56" s="9">
        <v>13</v>
      </c>
    </row>
    <row r="57" spans="2:13" x14ac:dyDescent="0.35">
      <c r="B57" s="2" t="s">
        <v>139</v>
      </c>
      <c r="C57" s="5">
        <v>0.12578290447482446</v>
      </c>
      <c r="D57" s="2" t="s">
        <v>139</v>
      </c>
      <c r="E57" s="10">
        <f t="shared" si="1"/>
        <v>0.12578290447482446</v>
      </c>
      <c r="I57" s="2">
        <v>30</v>
      </c>
      <c r="J57" s="9">
        <v>1</v>
      </c>
      <c r="K57" s="9">
        <v>6</v>
      </c>
      <c r="L57" s="9">
        <v>5</v>
      </c>
      <c r="M57" s="9">
        <v>12</v>
      </c>
    </row>
    <row r="58" spans="2:13" x14ac:dyDescent="0.35">
      <c r="B58" s="2" t="s">
        <v>94</v>
      </c>
      <c r="C58" s="5">
        <v>3.164713446110428E-2</v>
      </c>
      <c r="D58" s="2" t="s">
        <v>94</v>
      </c>
      <c r="E58" s="10">
        <f t="shared" si="1"/>
        <v>3.164713446110428E-2</v>
      </c>
      <c r="I58" s="2">
        <v>31</v>
      </c>
      <c r="J58" s="9"/>
      <c r="K58" s="9"/>
      <c r="L58" s="9">
        <v>2</v>
      </c>
      <c r="M58" s="9">
        <v>2</v>
      </c>
    </row>
    <row r="59" spans="2:13" x14ac:dyDescent="0.35">
      <c r="B59" s="2" t="s">
        <v>51</v>
      </c>
      <c r="C59" s="5">
        <v>0.10568708587367481</v>
      </c>
      <c r="D59" s="2" t="s">
        <v>51</v>
      </c>
      <c r="E59" s="10">
        <f t="shared" si="1"/>
        <v>0.10568708587367481</v>
      </c>
      <c r="I59" s="2">
        <v>32</v>
      </c>
      <c r="J59" s="9">
        <v>3</v>
      </c>
      <c r="K59" s="9">
        <v>4</v>
      </c>
      <c r="L59" s="9"/>
      <c r="M59" s="9">
        <v>7</v>
      </c>
    </row>
    <row r="60" spans="2:13" x14ac:dyDescent="0.35">
      <c r="B60" s="2" t="s">
        <v>134</v>
      </c>
      <c r="C60" s="5">
        <v>3.4189609111683526E-2</v>
      </c>
      <c r="D60" s="2" t="s">
        <v>134</v>
      </c>
      <c r="E60" s="10">
        <f t="shared" si="1"/>
        <v>3.4189609111683526E-2</v>
      </c>
      <c r="I60" s="2">
        <v>33</v>
      </c>
      <c r="J60" s="9"/>
      <c r="K60" s="9">
        <v>6</v>
      </c>
      <c r="L60" s="9">
        <v>2</v>
      </c>
      <c r="M60" s="9">
        <v>8</v>
      </c>
    </row>
    <row r="61" spans="2:13" x14ac:dyDescent="0.35">
      <c r="B61" s="2" t="s">
        <v>99</v>
      </c>
      <c r="C61" s="5">
        <v>0.10619757553233745</v>
      </c>
      <c r="D61" s="2" t="s">
        <v>99</v>
      </c>
      <c r="E61" s="10">
        <f t="shared" si="1"/>
        <v>0.10619757553233745</v>
      </c>
      <c r="I61" s="2">
        <v>34</v>
      </c>
      <c r="J61" s="9"/>
      <c r="K61" s="9">
        <v>14</v>
      </c>
      <c r="L61" s="9"/>
      <c r="M61" s="9">
        <v>14</v>
      </c>
    </row>
    <row r="62" spans="2:13" x14ac:dyDescent="0.35">
      <c r="B62" s="2" t="s">
        <v>1701</v>
      </c>
      <c r="C62" s="5">
        <v>1</v>
      </c>
      <c r="E62" s="5">
        <f>SUM(E52:E61)</f>
        <v>0.99999999999999989</v>
      </c>
      <c r="I62" s="2">
        <v>35</v>
      </c>
      <c r="J62" s="9"/>
      <c r="K62" s="9">
        <v>3</v>
      </c>
      <c r="L62" s="9"/>
      <c r="M62" s="9">
        <v>3</v>
      </c>
    </row>
    <row r="63" spans="2:13" x14ac:dyDescent="0.35">
      <c r="I63" s="2">
        <v>37</v>
      </c>
      <c r="J63" s="9"/>
      <c r="K63" s="9">
        <v>8</v>
      </c>
      <c r="L63" s="9"/>
      <c r="M63" s="9">
        <v>8</v>
      </c>
    </row>
    <row r="64" spans="2:13" x14ac:dyDescent="0.35">
      <c r="I64" s="2">
        <v>39</v>
      </c>
      <c r="J64" s="9"/>
      <c r="K64" s="9"/>
      <c r="L64" s="9">
        <v>4</v>
      </c>
      <c r="M64" s="9">
        <v>4</v>
      </c>
    </row>
    <row r="65" spans="9:13" x14ac:dyDescent="0.35">
      <c r="I65" s="2">
        <v>40</v>
      </c>
      <c r="J65" s="9"/>
      <c r="K65" s="9">
        <v>3</v>
      </c>
      <c r="L65" s="9"/>
      <c r="M65" s="9">
        <v>3</v>
      </c>
    </row>
    <row r="66" spans="9:13" x14ac:dyDescent="0.35">
      <c r="I66" s="2">
        <v>41</v>
      </c>
      <c r="J66" s="9"/>
      <c r="K66" s="9">
        <v>3</v>
      </c>
      <c r="L66" s="9">
        <v>2</v>
      </c>
      <c r="M66" s="9">
        <v>5</v>
      </c>
    </row>
    <row r="67" spans="9:13" x14ac:dyDescent="0.35">
      <c r="I67" s="2">
        <v>42</v>
      </c>
      <c r="J67" s="9"/>
      <c r="K67" s="9">
        <v>2</v>
      </c>
      <c r="L67" s="9">
        <v>1</v>
      </c>
      <c r="M67" s="9">
        <v>3</v>
      </c>
    </row>
    <row r="68" spans="9:13" x14ac:dyDescent="0.35">
      <c r="I68" s="2">
        <v>43</v>
      </c>
      <c r="J68" s="9"/>
      <c r="K68" s="9">
        <v>2</v>
      </c>
      <c r="L68" s="9">
        <v>2</v>
      </c>
      <c r="M68" s="9">
        <v>4</v>
      </c>
    </row>
    <row r="69" spans="9:13" x14ac:dyDescent="0.35">
      <c r="I69" s="2">
        <v>44</v>
      </c>
      <c r="J69" s="9"/>
      <c r="K69" s="9">
        <v>6</v>
      </c>
      <c r="L69" s="9"/>
      <c r="M69" s="9">
        <v>6</v>
      </c>
    </row>
    <row r="70" spans="9:13" x14ac:dyDescent="0.35">
      <c r="I70" s="2">
        <v>45</v>
      </c>
      <c r="J70" s="9"/>
      <c r="K70" s="9">
        <v>1</v>
      </c>
      <c r="L70" s="9"/>
      <c r="M70" s="9">
        <v>1</v>
      </c>
    </row>
    <row r="71" spans="9:13" x14ac:dyDescent="0.35">
      <c r="I71" s="2">
        <v>47</v>
      </c>
      <c r="J71" s="9"/>
      <c r="K71" s="9">
        <v>9</v>
      </c>
      <c r="L71" s="9">
        <v>1</v>
      </c>
      <c r="M71" s="9">
        <v>10</v>
      </c>
    </row>
    <row r="72" spans="9:13" x14ac:dyDescent="0.35">
      <c r="I72" s="2">
        <v>49</v>
      </c>
      <c r="J72" s="9"/>
      <c r="K72" s="9"/>
      <c r="L72" s="9">
        <v>2</v>
      </c>
      <c r="M72" s="9">
        <v>2</v>
      </c>
    </row>
    <row r="73" spans="9:13" x14ac:dyDescent="0.35">
      <c r="I73" s="2">
        <v>50</v>
      </c>
      <c r="J73" s="9">
        <v>4</v>
      </c>
      <c r="K73" s="9">
        <v>2</v>
      </c>
      <c r="L73" s="9"/>
      <c r="M73" s="9">
        <v>6</v>
      </c>
    </row>
    <row r="74" spans="9:13" x14ac:dyDescent="0.35">
      <c r="I74" s="2">
        <v>52</v>
      </c>
      <c r="J74" s="9"/>
      <c r="K74" s="9">
        <v>8</v>
      </c>
      <c r="L74" s="9"/>
      <c r="M74" s="9">
        <v>8</v>
      </c>
    </row>
    <row r="75" spans="9:13" x14ac:dyDescent="0.35">
      <c r="I75" s="2">
        <v>53</v>
      </c>
      <c r="J75" s="9"/>
      <c r="K75" s="9">
        <v>1</v>
      </c>
      <c r="L75" s="9"/>
      <c r="M75" s="9">
        <v>1</v>
      </c>
    </row>
    <row r="76" spans="9:13" x14ac:dyDescent="0.35">
      <c r="I76" s="2">
        <v>54</v>
      </c>
      <c r="J76" s="9"/>
      <c r="K76" s="9">
        <v>5</v>
      </c>
      <c r="L76" s="9"/>
      <c r="M76" s="9">
        <v>5</v>
      </c>
    </row>
    <row r="77" spans="9:13" x14ac:dyDescent="0.35">
      <c r="I77" s="2">
        <v>55</v>
      </c>
      <c r="J77" s="9"/>
      <c r="K77" s="9">
        <v>10</v>
      </c>
      <c r="L77" s="9"/>
      <c r="M77" s="9">
        <v>10</v>
      </c>
    </row>
    <row r="78" spans="9:13" x14ac:dyDescent="0.35">
      <c r="I78" s="2">
        <v>56</v>
      </c>
      <c r="J78" s="9"/>
      <c r="K78" s="9">
        <v>5</v>
      </c>
      <c r="L78" s="9"/>
      <c r="M78" s="9">
        <v>5</v>
      </c>
    </row>
    <row r="79" spans="9:13" x14ac:dyDescent="0.35">
      <c r="I79" s="2">
        <v>57</v>
      </c>
      <c r="J79" s="9"/>
      <c r="K79" s="9">
        <v>10</v>
      </c>
      <c r="L79" s="9">
        <v>10</v>
      </c>
      <c r="M79" s="9">
        <v>20</v>
      </c>
    </row>
    <row r="80" spans="9:13" x14ac:dyDescent="0.35">
      <c r="I80" s="2">
        <v>58</v>
      </c>
      <c r="J80" s="9"/>
      <c r="K80" s="9">
        <v>8</v>
      </c>
      <c r="L80" s="9">
        <v>3</v>
      </c>
      <c r="M80" s="9">
        <v>11</v>
      </c>
    </row>
    <row r="81" spans="9:13" x14ac:dyDescent="0.35">
      <c r="I81" s="2">
        <v>59</v>
      </c>
      <c r="J81" s="9"/>
      <c r="K81" s="9">
        <v>7</v>
      </c>
      <c r="L81" s="9">
        <v>3</v>
      </c>
      <c r="M81" s="9">
        <v>10</v>
      </c>
    </row>
    <row r="82" spans="9:13" x14ac:dyDescent="0.35">
      <c r="I82" s="2">
        <v>60</v>
      </c>
      <c r="J82" s="9"/>
      <c r="K82" s="9">
        <v>5</v>
      </c>
      <c r="L82" s="9">
        <v>2</v>
      </c>
      <c r="M82" s="9">
        <v>7</v>
      </c>
    </row>
    <row r="83" spans="9:13" x14ac:dyDescent="0.35">
      <c r="I83" s="2" t="s">
        <v>1701</v>
      </c>
      <c r="J83" s="9">
        <v>16</v>
      </c>
      <c r="K83" s="9">
        <v>191</v>
      </c>
      <c r="L83" s="9">
        <v>54</v>
      </c>
      <c r="M83" s="9">
        <v>261</v>
      </c>
    </row>
  </sheetData>
  <pageMargins left="0.7" right="0.7" top="0.75" bottom="0.75" header="0.3" footer="0.3"/>
  <drawing r:id="rId14"/>
  <extLst>
    <ext xmlns:x14="http://schemas.microsoft.com/office/spreadsheetml/2009/9/main" uri="{A8765BA9-456A-4dab-B4F3-ACF838C121DE}">
      <x14:slicerList>
        <x14:slicer r:id="rId15"/>
      </x14:slicerList>
    </ext>
    <ext xmlns:x15="http://schemas.microsoft.com/office/spreadsheetml/2010/11/main" uri="{7E03D99C-DC04-49d9-9315-930204A7B6E9}">
      <x15:timelineRefs>
        <x15:timelineRef r:id="rId1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824D3-EF58-4F65-84E3-1B38DBAB2C25}">
  <sheetPr>
    <tabColor rgb="FF00B050"/>
  </sheetPr>
  <dimension ref="A1:AA1002"/>
  <sheetViews>
    <sheetView tabSelected="1" topLeftCell="N1" workbookViewId="0">
      <selection sqref="A1:AA1"/>
    </sheetView>
  </sheetViews>
  <sheetFormatPr defaultRowHeight="14.5" x14ac:dyDescent="0.35"/>
  <cols>
    <col min="1" max="1" width="9.54296875" style="13" bestFit="1" customWidth="1"/>
    <col min="2" max="3" width="9.7265625" style="13" bestFit="1" customWidth="1"/>
    <col min="4" max="4" width="12.6328125" style="13" bestFit="1" customWidth="1"/>
    <col min="5" max="5" width="6.81640625" style="13" bestFit="1" customWidth="1"/>
    <col min="6" max="6" width="3.6328125" style="13" bestFit="1" customWidth="1"/>
    <col min="7" max="7" width="11.36328125" style="13" bestFit="1" customWidth="1"/>
    <col min="8" max="8" width="10.36328125" style="13" bestFit="1" customWidth="1"/>
    <col min="9" max="9" width="11.36328125" style="13" bestFit="1" customWidth="1"/>
    <col min="10" max="10" width="8.26953125" style="13" bestFit="1" customWidth="1"/>
    <col min="11" max="11" width="7.453125" style="13" bestFit="1" customWidth="1"/>
    <col min="12" max="12" width="7.7265625" style="13" bestFit="1" customWidth="1"/>
    <col min="13" max="13" width="7.453125" style="13" bestFit="1" customWidth="1"/>
    <col min="14" max="14" width="13.7265625" style="13" bestFit="1" customWidth="1"/>
    <col min="15" max="15" width="8.81640625" style="13" bestFit="1" customWidth="1"/>
    <col min="16" max="16" width="10.7265625" style="13" bestFit="1" customWidth="1"/>
    <col min="17" max="17" width="21.1796875" style="13" bestFit="1" customWidth="1"/>
    <col min="18" max="18" width="10.90625" style="13" bestFit="1" customWidth="1"/>
    <col min="19" max="19" width="14.7265625" style="13" bestFit="1" customWidth="1"/>
    <col min="20" max="20" width="11.453125" style="13" bestFit="1" customWidth="1"/>
    <col min="21" max="21" width="10.36328125" style="13" bestFit="1" customWidth="1"/>
    <col min="22" max="22" width="12.26953125" style="13" bestFit="1" customWidth="1"/>
    <col min="23" max="23" width="6" style="13" bestFit="1" customWidth="1"/>
    <col min="24" max="24" width="10.453125" style="13" bestFit="1" customWidth="1"/>
    <col min="25" max="25" width="10.7265625" style="13" bestFit="1" customWidth="1"/>
    <col min="26" max="26" width="5.6328125" style="13" bestFit="1" customWidth="1"/>
    <col min="27" max="27" width="8.81640625" style="13" bestFit="1" customWidth="1"/>
    <col min="28" max="16384" width="8.7265625" style="13"/>
  </cols>
  <sheetData>
    <row r="1" spans="1:27" x14ac:dyDescent="0.35">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1698</v>
      </c>
      <c r="R1" s="12" t="s">
        <v>16</v>
      </c>
      <c r="S1" s="12" t="s">
        <v>17</v>
      </c>
      <c r="T1" s="12" t="s">
        <v>18</v>
      </c>
      <c r="U1" s="12" t="s">
        <v>19</v>
      </c>
      <c r="V1" s="12" t="s">
        <v>20</v>
      </c>
      <c r="W1" s="12" t="s">
        <v>21</v>
      </c>
      <c r="X1" s="12" t="s">
        <v>22</v>
      </c>
      <c r="Y1" s="12" t="s">
        <v>23</v>
      </c>
      <c r="Z1" s="12" t="s">
        <v>24</v>
      </c>
      <c r="AA1" s="12" t="s">
        <v>25</v>
      </c>
    </row>
    <row r="2" spans="1:27" x14ac:dyDescent="0.35">
      <c r="A2" s="14" t="s">
        <v>26</v>
      </c>
      <c r="B2" s="15">
        <v>45854</v>
      </c>
      <c r="C2" s="14" t="s">
        <v>27</v>
      </c>
      <c r="D2" s="14" t="s">
        <v>28</v>
      </c>
      <c r="E2" s="14" t="s">
        <v>29</v>
      </c>
      <c r="F2" s="14">
        <v>35</v>
      </c>
      <c r="G2" s="14" t="s">
        <v>30</v>
      </c>
      <c r="H2" s="14" t="s">
        <v>31</v>
      </c>
      <c r="I2" s="14" t="s">
        <v>30</v>
      </c>
      <c r="J2" s="14" t="s">
        <v>32</v>
      </c>
      <c r="K2" s="14">
        <v>2</v>
      </c>
      <c r="L2" s="14">
        <v>24446</v>
      </c>
      <c r="M2" s="14">
        <v>5</v>
      </c>
      <c r="N2" s="14">
        <v>2444.6</v>
      </c>
      <c r="O2" s="14">
        <v>8360.5300000000007</v>
      </c>
      <c r="P2" s="14">
        <v>310</v>
      </c>
      <c r="Q2" s="14">
        <f>R2-P2</f>
        <v>54807.93</v>
      </c>
      <c r="R2" s="14">
        <v>55117.93</v>
      </c>
      <c r="S2" s="14" t="s">
        <v>33</v>
      </c>
      <c r="T2" s="14" t="s">
        <v>34</v>
      </c>
      <c r="U2" s="14" t="s">
        <v>35</v>
      </c>
      <c r="V2" s="14" t="s">
        <v>36</v>
      </c>
      <c r="W2" s="14" t="s">
        <v>37</v>
      </c>
      <c r="X2" s="14">
        <v>1</v>
      </c>
      <c r="Y2" s="14" t="s">
        <v>38</v>
      </c>
      <c r="Z2" s="14">
        <v>1</v>
      </c>
      <c r="AA2" s="14" t="s">
        <v>39</v>
      </c>
    </row>
    <row r="3" spans="1:27" x14ac:dyDescent="0.35">
      <c r="A3" s="14" t="s">
        <v>40</v>
      </c>
      <c r="B3" s="15">
        <v>45791</v>
      </c>
      <c r="C3" s="14" t="s">
        <v>41</v>
      </c>
      <c r="D3" s="14" t="s">
        <v>42</v>
      </c>
      <c r="E3" s="14" t="s">
        <v>43</v>
      </c>
      <c r="F3" s="14">
        <v>45</v>
      </c>
      <c r="G3" s="14" t="s">
        <v>44</v>
      </c>
      <c r="H3" s="14" t="s">
        <v>31</v>
      </c>
      <c r="I3" s="14" t="s">
        <v>44</v>
      </c>
      <c r="J3" s="14" t="s">
        <v>32</v>
      </c>
      <c r="K3" s="14">
        <v>2</v>
      </c>
      <c r="L3" s="14">
        <v>18047</v>
      </c>
      <c r="M3" s="14">
        <v>20</v>
      </c>
      <c r="N3" s="14">
        <v>7218.8</v>
      </c>
      <c r="O3" s="14">
        <v>5197.54</v>
      </c>
      <c r="P3" s="14">
        <v>363</v>
      </c>
      <c r="Q3" s="14">
        <f t="shared" ref="Q3:Q66" si="0">R3-P3</f>
        <v>34072.74</v>
      </c>
      <c r="R3" s="14">
        <v>34435.74</v>
      </c>
      <c r="S3" s="14" t="s">
        <v>45</v>
      </c>
      <c r="T3" s="14" t="s">
        <v>34</v>
      </c>
      <c r="U3" s="14" t="s">
        <v>46</v>
      </c>
      <c r="V3" s="14" t="s">
        <v>36</v>
      </c>
      <c r="W3" s="14" t="s">
        <v>37</v>
      </c>
      <c r="X3" s="14">
        <v>4</v>
      </c>
      <c r="Y3" s="14" t="s">
        <v>38</v>
      </c>
      <c r="Z3" s="14">
        <v>1</v>
      </c>
      <c r="AA3" s="14" t="s">
        <v>47</v>
      </c>
    </row>
    <row r="4" spans="1:27" x14ac:dyDescent="0.35">
      <c r="A4" s="14" t="s">
        <v>48</v>
      </c>
      <c r="B4" s="15">
        <v>45897</v>
      </c>
      <c r="C4" s="14" t="s">
        <v>49</v>
      </c>
      <c r="D4" s="14" t="s">
        <v>50</v>
      </c>
      <c r="E4" s="14" t="s">
        <v>29</v>
      </c>
      <c r="F4" s="14">
        <v>29</v>
      </c>
      <c r="G4" s="14" t="s">
        <v>51</v>
      </c>
      <c r="H4" s="14" t="s">
        <v>52</v>
      </c>
      <c r="I4" s="14" t="s">
        <v>51</v>
      </c>
      <c r="J4" s="14" t="s">
        <v>53</v>
      </c>
      <c r="K4" s="14">
        <v>2</v>
      </c>
      <c r="L4" s="14">
        <v>15876</v>
      </c>
      <c r="M4" s="14">
        <v>5</v>
      </c>
      <c r="N4" s="14">
        <v>1587.6</v>
      </c>
      <c r="O4" s="14">
        <v>5429.59</v>
      </c>
      <c r="P4" s="14">
        <v>156</v>
      </c>
      <c r="Q4" s="14">
        <f t="shared" si="0"/>
        <v>35593.99</v>
      </c>
      <c r="R4" s="14">
        <v>35749.99</v>
      </c>
      <c r="S4" s="14" t="s">
        <v>54</v>
      </c>
      <c r="T4" s="14" t="s">
        <v>34</v>
      </c>
      <c r="U4" s="14" t="s">
        <v>55</v>
      </c>
      <c r="V4" s="14" t="s">
        <v>56</v>
      </c>
      <c r="W4" s="14" t="s">
        <v>57</v>
      </c>
      <c r="X4" s="14">
        <v>3</v>
      </c>
      <c r="Y4" s="14" t="s">
        <v>38</v>
      </c>
      <c r="Z4" s="14">
        <v>4</v>
      </c>
      <c r="AA4" s="14" t="s">
        <v>58</v>
      </c>
    </row>
    <row r="5" spans="1:27" x14ac:dyDescent="0.35">
      <c r="A5" s="14" t="s">
        <v>59</v>
      </c>
      <c r="B5" s="15">
        <v>45850</v>
      </c>
      <c r="C5" s="14" t="s">
        <v>60</v>
      </c>
      <c r="D5" s="14" t="s">
        <v>61</v>
      </c>
      <c r="E5" s="14" t="s">
        <v>29</v>
      </c>
      <c r="F5" s="14">
        <v>18</v>
      </c>
      <c r="G5" s="14" t="s">
        <v>44</v>
      </c>
      <c r="H5" s="14" t="s">
        <v>31</v>
      </c>
      <c r="I5" s="14" t="s">
        <v>44</v>
      </c>
      <c r="J5" s="14" t="s">
        <v>62</v>
      </c>
      <c r="K5" s="14">
        <v>4</v>
      </c>
      <c r="L5" s="14">
        <v>22930</v>
      </c>
      <c r="M5" s="14">
        <v>15</v>
      </c>
      <c r="N5" s="14">
        <v>13758</v>
      </c>
      <c r="O5" s="14">
        <v>14033.16</v>
      </c>
      <c r="P5" s="14">
        <v>264</v>
      </c>
      <c r="Q5" s="14">
        <f t="shared" si="0"/>
        <v>91995.16</v>
      </c>
      <c r="R5" s="14">
        <v>92259.16</v>
      </c>
      <c r="S5" s="14" t="s">
        <v>45</v>
      </c>
      <c r="T5" s="14" t="s">
        <v>63</v>
      </c>
      <c r="U5" s="14" t="s">
        <v>55</v>
      </c>
      <c r="V5" s="14" t="s">
        <v>56</v>
      </c>
      <c r="W5" s="14" t="s">
        <v>57</v>
      </c>
      <c r="X5" s="14">
        <v>10</v>
      </c>
      <c r="Y5" s="14" t="s">
        <v>38</v>
      </c>
      <c r="Z5" s="14">
        <v>2</v>
      </c>
      <c r="AA5" s="14" t="s">
        <v>39</v>
      </c>
    </row>
    <row r="6" spans="1:27" x14ac:dyDescent="0.35">
      <c r="A6" s="14" t="s">
        <v>64</v>
      </c>
      <c r="B6" s="15">
        <v>45929</v>
      </c>
      <c r="C6" s="14" t="s">
        <v>65</v>
      </c>
      <c r="D6" s="14" t="s">
        <v>66</v>
      </c>
      <c r="E6" s="14" t="s">
        <v>43</v>
      </c>
      <c r="F6" s="14">
        <v>22</v>
      </c>
      <c r="G6" s="14" t="s">
        <v>67</v>
      </c>
      <c r="H6" s="14" t="s">
        <v>68</v>
      </c>
      <c r="I6" s="14" t="s">
        <v>67</v>
      </c>
      <c r="J6" s="14" t="s">
        <v>69</v>
      </c>
      <c r="K6" s="14">
        <v>3</v>
      </c>
      <c r="L6" s="14">
        <v>28947</v>
      </c>
      <c r="M6" s="14">
        <v>10</v>
      </c>
      <c r="N6" s="14">
        <v>8684.1</v>
      </c>
      <c r="O6" s="14">
        <v>14068.24</v>
      </c>
      <c r="P6" s="14">
        <v>398</v>
      </c>
      <c r="Q6" s="14">
        <f t="shared" si="0"/>
        <v>92225.14</v>
      </c>
      <c r="R6" s="14">
        <v>92623.14</v>
      </c>
      <c r="S6" s="14" t="s">
        <v>33</v>
      </c>
      <c r="T6" s="14" t="s">
        <v>63</v>
      </c>
      <c r="U6" s="14" t="s">
        <v>70</v>
      </c>
      <c r="V6" s="14" t="s">
        <v>56</v>
      </c>
      <c r="W6" s="14" t="s">
        <v>57</v>
      </c>
      <c r="X6" s="14">
        <v>6</v>
      </c>
      <c r="Y6" s="14" t="s">
        <v>38</v>
      </c>
      <c r="Z6" s="14">
        <v>2</v>
      </c>
      <c r="AA6" s="14" t="s">
        <v>39</v>
      </c>
    </row>
    <row r="7" spans="1:27" x14ac:dyDescent="0.35">
      <c r="A7" s="14" t="s">
        <v>71</v>
      </c>
      <c r="B7" s="15">
        <v>46058</v>
      </c>
      <c r="C7" s="14" t="s">
        <v>72</v>
      </c>
      <c r="D7" s="14" t="s">
        <v>73</v>
      </c>
      <c r="E7" s="14" t="s">
        <v>43</v>
      </c>
      <c r="F7" s="14">
        <v>45</v>
      </c>
      <c r="G7" s="14" t="s">
        <v>74</v>
      </c>
      <c r="H7" s="14" t="s">
        <v>31</v>
      </c>
      <c r="I7" s="14" t="s">
        <v>74</v>
      </c>
      <c r="J7" s="14" t="s">
        <v>75</v>
      </c>
      <c r="K7" s="14">
        <v>5</v>
      </c>
      <c r="L7" s="14">
        <v>5222</v>
      </c>
      <c r="M7" s="14">
        <v>10</v>
      </c>
      <c r="N7" s="14">
        <v>2611</v>
      </c>
      <c r="O7" s="14">
        <v>4229.82</v>
      </c>
      <c r="P7" s="14">
        <v>392</v>
      </c>
      <c r="Q7" s="14">
        <f t="shared" si="0"/>
        <v>27728.82</v>
      </c>
      <c r="R7" s="14">
        <v>28120.82</v>
      </c>
      <c r="S7" s="14" t="s">
        <v>33</v>
      </c>
      <c r="T7" s="14" t="s">
        <v>63</v>
      </c>
      <c r="U7" s="14" t="s">
        <v>76</v>
      </c>
      <c r="V7" s="14" t="s">
        <v>77</v>
      </c>
      <c r="W7" s="14" t="s">
        <v>57</v>
      </c>
      <c r="X7" s="14">
        <v>6</v>
      </c>
      <c r="Y7" s="14" t="s">
        <v>38</v>
      </c>
      <c r="Z7" s="14">
        <v>3</v>
      </c>
      <c r="AA7" s="14" t="s">
        <v>39</v>
      </c>
    </row>
    <row r="8" spans="1:27" x14ac:dyDescent="0.35">
      <c r="A8" s="14" t="s">
        <v>78</v>
      </c>
      <c r="B8" s="15">
        <v>46009</v>
      </c>
      <c r="C8" s="14" t="s">
        <v>79</v>
      </c>
      <c r="D8" s="14" t="s">
        <v>80</v>
      </c>
      <c r="E8" s="14" t="s">
        <v>29</v>
      </c>
      <c r="F8" s="14">
        <v>42</v>
      </c>
      <c r="G8" s="14" t="s">
        <v>30</v>
      </c>
      <c r="H8" s="14" t="s">
        <v>31</v>
      </c>
      <c r="I8" s="14" t="s">
        <v>30</v>
      </c>
      <c r="J8" s="14" t="s">
        <v>62</v>
      </c>
      <c r="K8" s="14">
        <v>3</v>
      </c>
      <c r="L8" s="14">
        <v>47976</v>
      </c>
      <c r="M8" s="14">
        <v>10</v>
      </c>
      <c r="N8" s="14">
        <v>14392.8</v>
      </c>
      <c r="O8" s="14">
        <v>23316.34</v>
      </c>
      <c r="P8" s="14">
        <v>272</v>
      </c>
      <c r="Q8" s="14">
        <f t="shared" si="0"/>
        <v>152851.54</v>
      </c>
      <c r="R8" s="14">
        <v>153123.54</v>
      </c>
      <c r="S8" s="14" t="s">
        <v>45</v>
      </c>
      <c r="T8" s="14" t="s">
        <v>63</v>
      </c>
      <c r="U8" s="14" t="s">
        <v>35</v>
      </c>
      <c r="V8" s="14" t="s">
        <v>36</v>
      </c>
      <c r="W8" s="14" t="s">
        <v>37</v>
      </c>
      <c r="X8" s="14">
        <v>7</v>
      </c>
      <c r="Y8" s="14" t="s">
        <v>47</v>
      </c>
      <c r="Z8" s="14">
        <v>1</v>
      </c>
      <c r="AA8" s="14" t="s">
        <v>47</v>
      </c>
    </row>
    <row r="9" spans="1:27" x14ac:dyDescent="0.35">
      <c r="A9" s="14" t="s">
        <v>81</v>
      </c>
      <c r="B9" s="15">
        <v>45781</v>
      </c>
      <c r="C9" s="14" t="s">
        <v>82</v>
      </c>
      <c r="D9" s="14" t="s">
        <v>50</v>
      </c>
      <c r="E9" s="14" t="s">
        <v>43</v>
      </c>
      <c r="F9" s="14">
        <v>28</v>
      </c>
      <c r="G9" s="14" t="s">
        <v>44</v>
      </c>
      <c r="H9" s="14" t="s">
        <v>31</v>
      </c>
      <c r="I9" s="14" t="s">
        <v>44</v>
      </c>
      <c r="J9" s="14" t="s">
        <v>69</v>
      </c>
      <c r="K9" s="14">
        <v>1</v>
      </c>
      <c r="L9" s="14">
        <v>15216</v>
      </c>
      <c r="M9" s="14">
        <v>10</v>
      </c>
      <c r="N9" s="14">
        <v>1521.6</v>
      </c>
      <c r="O9" s="14">
        <v>2464.9899999999998</v>
      </c>
      <c r="P9" s="14">
        <v>366</v>
      </c>
      <c r="Q9" s="14">
        <f t="shared" si="0"/>
        <v>16159.39</v>
      </c>
      <c r="R9" s="14">
        <v>16525.39</v>
      </c>
      <c r="S9" s="14" t="s">
        <v>83</v>
      </c>
      <c r="T9" s="14" t="s">
        <v>34</v>
      </c>
      <c r="U9" s="14" t="s">
        <v>84</v>
      </c>
      <c r="V9" s="14" t="s">
        <v>85</v>
      </c>
      <c r="W9" s="14" t="s">
        <v>86</v>
      </c>
      <c r="X9" s="14">
        <v>3</v>
      </c>
      <c r="Y9" s="14" t="s">
        <v>38</v>
      </c>
      <c r="Z9" s="14">
        <v>4</v>
      </c>
      <c r="AA9" s="14" t="s">
        <v>47</v>
      </c>
    </row>
    <row r="10" spans="1:27" x14ac:dyDescent="0.35">
      <c r="A10" s="14" t="s">
        <v>87</v>
      </c>
      <c r="B10" s="15">
        <v>45778</v>
      </c>
      <c r="C10" s="14" t="s">
        <v>88</v>
      </c>
      <c r="D10" s="14" t="s">
        <v>89</v>
      </c>
      <c r="E10" s="14" t="s">
        <v>43</v>
      </c>
      <c r="F10" s="14">
        <v>52</v>
      </c>
      <c r="G10" s="14" t="s">
        <v>90</v>
      </c>
      <c r="H10" s="14" t="s">
        <v>31</v>
      </c>
      <c r="I10" s="14" t="s">
        <v>90</v>
      </c>
      <c r="J10" s="14" t="s">
        <v>75</v>
      </c>
      <c r="K10" s="14">
        <v>3</v>
      </c>
      <c r="L10" s="14">
        <v>39902</v>
      </c>
      <c r="M10" s="14">
        <v>0</v>
      </c>
      <c r="N10" s="14">
        <v>0</v>
      </c>
      <c r="O10" s="14">
        <v>21547.08</v>
      </c>
      <c r="P10" s="14">
        <v>82</v>
      </c>
      <c r="Q10" s="14">
        <f t="shared" si="0"/>
        <v>141253.07999999999</v>
      </c>
      <c r="R10" s="14">
        <v>141335.07999999999</v>
      </c>
      <c r="S10" s="14" t="s">
        <v>54</v>
      </c>
      <c r="T10" s="14" t="s">
        <v>34</v>
      </c>
      <c r="U10" s="14" t="s">
        <v>84</v>
      </c>
      <c r="V10" s="14" t="s">
        <v>85</v>
      </c>
      <c r="W10" s="14" t="s">
        <v>86</v>
      </c>
      <c r="X10" s="14">
        <v>8</v>
      </c>
      <c r="Y10" s="14" t="s">
        <v>38</v>
      </c>
      <c r="Z10" s="14">
        <v>4</v>
      </c>
      <c r="AA10" s="14" t="s">
        <v>91</v>
      </c>
    </row>
    <row r="11" spans="1:27" x14ac:dyDescent="0.35">
      <c r="A11" s="14" t="s">
        <v>92</v>
      </c>
      <c r="B11" s="15">
        <v>45863</v>
      </c>
      <c r="C11" s="14" t="s">
        <v>93</v>
      </c>
      <c r="D11" s="14" t="s">
        <v>89</v>
      </c>
      <c r="E11" s="14" t="s">
        <v>29</v>
      </c>
      <c r="F11" s="14">
        <v>32</v>
      </c>
      <c r="G11" s="14" t="s">
        <v>94</v>
      </c>
      <c r="H11" s="14" t="s">
        <v>31</v>
      </c>
      <c r="I11" s="14" t="s">
        <v>94</v>
      </c>
      <c r="J11" s="14" t="s">
        <v>32</v>
      </c>
      <c r="K11" s="14">
        <v>5</v>
      </c>
      <c r="L11" s="14">
        <v>20474</v>
      </c>
      <c r="M11" s="14">
        <v>5</v>
      </c>
      <c r="N11" s="14">
        <v>5118.5</v>
      </c>
      <c r="O11" s="14">
        <v>17505.27</v>
      </c>
      <c r="P11" s="14">
        <v>217</v>
      </c>
      <c r="Q11" s="14">
        <f t="shared" si="0"/>
        <v>114756.77</v>
      </c>
      <c r="R11" s="14">
        <v>114973.77</v>
      </c>
      <c r="S11" s="14" t="s">
        <v>83</v>
      </c>
      <c r="T11" s="14" t="s">
        <v>63</v>
      </c>
      <c r="U11" s="14" t="s">
        <v>95</v>
      </c>
      <c r="V11" s="14" t="s">
        <v>96</v>
      </c>
      <c r="W11" s="14" t="s">
        <v>57</v>
      </c>
      <c r="X11" s="14">
        <v>7</v>
      </c>
      <c r="Y11" s="14" t="s">
        <v>38</v>
      </c>
      <c r="Z11" s="14">
        <v>5</v>
      </c>
      <c r="AA11" s="14" t="s">
        <v>91</v>
      </c>
    </row>
    <row r="12" spans="1:27" x14ac:dyDescent="0.35">
      <c r="A12" s="14" t="s">
        <v>97</v>
      </c>
      <c r="B12" s="15">
        <v>45832</v>
      </c>
      <c r="C12" s="14" t="s">
        <v>98</v>
      </c>
      <c r="D12" s="14" t="s">
        <v>80</v>
      </c>
      <c r="E12" s="14" t="s">
        <v>43</v>
      </c>
      <c r="F12" s="14">
        <v>22</v>
      </c>
      <c r="G12" s="14" t="s">
        <v>99</v>
      </c>
      <c r="H12" s="14" t="s">
        <v>52</v>
      </c>
      <c r="I12" s="14" t="s">
        <v>99</v>
      </c>
      <c r="J12" s="14" t="s">
        <v>62</v>
      </c>
      <c r="K12" s="14">
        <v>5</v>
      </c>
      <c r="L12" s="14">
        <v>33495</v>
      </c>
      <c r="M12" s="14">
        <v>0</v>
      </c>
      <c r="N12" s="14">
        <v>0</v>
      </c>
      <c r="O12" s="14">
        <v>30145.5</v>
      </c>
      <c r="P12" s="14">
        <v>336</v>
      </c>
      <c r="Q12" s="14">
        <f t="shared" si="0"/>
        <v>197620.5</v>
      </c>
      <c r="R12" s="14">
        <v>197956.5</v>
      </c>
      <c r="S12" s="14" t="s">
        <v>83</v>
      </c>
      <c r="T12" s="14" t="s">
        <v>34</v>
      </c>
      <c r="U12" s="14" t="s">
        <v>84</v>
      </c>
      <c r="V12" s="14" t="s">
        <v>85</v>
      </c>
      <c r="W12" s="14" t="s">
        <v>86</v>
      </c>
      <c r="X12" s="14">
        <v>10</v>
      </c>
      <c r="Y12" s="14" t="s">
        <v>38</v>
      </c>
      <c r="Z12" s="14">
        <v>4</v>
      </c>
      <c r="AA12" s="14" t="s">
        <v>47</v>
      </c>
    </row>
    <row r="13" spans="1:27" x14ac:dyDescent="0.35">
      <c r="A13" s="14" t="s">
        <v>100</v>
      </c>
      <c r="B13" s="15">
        <v>46033</v>
      </c>
      <c r="C13" s="14" t="s">
        <v>101</v>
      </c>
      <c r="D13" s="14" t="s">
        <v>50</v>
      </c>
      <c r="E13" s="14" t="s">
        <v>29</v>
      </c>
      <c r="F13" s="14">
        <v>58</v>
      </c>
      <c r="G13" s="14" t="s">
        <v>30</v>
      </c>
      <c r="H13" s="14" t="s">
        <v>31</v>
      </c>
      <c r="I13" s="14" t="s">
        <v>30</v>
      </c>
      <c r="J13" s="14" t="s">
        <v>102</v>
      </c>
      <c r="K13" s="14">
        <v>5</v>
      </c>
      <c r="L13" s="14">
        <v>28508</v>
      </c>
      <c r="M13" s="14">
        <v>0</v>
      </c>
      <c r="N13" s="14">
        <v>0</v>
      </c>
      <c r="O13" s="14">
        <v>25657.200000000001</v>
      </c>
      <c r="P13" s="14">
        <v>8</v>
      </c>
      <c r="Q13" s="14">
        <f t="shared" si="0"/>
        <v>168197.2</v>
      </c>
      <c r="R13" s="14">
        <v>168205.2</v>
      </c>
      <c r="S13" s="14" t="s">
        <v>33</v>
      </c>
      <c r="T13" s="14" t="s">
        <v>34</v>
      </c>
      <c r="U13" s="14" t="s">
        <v>103</v>
      </c>
      <c r="V13" s="14" t="s">
        <v>103</v>
      </c>
      <c r="W13" s="14" t="s">
        <v>57</v>
      </c>
      <c r="X13" s="14">
        <v>4</v>
      </c>
      <c r="Y13" s="14" t="s">
        <v>47</v>
      </c>
      <c r="Z13" s="14">
        <v>1</v>
      </c>
      <c r="AA13" s="14" t="s">
        <v>47</v>
      </c>
    </row>
    <row r="14" spans="1:27" x14ac:dyDescent="0.35">
      <c r="A14" s="14" t="s">
        <v>104</v>
      </c>
      <c r="B14" s="15">
        <v>45970</v>
      </c>
      <c r="C14" s="14" t="s">
        <v>105</v>
      </c>
      <c r="D14" s="14" t="s">
        <v>66</v>
      </c>
      <c r="E14" s="14" t="s">
        <v>29</v>
      </c>
      <c r="F14" s="14">
        <v>25</v>
      </c>
      <c r="G14" s="14" t="s">
        <v>94</v>
      </c>
      <c r="H14" s="14" t="s">
        <v>31</v>
      </c>
      <c r="I14" s="14" t="s">
        <v>94</v>
      </c>
      <c r="J14" s="14" t="s">
        <v>69</v>
      </c>
      <c r="K14" s="14">
        <v>3</v>
      </c>
      <c r="L14" s="14">
        <v>25199</v>
      </c>
      <c r="M14" s="14">
        <v>10</v>
      </c>
      <c r="N14" s="14">
        <v>7559.7</v>
      </c>
      <c r="O14" s="14">
        <v>12246.71</v>
      </c>
      <c r="P14" s="14">
        <v>373</v>
      </c>
      <c r="Q14" s="14">
        <f t="shared" si="0"/>
        <v>80284.009999999995</v>
      </c>
      <c r="R14" s="14">
        <v>80657.009999999995</v>
      </c>
      <c r="S14" s="14" t="s">
        <v>54</v>
      </c>
      <c r="T14" s="14" t="s">
        <v>63</v>
      </c>
      <c r="U14" s="14" t="s">
        <v>95</v>
      </c>
      <c r="V14" s="14" t="s">
        <v>96</v>
      </c>
      <c r="W14" s="14" t="s">
        <v>57</v>
      </c>
      <c r="X14" s="14">
        <v>6</v>
      </c>
      <c r="Y14" s="14" t="s">
        <v>38</v>
      </c>
      <c r="Z14" s="14">
        <v>4</v>
      </c>
      <c r="AA14" s="14" t="s">
        <v>47</v>
      </c>
    </row>
    <row r="15" spans="1:27" x14ac:dyDescent="0.35">
      <c r="A15" s="14" t="s">
        <v>106</v>
      </c>
      <c r="B15" s="15">
        <v>45960</v>
      </c>
      <c r="C15" s="14" t="s">
        <v>107</v>
      </c>
      <c r="D15" s="14" t="s">
        <v>108</v>
      </c>
      <c r="E15" s="14" t="s">
        <v>29</v>
      </c>
      <c r="F15" s="14">
        <v>22</v>
      </c>
      <c r="G15" s="14" t="s">
        <v>51</v>
      </c>
      <c r="H15" s="14" t="s">
        <v>52</v>
      </c>
      <c r="I15" s="14" t="s">
        <v>51</v>
      </c>
      <c r="J15" s="14" t="s">
        <v>62</v>
      </c>
      <c r="K15" s="14">
        <v>3</v>
      </c>
      <c r="L15" s="14">
        <v>528</v>
      </c>
      <c r="M15" s="14">
        <v>5</v>
      </c>
      <c r="N15" s="14">
        <v>79.2</v>
      </c>
      <c r="O15" s="14">
        <v>270.86</v>
      </c>
      <c r="P15" s="14">
        <v>489</v>
      </c>
      <c r="Q15" s="14">
        <f t="shared" si="0"/>
        <v>1775.6599999999999</v>
      </c>
      <c r="R15" s="14">
        <v>2264.66</v>
      </c>
      <c r="S15" s="14" t="s">
        <v>83</v>
      </c>
      <c r="T15" s="14" t="s">
        <v>63</v>
      </c>
      <c r="U15" s="14" t="s">
        <v>76</v>
      </c>
      <c r="V15" s="14" t="s">
        <v>77</v>
      </c>
      <c r="W15" s="14" t="s">
        <v>57</v>
      </c>
      <c r="X15" s="14">
        <v>7</v>
      </c>
      <c r="Y15" s="14" t="s">
        <v>47</v>
      </c>
      <c r="Z15" s="14">
        <v>5</v>
      </c>
      <c r="AA15" s="14" t="s">
        <v>39</v>
      </c>
    </row>
    <row r="16" spans="1:27" x14ac:dyDescent="0.35">
      <c r="A16" s="14" t="s">
        <v>109</v>
      </c>
      <c r="B16" s="15">
        <v>46094</v>
      </c>
      <c r="C16" s="14" t="s">
        <v>110</v>
      </c>
      <c r="D16" s="14" t="s">
        <v>111</v>
      </c>
      <c r="E16" s="14" t="s">
        <v>43</v>
      </c>
      <c r="F16" s="14">
        <v>19</v>
      </c>
      <c r="G16" s="14" t="s">
        <v>30</v>
      </c>
      <c r="H16" s="14" t="s">
        <v>31</v>
      </c>
      <c r="I16" s="14" t="s">
        <v>30</v>
      </c>
      <c r="J16" s="14" t="s">
        <v>112</v>
      </c>
      <c r="K16" s="14">
        <v>2</v>
      </c>
      <c r="L16" s="14">
        <v>4978</v>
      </c>
      <c r="M16" s="14">
        <v>10</v>
      </c>
      <c r="N16" s="14">
        <v>995.6</v>
      </c>
      <c r="O16" s="14">
        <v>1612.87</v>
      </c>
      <c r="P16" s="14">
        <v>228</v>
      </c>
      <c r="Q16" s="14">
        <f t="shared" si="0"/>
        <v>10573.27</v>
      </c>
      <c r="R16" s="14">
        <v>10801.27</v>
      </c>
      <c r="S16" s="14" t="s">
        <v>33</v>
      </c>
      <c r="T16" s="14" t="s">
        <v>63</v>
      </c>
      <c r="U16" s="14" t="s">
        <v>76</v>
      </c>
      <c r="V16" s="14" t="s">
        <v>77</v>
      </c>
      <c r="W16" s="14" t="s">
        <v>57</v>
      </c>
      <c r="X16" s="14">
        <v>8</v>
      </c>
      <c r="Y16" s="14" t="s">
        <v>47</v>
      </c>
      <c r="Z16" s="14">
        <v>3</v>
      </c>
      <c r="AA16" s="14" t="s">
        <v>91</v>
      </c>
    </row>
    <row r="17" spans="1:27" x14ac:dyDescent="0.35">
      <c r="A17" s="14" t="s">
        <v>113</v>
      </c>
      <c r="B17" s="15">
        <v>46001</v>
      </c>
      <c r="C17" s="14" t="s">
        <v>114</v>
      </c>
      <c r="D17" s="14" t="s">
        <v>108</v>
      </c>
      <c r="E17" s="14" t="s">
        <v>43</v>
      </c>
      <c r="F17" s="14">
        <v>51</v>
      </c>
      <c r="G17" s="14" t="s">
        <v>74</v>
      </c>
      <c r="H17" s="14" t="s">
        <v>31</v>
      </c>
      <c r="I17" s="14" t="s">
        <v>74</v>
      </c>
      <c r="J17" s="14" t="s">
        <v>102</v>
      </c>
      <c r="K17" s="14">
        <v>5</v>
      </c>
      <c r="L17" s="14">
        <v>46989</v>
      </c>
      <c r="M17" s="14">
        <v>10</v>
      </c>
      <c r="N17" s="14">
        <v>23494.5</v>
      </c>
      <c r="O17" s="14">
        <v>38061.089999999997</v>
      </c>
      <c r="P17" s="14">
        <v>201</v>
      </c>
      <c r="Q17" s="14">
        <f t="shared" si="0"/>
        <v>249511.59</v>
      </c>
      <c r="R17" s="14">
        <v>249712.59</v>
      </c>
      <c r="S17" s="14" t="s">
        <v>54</v>
      </c>
      <c r="T17" s="14" t="s">
        <v>34</v>
      </c>
      <c r="U17" s="14" t="s">
        <v>84</v>
      </c>
      <c r="V17" s="14" t="s">
        <v>85</v>
      </c>
      <c r="W17" s="14" t="s">
        <v>86</v>
      </c>
      <c r="X17" s="14">
        <v>9</v>
      </c>
      <c r="Y17" s="14" t="s">
        <v>47</v>
      </c>
      <c r="Z17" s="14">
        <v>4</v>
      </c>
      <c r="AA17" s="14" t="s">
        <v>39</v>
      </c>
    </row>
    <row r="18" spans="1:27" x14ac:dyDescent="0.35">
      <c r="A18" s="14" t="s">
        <v>115</v>
      </c>
      <c r="B18" s="15">
        <v>45808</v>
      </c>
      <c r="C18" s="14" t="s">
        <v>116</v>
      </c>
      <c r="D18" s="14" t="s">
        <v>111</v>
      </c>
      <c r="E18" s="14" t="s">
        <v>29</v>
      </c>
      <c r="F18" s="14">
        <v>31</v>
      </c>
      <c r="G18" s="14" t="s">
        <v>67</v>
      </c>
      <c r="H18" s="14" t="s">
        <v>68</v>
      </c>
      <c r="I18" s="14" t="s">
        <v>67</v>
      </c>
      <c r="J18" s="14" t="s">
        <v>69</v>
      </c>
      <c r="K18" s="14">
        <v>1</v>
      </c>
      <c r="L18" s="14">
        <v>48667</v>
      </c>
      <c r="M18" s="14">
        <v>5</v>
      </c>
      <c r="N18" s="14">
        <v>2433.35</v>
      </c>
      <c r="O18" s="14">
        <v>8322.06</v>
      </c>
      <c r="P18" s="14">
        <v>58</v>
      </c>
      <c r="Q18" s="14">
        <f t="shared" si="0"/>
        <v>54555.71</v>
      </c>
      <c r="R18" s="14">
        <v>54613.71</v>
      </c>
      <c r="S18" s="14" t="s">
        <v>83</v>
      </c>
      <c r="T18" s="14" t="s">
        <v>63</v>
      </c>
      <c r="U18" s="14" t="s">
        <v>84</v>
      </c>
      <c r="V18" s="14" t="s">
        <v>85</v>
      </c>
      <c r="W18" s="14" t="s">
        <v>86</v>
      </c>
      <c r="X18" s="14">
        <v>1</v>
      </c>
      <c r="Y18" s="14" t="s">
        <v>47</v>
      </c>
      <c r="Z18" s="14">
        <v>2</v>
      </c>
      <c r="AA18" s="14" t="s">
        <v>91</v>
      </c>
    </row>
    <row r="19" spans="1:27" x14ac:dyDescent="0.35">
      <c r="A19" s="14" t="s">
        <v>117</v>
      </c>
      <c r="B19" s="15">
        <v>45784</v>
      </c>
      <c r="C19" s="14" t="s">
        <v>118</v>
      </c>
      <c r="D19" s="14" t="s">
        <v>66</v>
      </c>
      <c r="E19" s="14" t="s">
        <v>29</v>
      </c>
      <c r="F19" s="14">
        <v>31</v>
      </c>
      <c r="G19" s="14" t="s">
        <v>94</v>
      </c>
      <c r="H19" s="14" t="s">
        <v>31</v>
      </c>
      <c r="I19" s="14" t="s">
        <v>94</v>
      </c>
      <c r="J19" s="14" t="s">
        <v>53</v>
      </c>
      <c r="K19" s="14">
        <v>3</v>
      </c>
      <c r="L19" s="14">
        <v>33636</v>
      </c>
      <c r="M19" s="14">
        <v>10</v>
      </c>
      <c r="N19" s="14">
        <v>10090.799999999999</v>
      </c>
      <c r="O19" s="14">
        <v>16347.1</v>
      </c>
      <c r="P19" s="14">
        <v>272</v>
      </c>
      <c r="Q19" s="14">
        <f t="shared" si="0"/>
        <v>107164.3</v>
      </c>
      <c r="R19" s="14">
        <v>107436.3</v>
      </c>
      <c r="S19" s="14" t="s">
        <v>83</v>
      </c>
      <c r="T19" s="14" t="s">
        <v>34</v>
      </c>
      <c r="U19" s="14" t="s">
        <v>76</v>
      </c>
      <c r="V19" s="14" t="s">
        <v>77</v>
      </c>
      <c r="W19" s="14" t="s">
        <v>57</v>
      </c>
      <c r="X19" s="14">
        <v>1</v>
      </c>
      <c r="Y19" s="14" t="s">
        <v>38</v>
      </c>
      <c r="Z19" s="14">
        <v>3</v>
      </c>
      <c r="AA19" s="14" t="s">
        <v>39</v>
      </c>
    </row>
    <row r="20" spans="1:27" x14ac:dyDescent="0.35">
      <c r="A20" s="14" t="s">
        <v>119</v>
      </c>
      <c r="B20" s="15">
        <v>45987</v>
      </c>
      <c r="C20" s="14" t="s">
        <v>120</v>
      </c>
      <c r="D20" s="14" t="s">
        <v>66</v>
      </c>
      <c r="E20" s="14" t="s">
        <v>43</v>
      </c>
      <c r="F20" s="14">
        <v>55</v>
      </c>
      <c r="G20" s="14" t="s">
        <v>51</v>
      </c>
      <c r="H20" s="14" t="s">
        <v>52</v>
      </c>
      <c r="I20" s="14" t="s">
        <v>51</v>
      </c>
      <c r="J20" s="14" t="s">
        <v>53</v>
      </c>
      <c r="K20" s="14">
        <v>3</v>
      </c>
      <c r="L20" s="14">
        <v>40213</v>
      </c>
      <c r="M20" s="14">
        <v>15</v>
      </c>
      <c r="N20" s="14">
        <v>18095.849999999999</v>
      </c>
      <c r="O20" s="14">
        <v>18457.77</v>
      </c>
      <c r="P20" s="14">
        <v>371</v>
      </c>
      <c r="Q20" s="14">
        <f t="shared" si="0"/>
        <v>121000.92</v>
      </c>
      <c r="R20" s="14">
        <v>121371.92</v>
      </c>
      <c r="S20" s="14" t="s">
        <v>33</v>
      </c>
      <c r="T20" s="14" t="s">
        <v>34</v>
      </c>
      <c r="U20" s="14" t="s">
        <v>55</v>
      </c>
      <c r="V20" s="14" t="s">
        <v>56</v>
      </c>
      <c r="W20" s="14" t="s">
        <v>57</v>
      </c>
      <c r="X20" s="14">
        <v>6</v>
      </c>
      <c r="Y20" s="14" t="s">
        <v>47</v>
      </c>
      <c r="Z20" s="14">
        <v>4</v>
      </c>
      <c r="AA20" s="14" t="s">
        <v>47</v>
      </c>
    </row>
    <row r="21" spans="1:27" x14ac:dyDescent="0.35">
      <c r="A21" s="14" t="s">
        <v>121</v>
      </c>
      <c r="B21" s="15">
        <v>45895</v>
      </c>
      <c r="C21" s="14" t="s">
        <v>122</v>
      </c>
      <c r="D21" s="14" t="s">
        <v>111</v>
      </c>
      <c r="E21" s="14" t="s">
        <v>29</v>
      </c>
      <c r="F21" s="14">
        <v>36</v>
      </c>
      <c r="G21" s="14" t="s">
        <v>51</v>
      </c>
      <c r="H21" s="14" t="s">
        <v>52</v>
      </c>
      <c r="I21" s="14" t="s">
        <v>51</v>
      </c>
      <c r="J21" s="14" t="s">
        <v>102</v>
      </c>
      <c r="K21" s="14">
        <v>4</v>
      </c>
      <c r="L21" s="14">
        <v>7214</v>
      </c>
      <c r="M21" s="14">
        <v>5</v>
      </c>
      <c r="N21" s="14">
        <v>1442.8</v>
      </c>
      <c r="O21" s="14">
        <v>4934.38</v>
      </c>
      <c r="P21" s="14">
        <v>443</v>
      </c>
      <c r="Q21" s="14">
        <f t="shared" si="0"/>
        <v>32347.58</v>
      </c>
      <c r="R21" s="14">
        <v>32790.58</v>
      </c>
      <c r="S21" s="14" t="s">
        <v>33</v>
      </c>
      <c r="T21" s="14" t="s">
        <v>63</v>
      </c>
      <c r="U21" s="14" t="s">
        <v>95</v>
      </c>
      <c r="V21" s="14" t="s">
        <v>96</v>
      </c>
      <c r="W21" s="14" t="s">
        <v>57</v>
      </c>
      <c r="X21" s="14">
        <v>9</v>
      </c>
      <c r="Y21" s="14" t="s">
        <v>38</v>
      </c>
      <c r="Z21" s="14">
        <v>5</v>
      </c>
      <c r="AA21" s="14" t="s">
        <v>47</v>
      </c>
    </row>
    <row r="22" spans="1:27" x14ac:dyDescent="0.35">
      <c r="A22" s="14" t="s">
        <v>123</v>
      </c>
      <c r="B22" s="15">
        <v>46019</v>
      </c>
      <c r="C22" s="14" t="s">
        <v>124</v>
      </c>
      <c r="D22" s="14" t="s">
        <v>111</v>
      </c>
      <c r="E22" s="14" t="s">
        <v>43</v>
      </c>
      <c r="F22" s="14">
        <v>54</v>
      </c>
      <c r="G22" s="14" t="s">
        <v>30</v>
      </c>
      <c r="H22" s="14" t="s">
        <v>31</v>
      </c>
      <c r="I22" s="14" t="s">
        <v>30</v>
      </c>
      <c r="J22" s="14" t="s">
        <v>125</v>
      </c>
      <c r="K22" s="14">
        <v>2</v>
      </c>
      <c r="L22" s="14">
        <v>33517</v>
      </c>
      <c r="M22" s="14">
        <v>0</v>
      </c>
      <c r="N22" s="14">
        <v>0</v>
      </c>
      <c r="O22" s="14">
        <v>12066.12</v>
      </c>
      <c r="P22" s="14">
        <v>341</v>
      </c>
      <c r="Q22" s="14">
        <f t="shared" si="0"/>
        <v>79100.12</v>
      </c>
      <c r="R22" s="14">
        <v>79441.119999999995</v>
      </c>
      <c r="S22" s="14" t="s">
        <v>83</v>
      </c>
      <c r="T22" s="14" t="s">
        <v>63</v>
      </c>
      <c r="U22" s="14" t="s">
        <v>76</v>
      </c>
      <c r="V22" s="14" t="s">
        <v>77</v>
      </c>
      <c r="W22" s="14" t="s">
        <v>57</v>
      </c>
      <c r="X22" s="14">
        <v>5</v>
      </c>
      <c r="Y22" s="14" t="s">
        <v>47</v>
      </c>
      <c r="Z22" s="14">
        <v>3</v>
      </c>
      <c r="AA22" s="14" t="s">
        <v>58</v>
      </c>
    </row>
    <row r="23" spans="1:27" x14ac:dyDescent="0.35">
      <c r="A23" s="14" t="s">
        <v>126</v>
      </c>
      <c r="B23" s="15">
        <v>46014</v>
      </c>
      <c r="C23" s="14" t="s">
        <v>127</v>
      </c>
      <c r="D23" s="14" t="s">
        <v>61</v>
      </c>
      <c r="E23" s="14" t="s">
        <v>29</v>
      </c>
      <c r="F23" s="14">
        <v>45</v>
      </c>
      <c r="G23" s="14" t="s">
        <v>67</v>
      </c>
      <c r="H23" s="14" t="s">
        <v>68</v>
      </c>
      <c r="I23" s="14" t="s">
        <v>67</v>
      </c>
      <c r="J23" s="14" t="s">
        <v>102</v>
      </c>
      <c r="K23" s="14">
        <v>1</v>
      </c>
      <c r="L23" s="14">
        <v>29256</v>
      </c>
      <c r="M23" s="14">
        <v>15</v>
      </c>
      <c r="N23" s="14">
        <v>4388.3999999999996</v>
      </c>
      <c r="O23" s="14">
        <v>4476.17</v>
      </c>
      <c r="P23" s="14">
        <v>37</v>
      </c>
      <c r="Q23" s="14">
        <f t="shared" si="0"/>
        <v>29343.77</v>
      </c>
      <c r="R23" s="14">
        <v>29380.77</v>
      </c>
      <c r="S23" s="14" t="s">
        <v>83</v>
      </c>
      <c r="T23" s="14" t="s">
        <v>63</v>
      </c>
      <c r="U23" s="14" t="s">
        <v>95</v>
      </c>
      <c r="V23" s="14" t="s">
        <v>96</v>
      </c>
      <c r="W23" s="14" t="s">
        <v>57</v>
      </c>
      <c r="X23" s="14">
        <v>9</v>
      </c>
      <c r="Y23" s="14" t="s">
        <v>38</v>
      </c>
      <c r="Z23" s="14">
        <v>4</v>
      </c>
      <c r="AA23" s="14" t="s">
        <v>58</v>
      </c>
    </row>
    <row r="24" spans="1:27" x14ac:dyDescent="0.35">
      <c r="A24" s="14" t="s">
        <v>128</v>
      </c>
      <c r="B24" s="15">
        <v>46079</v>
      </c>
      <c r="C24" s="14" t="s">
        <v>129</v>
      </c>
      <c r="D24" s="14" t="s">
        <v>66</v>
      </c>
      <c r="E24" s="14" t="s">
        <v>29</v>
      </c>
      <c r="F24" s="14">
        <v>31</v>
      </c>
      <c r="G24" s="14" t="s">
        <v>44</v>
      </c>
      <c r="H24" s="14" t="s">
        <v>31</v>
      </c>
      <c r="I24" s="14" t="s">
        <v>44</v>
      </c>
      <c r="J24" s="14" t="s">
        <v>69</v>
      </c>
      <c r="K24" s="14">
        <v>1</v>
      </c>
      <c r="L24" s="14">
        <v>36299</v>
      </c>
      <c r="M24" s="14">
        <v>10</v>
      </c>
      <c r="N24" s="14">
        <v>3629.9</v>
      </c>
      <c r="O24" s="14">
        <v>5880.44</v>
      </c>
      <c r="P24" s="14">
        <v>385</v>
      </c>
      <c r="Q24" s="14">
        <f t="shared" si="0"/>
        <v>38549.54</v>
      </c>
      <c r="R24" s="14">
        <v>38934.54</v>
      </c>
      <c r="S24" s="14" t="s">
        <v>54</v>
      </c>
      <c r="T24" s="14" t="s">
        <v>34</v>
      </c>
      <c r="U24" s="14" t="s">
        <v>46</v>
      </c>
      <c r="V24" s="14" t="s">
        <v>36</v>
      </c>
      <c r="W24" s="14" t="s">
        <v>37</v>
      </c>
      <c r="X24" s="14">
        <v>1</v>
      </c>
      <c r="Y24" s="14" t="s">
        <v>38</v>
      </c>
      <c r="Z24" s="14">
        <v>1</v>
      </c>
      <c r="AA24" s="14" t="s">
        <v>58</v>
      </c>
    </row>
    <row r="25" spans="1:27" x14ac:dyDescent="0.35">
      <c r="A25" s="14" t="s">
        <v>130</v>
      </c>
      <c r="B25" s="15">
        <v>45930</v>
      </c>
      <c r="C25" s="14" t="s">
        <v>131</v>
      </c>
      <c r="D25" s="14" t="s">
        <v>80</v>
      </c>
      <c r="E25" s="14" t="s">
        <v>43</v>
      </c>
      <c r="F25" s="14">
        <v>56</v>
      </c>
      <c r="G25" s="14" t="s">
        <v>74</v>
      </c>
      <c r="H25" s="14" t="s">
        <v>31</v>
      </c>
      <c r="I25" s="14" t="s">
        <v>74</v>
      </c>
      <c r="J25" s="14" t="s">
        <v>53</v>
      </c>
      <c r="K25" s="14">
        <v>3</v>
      </c>
      <c r="L25" s="14">
        <v>24675</v>
      </c>
      <c r="M25" s="14">
        <v>15</v>
      </c>
      <c r="N25" s="14">
        <v>11103.75</v>
      </c>
      <c r="O25" s="14">
        <v>11325.82</v>
      </c>
      <c r="P25" s="14">
        <v>294</v>
      </c>
      <c r="Q25" s="14">
        <f t="shared" si="0"/>
        <v>74247.070000000007</v>
      </c>
      <c r="R25" s="14">
        <v>74541.070000000007</v>
      </c>
      <c r="S25" s="14" t="s">
        <v>83</v>
      </c>
      <c r="T25" s="14" t="s">
        <v>63</v>
      </c>
      <c r="U25" s="14" t="s">
        <v>95</v>
      </c>
      <c r="V25" s="14" t="s">
        <v>96</v>
      </c>
      <c r="W25" s="14" t="s">
        <v>57</v>
      </c>
      <c r="X25" s="14">
        <v>4</v>
      </c>
      <c r="Y25" s="14" t="s">
        <v>38</v>
      </c>
      <c r="Z25" s="14">
        <v>4</v>
      </c>
      <c r="AA25" s="14" t="s">
        <v>39</v>
      </c>
    </row>
    <row r="26" spans="1:27" x14ac:dyDescent="0.35">
      <c r="A26" s="14" t="s">
        <v>132</v>
      </c>
      <c r="B26" s="15">
        <v>46107</v>
      </c>
      <c r="C26" s="14" t="s">
        <v>133</v>
      </c>
      <c r="D26" s="14" t="s">
        <v>108</v>
      </c>
      <c r="E26" s="14" t="s">
        <v>29</v>
      </c>
      <c r="F26" s="14">
        <v>30</v>
      </c>
      <c r="G26" s="14" t="s">
        <v>134</v>
      </c>
      <c r="H26" s="14" t="s">
        <v>31</v>
      </c>
      <c r="I26" s="14" t="s">
        <v>134</v>
      </c>
      <c r="J26" s="14" t="s">
        <v>125</v>
      </c>
      <c r="K26" s="14">
        <v>5</v>
      </c>
      <c r="L26" s="14">
        <v>1082</v>
      </c>
      <c r="M26" s="14">
        <v>20</v>
      </c>
      <c r="N26" s="14">
        <v>1082</v>
      </c>
      <c r="O26" s="14">
        <v>779.04</v>
      </c>
      <c r="P26" s="14">
        <v>274</v>
      </c>
      <c r="Q26" s="14">
        <f t="shared" si="0"/>
        <v>5107.04</v>
      </c>
      <c r="R26" s="14">
        <v>5381.04</v>
      </c>
      <c r="S26" s="14" t="s">
        <v>45</v>
      </c>
      <c r="T26" s="14" t="s">
        <v>34</v>
      </c>
      <c r="U26" s="14" t="s">
        <v>35</v>
      </c>
      <c r="V26" s="14" t="s">
        <v>36</v>
      </c>
      <c r="W26" s="14" t="s">
        <v>37</v>
      </c>
      <c r="X26" s="14">
        <v>2</v>
      </c>
      <c r="Y26" s="14" t="s">
        <v>38</v>
      </c>
      <c r="Z26" s="14">
        <v>2</v>
      </c>
      <c r="AA26" s="14" t="s">
        <v>91</v>
      </c>
    </row>
    <row r="27" spans="1:27" x14ac:dyDescent="0.35">
      <c r="A27" s="14" t="s">
        <v>135</v>
      </c>
      <c r="B27" s="15">
        <v>46049</v>
      </c>
      <c r="C27" s="14" t="s">
        <v>136</v>
      </c>
      <c r="D27" s="14" t="s">
        <v>73</v>
      </c>
      <c r="E27" s="14" t="s">
        <v>43</v>
      </c>
      <c r="F27" s="14">
        <v>48</v>
      </c>
      <c r="G27" s="14" t="s">
        <v>30</v>
      </c>
      <c r="H27" s="14" t="s">
        <v>31</v>
      </c>
      <c r="I27" s="14" t="s">
        <v>30</v>
      </c>
      <c r="J27" s="14" t="s">
        <v>102</v>
      </c>
      <c r="K27" s="14">
        <v>2</v>
      </c>
      <c r="L27" s="14">
        <v>971</v>
      </c>
      <c r="M27" s="14">
        <v>20</v>
      </c>
      <c r="N27" s="14">
        <v>388.4</v>
      </c>
      <c r="O27" s="14">
        <v>279.64999999999998</v>
      </c>
      <c r="P27" s="14">
        <v>249</v>
      </c>
      <c r="Q27" s="14">
        <f t="shared" si="0"/>
        <v>1833.25</v>
      </c>
      <c r="R27" s="14">
        <v>2082.25</v>
      </c>
      <c r="S27" s="14" t="s">
        <v>83</v>
      </c>
      <c r="T27" s="14" t="s">
        <v>63</v>
      </c>
      <c r="U27" s="14" t="s">
        <v>35</v>
      </c>
      <c r="V27" s="14" t="s">
        <v>36</v>
      </c>
      <c r="W27" s="14" t="s">
        <v>37</v>
      </c>
      <c r="X27" s="14">
        <v>7</v>
      </c>
      <c r="Y27" s="14" t="s">
        <v>38</v>
      </c>
      <c r="Z27" s="14">
        <v>2</v>
      </c>
      <c r="AA27" s="14" t="s">
        <v>39</v>
      </c>
    </row>
    <row r="28" spans="1:27" x14ac:dyDescent="0.35">
      <c r="A28" s="14" t="s">
        <v>137</v>
      </c>
      <c r="B28" s="15">
        <v>46116</v>
      </c>
      <c r="C28" s="14" t="s">
        <v>138</v>
      </c>
      <c r="D28" s="14" t="s">
        <v>111</v>
      </c>
      <c r="E28" s="14" t="s">
        <v>29</v>
      </c>
      <c r="F28" s="14">
        <v>43</v>
      </c>
      <c r="G28" s="14" t="s">
        <v>139</v>
      </c>
      <c r="H28" s="14" t="s">
        <v>31</v>
      </c>
      <c r="I28" s="14" t="s">
        <v>139</v>
      </c>
      <c r="J28" s="14" t="s">
        <v>53</v>
      </c>
      <c r="K28" s="14">
        <v>2</v>
      </c>
      <c r="L28" s="14">
        <v>12340</v>
      </c>
      <c r="M28" s="14">
        <v>10</v>
      </c>
      <c r="N28" s="14">
        <v>2468</v>
      </c>
      <c r="O28" s="14">
        <v>3998.16</v>
      </c>
      <c r="P28" s="14">
        <v>380</v>
      </c>
      <c r="Q28" s="14">
        <f t="shared" si="0"/>
        <v>26210.16</v>
      </c>
      <c r="R28" s="14">
        <v>26590.16</v>
      </c>
      <c r="S28" s="14" t="s">
        <v>54</v>
      </c>
      <c r="T28" s="14" t="s">
        <v>63</v>
      </c>
      <c r="U28" s="14" t="s">
        <v>76</v>
      </c>
      <c r="V28" s="14" t="s">
        <v>77</v>
      </c>
      <c r="W28" s="14" t="s">
        <v>57</v>
      </c>
      <c r="X28" s="14">
        <v>3</v>
      </c>
      <c r="Y28" s="14" t="s">
        <v>38</v>
      </c>
      <c r="Z28" s="14">
        <v>1</v>
      </c>
      <c r="AA28" s="14" t="s">
        <v>39</v>
      </c>
    </row>
    <row r="29" spans="1:27" x14ac:dyDescent="0.35">
      <c r="A29" s="14" t="s">
        <v>140</v>
      </c>
      <c r="B29" s="15">
        <v>45881</v>
      </c>
      <c r="C29" s="14" t="s">
        <v>141</v>
      </c>
      <c r="D29" s="14" t="s">
        <v>50</v>
      </c>
      <c r="E29" s="14" t="s">
        <v>29</v>
      </c>
      <c r="F29" s="14">
        <v>44</v>
      </c>
      <c r="G29" s="14" t="s">
        <v>94</v>
      </c>
      <c r="H29" s="14" t="s">
        <v>31</v>
      </c>
      <c r="I29" s="14" t="s">
        <v>94</v>
      </c>
      <c r="J29" s="14" t="s">
        <v>125</v>
      </c>
      <c r="K29" s="14">
        <v>4</v>
      </c>
      <c r="L29" s="14">
        <v>3291</v>
      </c>
      <c r="M29" s="14">
        <v>5</v>
      </c>
      <c r="N29" s="14">
        <v>658.2</v>
      </c>
      <c r="O29" s="14">
        <v>2251.04</v>
      </c>
      <c r="P29" s="14">
        <v>242</v>
      </c>
      <c r="Q29" s="14">
        <f t="shared" si="0"/>
        <v>14756.84</v>
      </c>
      <c r="R29" s="14">
        <v>14998.84</v>
      </c>
      <c r="S29" s="14" t="s">
        <v>33</v>
      </c>
      <c r="T29" s="14" t="s">
        <v>63</v>
      </c>
      <c r="U29" s="14" t="s">
        <v>76</v>
      </c>
      <c r="V29" s="14" t="s">
        <v>77</v>
      </c>
      <c r="W29" s="14" t="s">
        <v>57</v>
      </c>
      <c r="X29" s="14">
        <v>1</v>
      </c>
      <c r="Y29" s="14" t="s">
        <v>38</v>
      </c>
      <c r="Z29" s="14">
        <v>3</v>
      </c>
      <c r="AA29" s="14" t="s">
        <v>47</v>
      </c>
    </row>
    <row r="30" spans="1:27" x14ac:dyDescent="0.35">
      <c r="A30" s="14" t="s">
        <v>142</v>
      </c>
      <c r="B30" s="15">
        <v>45822</v>
      </c>
      <c r="C30" s="14" t="s">
        <v>143</v>
      </c>
      <c r="D30" s="14" t="s">
        <v>28</v>
      </c>
      <c r="E30" s="14" t="s">
        <v>43</v>
      </c>
      <c r="F30" s="14">
        <v>19</v>
      </c>
      <c r="G30" s="14" t="s">
        <v>134</v>
      </c>
      <c r="H30" s="14" t="s">
        <v>31</v>
      </c>
      <c r="I30" s="14" t="s">
        <v>134</v>
      </c>
      <c r="J30" s="14" t="s">
        <v>125</v>
      </c>
      <c r="K30" s="14">
        <v>3</v>
      </c>
      <c r="L30" s="14">
        <v>44392</v>
      </c>
      <c r="M30" s="14">
        <v>0</v>
      </c>
      <c r="N30" s="14">
        <v>0</v>
      </c>
      <c r="O30" s="14">
        <v>23971.68</v>
      </c>
      <c r="P30" s="14">
        <v>464</v>
      </c>
      <c r="Q30" s="14">
        <f t="shared" si="0"/>
        <v>157147.68</v>
      </c>
      <c r="R30" s="14">
        <v>157611.68</v>
      </c>
      <c r="S30" s="14" t="s">
        <v>33</v>
      </c>
      <c r="T30" s="14" t="s">
        <v>34</v>
      </c>
      <c r="U30" s="14" t="s">
        <v>46</v>
      </c>
      <c r="V30" s="14" t="s">
        <v>36</v>
      </c>
      <c r="W30" s="14" t="s">
        <v>37</v>
      </c>
      <c r="X30" s="14">
        <v>9</v>
      </c>
      <c r="Y30" s="14" t="s">
        <v>47</v>
      </c>
      <c r="Z30" s="14">
        <v>2</v>
      </c>
      <c r="AA30" s="14" t="s">
        <v>58</v>
      </c>
    </row>
    <row r="31" spans="1:27" x14ac:dyDescent="0.35">
      <c r="A31" s="14" t="s">
        <v>144</v>
      </c>
      <c r="B31" s="15">
        <v>46004</v>
      </c>
      <c r="C31" s="14" t="s">
        <v>145</v>
      </c>
      <c r="D31" s="14" t="s">
        <v>111</v>
      </c>
      <c r="E31" s="14" t="s">
        <v>43</v>
      </c>
      <c r="F31" s="14">
        <v>59</v>
      </c>
      <c r="G31" s="14" t="s">
        <v>94</v>
      </c>
      <c r="H31" s="14" t="s">
        <v>31</v>
      </c>
      <c r="I31" s="14" t="s">
        <v>94</v>
      </c>
      <c r="J31" s="14" t="s">
        <v>69</v>
      </c>
      <c r="K31" s="14">
        <v>2</v>
      </c>
      <c r="L31" s="14">
        <v>40547</v>
      </c>
      <c r="M31" s="14">
        <v>20</v>
      </c>
      <c r="N31" s="14">
        <v>16218.8</v>
      </c>
      <c r="O31" s="14">
        <v>11677.54</v>
      </c>
      <c r="P31" s="14">
        <v>177</v>
      </c>
      <c r="Q31" s="14">
        <f t="shared" si="0"/>
        <v>76552.740000000005</v>
      </c>
      <c r="R31" s="14">
        <v>76729.740000000005</v>
      </c>
      <c r="S31" s="14" t="s">
        <v>45</v>
      </c>
      <c r="T31" s="14" t="s">
        <v>34</v>
      </c>
      <c r="U31" s="14" t="s">
        <v>95</v>
      </c>
      <c r="V31" s="14" t="s">
        <v>96</v>
      </c>
      <c r="W31" s="14" t="s">
        <v>57</v>
      </c>
      <c r="X31" s="14">
        <v>2</v>
      </c>
      <c r="Y31" s="14" t="s">
        <v>47</v>
      </c>
      <c r="Z31" s="14">
        <v>3</v>
      </c>
      <c r="AA31" s="14" t="s">
        <v>58</v>
      </c>
    </row>
    <row r="32" spans="1:27" x14ac:dyDescent="0.35">
      <c r="A32" s="14" t="s">
        <v>146</v>
      </c>
      <c r="B32" s="15">
        <v>45940</v>
      </c>
      <c r="C32" s="14" t="s">
        <v>147</v>
      </c>
      <c r="D32" s="14" t="s">
        <v>89</v>
      </c>
      <c r="E32" s="14" t="s">
        <v>29</v>
      </c>
      <c r="F32" s="14">
        <v>60</v>
      </c>
      <c r="G32" s="14" t="s">
        <v>30</v>
      </c>
      <c r="H32" s="14" t="s">
        <v>31</v>
      </c>
      <c r="I32" s="14" t="s">
        <v>30</v>
      </c>
      <c r="J32" s="14" t="s">
        <v>53</v>
      </c>
      <c r="K32" s="14">
        <v>5</v>
      </c>
      <c r="L32" s="14">
        <v>31394</v>
      </c>
      <c r="M32" s="14">
        <v>0</v>
      </c>
      <c r="N32" s="14">
        <v>0</v>
      </c>
      <c r="O32" s="14">
        <v>28254.6</v>
      </c>
      <c r="P32" s="14">
        <v>446</v>
      </c>
      <c r="Q32" s="14">
        <f t="shared" si="0"/>
        <v>185224.6</v>
      </c>
      <c r="R32" s="14">
        <v>185670.6</v>
      </c>
      <c r="S32" s="14" t="s">
        <v>45</v>
      </c>
      <c r="T32" s="14" t="s">
        <v>34</v>
      </c>
      <c r="U32" s="14" t="s">
        <v>84</v>
      </c>
      <c r="V32" s="14" t="s">
        <v>85</v>
      </c>
      <c r="W32" s="14" t="s">
        <v>86</v>
      </c>
      <c r="X32" s="14">
        <v>3</v>
      </c>
      <c r="Y32" s="14" t="s">
        <v>38</v>
      </c>
      <c r="Z32" s="14">
        <v>2</v>
      </c>
      <c r="AA32" s="14" t="s">
        <v>58</v>
      </c>
    </row>
    <row r="33" spans="1:27" x14ac:dyDescent="0.35">
      <c r="A33" s="14" t="s">
        <v>148</v>
      </c>
      <c r="B33" s="15">
        <v>46068</v>
      </c>
      <c r="C33" s="14" t="s">
        <v>149</v>
      </c>
      <c r="D33" s="14" t="s">
        <v>89</v>
      </c>
      <c r="E33" s="14" t="s">
        <v>29</v>
      </c>
      <c r="F33" s="14">
        <v>57</v>
      </c>
      <c r="G33" s="14" t="s">
        <v>90</v>
      </c>
      <c r="H33" s="14" t="s">
        <v>31</v>
      </c>
      <c r="I33" s="14" t="s">
        <v>90</v>
      </c>
      <c r="J33" s="14" t="s">
        <v>150</v>
      </c>
      <c r="K33" s="14">
        <v>2</v>
      </c>
      <c r="L33" s="14">
        <v>35379</v>
      </c>
      <c r="M33" s="14">
        <v>0</v>
      </c>
      <c r="N33" s="14">
        <v>0</v>
      </c>
      <c r="O33" s="14">
        <v>12736.44</v>
      </c>
      <c r="P33" s="14">
        <v>53</v>
      </c>
      <c r="Q33" s="14">
        <f t="shared" si="0"/>
        <v>83494.44</v>
      </c>
      <c r="R33" s="14">
        <v>83547.44</v>
      </c>
      <c r="S33" s="14" t="s">
        <v>54</v>
      </c>
      <c r="T33" s="14" t="s">
        <v>63</v>
      </c>
      <c r="U33" s="14" t="s">
        <v>46</v>
      </c>
      <c r="V33" s="14" t="s">
        <v>36</v>
      </c>
      <c r="W33" s="14" t="s">
        <v>37</v>
      </c>
      <c r="X33" s="14">
        <v>4</v>
      </c>
      <c r="Y33" s="14" t="s">
        <v>38</v>
      </c>
      <c r="Z33" s="14">
        <v>4</v>
      </c>
      <c r="AA33" s="14" t="s">
        <v>58</v>
      </c>
    </row>
    <row r="34" spans="1:27" x14ac:dyDescent="0.35">
      <c r="A34" s="14" t="s">
        <v>151</v>
      </c>
      <c r="B34" s="15">
        <v>45807</v>
      </c>
      <c r="C34" s="14" t="s">
        <v>152</v>
      </c>
      <c r="D34" s="14" t="s">
        <v>89</v>
      </c>
      <c r="E34" s="14" t="s">
        <v>29</v>
      </c>
      <c r="F34" s="14">
        <v>54</v>
      </c>
      <c r="G34" s="14" t="s">
        <v>51</v>
      </c>
      <c r="H34" s="14" t="s">
        <v>52</v>
      </c>
      <c r="I34" s="14" t="s">
        <v>51</v>
      </c>
      <c r="J34" s="14" t="s">
        <v>62</v>
      </c>
      <c r="K34" s="14">
        <v>1</v>
      </c>
      <c r="L34" s="14">
        <v>35566</v>
      </c>
      <c r="M34" s="14">
        <v>20</v>
      </c>
      <c r="N34" s="14">
        <v>7113.2</v>
      </c>
      <c r="O34" s="14">
        <v>5121.5</v>
      </c>
      <c r="P34" s="14">
        <v>467</v>
      </c>
      <c r="Q34" s="14">
        <f t="shared" si="0"/>
        <v>33574.300000000003</v>
      </c>
      <c r="R34" s="14">
        <v>34041.300000000003</v>
      </c>
      <c r="S34" s="14" t="s">
        <v>45</v>
      </c>
      <c r="T34" s="14" t="s">
        <v>34</v>
      </c>
      <c r="U34" s="14" t="s">
        <v>84</v>
      </c>
      <c r="V34" s="14" t="s">
        <v>85</v>
      </c>
      <c r="W34" s="14" t="s">
        <v>86</v>
      </c>
      <c r="X34" s="14">
        <v>5</v>
      </c>
      <c r="Y34" s="14" t="s">
        <v>38</v>
      </c>
      <c r="Z34" s="14">
        <v>2</v>
      </c>
      <c r="AA34" s="14" t="s">
        <v>39</v>
      </c>
    </row>
    <row r="35" spans="1:27" x14ac:dyDescent="0.35">
      <c r="A35" s="14" t="s">
        <v>153</v>
      </c>
      <c r="B35" s="15">
        <v>45874</v>
      </c>
      <c r="C35" s="14" t="s">
        <v>154</v>
      </c>
      <c r="D35" s="14" t="s">
        <v>66</v>
      </c>
      <c r="E35" s="14" t="s">
        <v>43</v>
      </c>
      <c r="F35" s="14">
        <v>47</v>
      </c>
      <c r="G35" s="14" t="s">
        <v>90</v>
      </c>
      <c r="H35" s="14" t="s">
        <v>31</v>
      </c>
      <c r="I35" s="14" t="s">
        <v>90</v>
      </c>
      <c r="J35" s="14" t="s">
        <v>150</v>
      </c>
      <c r="K35" s="14">
        <v>1</v>
      </c>
      <c r="L35" s="14">
        <v>20264</v>
      </c>
      <c r="M35" s="14">
        <v>15</v>
      </c>
      <c r="N35" s="14">
        <v>3039.6</v>
      </c>
      <c r="O35" s="14">
        <v>3100.39</v>
      </c>
      <c r="P35" s="14">
        <v>365</v>
      </c>
      <c r="Q35" s="14">
        <f t="shared" si="0"/>
        <v>20324.79</v>
      </c>
      <c r="R35" s="14">
        <v>20689.79</v>
      </c>
      <c r="S35" s="14" t="s">
        <v>33</v>
      </c>
      <c r="T35" s="14" t="s">
        <v>34</v>
      </c>
      <c r="U35" s="14" t="s">
        <v>103</v>
      </c>
      <c r="V35" s="14" t="s">
        <v>103</v>
      </c>
      <c r="W35" s="14" t="s">
        <v>57</v>
      </c>
      <c r="X35" s="14">
        <v>10</v>
      </c>
      <c r="Y35" s="14" t="s">
        <v>47</v>
      </c>
      <c r="Z35" s="14">
        <v>2</v>
      </c>
      <c r="AA35" s="14" t="s">
        <v>91</v>
      </c>
    </row>
    <row r="36" spans="1:27" x14ac:dyDescent="0.35">
      <c r="A36" s="14" t="s">
        <v>155</v>
      </c>
      <c r="B36" s="15">
        <v>45982</v>
      </c>
      <c r="C36" s="14" t="s">
        <v>156</v>
      </c>
      <c r="D36" s="14" t="s">
        <v>61</v>
      </c>
      <c r="E36" s="14" t="s">
        <v>43</v>
      </c>
      <c r="F36" s="14">
        <v>37</v>
      </c>
      <c r="G36" s="14" t="s">
        <v>44</v>
      </c>
      <c r="H36" s="14" t="s">
        <v>31</v>
      </c>
      <c r="I36" s="14" t="s">
        <v>44</v>
      </c>
      <c r="J36" s="14" t="s">
        <v>125</v>
      </c>
      <c r="K36" s="14">
        <v>3</v>
      </c>
      <c r="L36" s="14">
        <v>32124</v>
      </c>
      <c r="M36" s="14">
        <v>5</v>
      </c>
      <c r="N36" s="14">
        <v>4818.6000000000004</v>
      </c>
      <c r="O36" s="14">
        <v>16479.61</v>
      </c>
      <c r="P36" s="14">
        <v>285</v>
      </c>
      <c r="Q36" s="14">
        <f t="shared" si="0"/>
        <v>108033.01</v>
      </c>
      <c r="R36" s="14">
        <v>108318.01</v>
      </c>
      <c r="S36" s="14" t="s">
        <v>33</v>
      </c>
      <c r="T36" s="14" t="s">
        <v>34</v>
      </c>
      <c r="U36" s="14" t="s">
        <v>103</v>
      </c>
      <c r="V36" s="14" t="s">
        <v>103</v>
      </c>
      <c r="W36" s="14" t="s">
        <v>57</v>
      </c>
      <c r="X36" s="14">
        <v>9</v>
      </c>
      <c r="Y36" s="14" t="s">
        <v>38</v>
      </c>
      <c r="Z36" s="14">
        <v>2</v>
      </c>
      <c r="AA36" s="14" t="s">
        <v>91</v>
      </c>
    </row>
    <row r="37" spans="1:27" x14ac:dyDescent="0.35">
      <c r="A37" s="14" t="s">
        <v>157</v>
      </c>
      <c r="B37" s="15">
        <v>46026</v>
      </c>
      <c r="C37" s="14" t="s">
        <v>158</v>
      </c>
      <c r="D37" s="14" t="s">
        <v>89</v>
      </c>
      <c r="E37" s="14" t="s">
        <v>29</v>
      </c>
      <c r="F37" s="14">
        <v>53</v>
      </c>
      <c r="G37" s="14" t="s">
        <v>51</v>
      </c>
      <c r="H37" s="14" t="s">
        <v>52</v>
      </c>
      <c r="I37" s="14" t="s">
        <v>51</v>
      </c>
      <c r="J37" s="14" t="s">
        <v>150</v>
      </c>
      <c r="K37" s="14">
        <v>5</v>
      </c>
      <c r="L37" s="14">
        <v>18427</v>
      </c>
      <c r="M37" s="14">
        <v>5</v>
      </c>
      <c r="N37" s="14">
        <v>4606.75</v>
      </c>
      <c r="O37" s="14">
        <v>15755.08</v>
      </c>
      <c r="P37" s="14">
        <v>210</v>
      </c>
      <c r="Q37" s="14">
        <f t="shared" si="0"/>
        <v>103283.33</v>
      </c>
      <c r="R37" s="14">
        <v>103493.33</v>
      </c>
      <c r="S37" s="14" t="s">
        <v>54</v>
      </c>
      <c r="T37" s="14" t="s">
        <v>34</v>
      </c>
      <c r="U37" s="14" t="s">
        <v>84</v>
      </c>
      <c r="V37" s="14" t="s">
        <v>85</v>
      </c>
      <c r="W37" s="14" t="s">
        <v>86</v>
      </c>
      <c r="X37" s="14">
        <v>9</v>
      </c>
      <c r="Y37" s="14" t="s">
        <v>47</v>
      </c>
      <c r="Z37" s="14">
        <v>2</v>
      </c>
      <c r="AA37" s="14" t="s">
        <v>47</v>
      </c>
    </row>
    <row r="38" spans="1:27" x14ac:dyDescent="0.35">
      <c r="A38" s="14" t="s">
        <v>159</v>
      </c>
      <c r="B38" s="15">
        <v>45821</v>
      </c>
      <c r="C38" s="14" t="s">
        <v>160</v>
      </c>
      <c r="D38" s="14" t="s">
        <v>28</v>
      </c>
      <c r="E38" s="14" t="s">
        <v>43</v>
      </c>
      <c r="F38" s="14">
        <v>57</v>
      </c>
      <c r="G38" s="14" t="s">
        <v>99</v>
      </c>
      <c r="H38" s="14" t="s">
        <v>52</v>
      </c>
      <c r="I38" s="14" t="s">
        <v>99</v>
      </c>
      <c r="J38" s="14" t="s">
        <v>112</v>
      </c>
      <c r="K38" s="14">
        <v>5</v>
      </c>
      <c r="L38" s="14">
        <v>43320</v>
      </c>
      <c r="M38" s="14">
        <v>10</v>
      </c>
      <c r="N38" s="14">
        <v>21660</v>
      </c>
      <c r="O38" s="14">
        <v>35089.199999999997</v>
      </c>
      <c r="P38" s="14">
        <v>103</v>
      </c>
      <c r="Q38" s="14">
        <f t="shared" si="0"/>
        <v>230029.2</v>
      </c>
      <c r="R38" s="14">
        <v>230132.2</v>
      </c>
      <c r="S38" s="14" t="s">
        <v>54</v>
      </c>
      <c r="T38" s="14" t="s">
        <v>63</v>
      </c>
      <c r="U38" s="14" t="s">
        <v>76</v>
      </c>
      <c r="V38" s="14" t="s">
        <v>77</v>
      </c>
      <c r="W38" s="14" t="s">
        <v>57</v>
      </c>
      <c r="X38" s="14">
        <v>5</v>
      </c>
      <c r="Y38" s="14" t="s">
        <v>38</v>
      </c>
      <c r="Z38" s="14">
        <v>5</v>
      </c>
      <c r="AA38" s="14" t="s">
        <v>47</v>
      </c>
    </row>
    <row r="39" spans="1:27" x14ac:dyDescent="0.35">
      <c r="A39" s="14" t="s">
        <v>161</v>
      </c>
      <c r="B39" s="15">
        <v>45911</v>
      </c>
      <c r="C39" s="14" t="s">
        <v>162</v>
      </c>
      <c r="D39" s="14" t="s">
        <v>111</v>
      </c>
      <c r="E39" s="14" t="s">
        <v>29</v>
      </c>
      <c r="F39" s="14">
        <v>52</v>
      </c>
      <c r="G39" s="14" t="s">
        <v>30</v>
      </c>
      <c r="H39" s="14" t="s">
        <v>31</v>
      </c>
      <c r="I39" s="14" t="s">
        <v>30</v>
      </c>
      <c r="J39" s="14" t="s">
        <v>150</v>
      </c>
      <c r="K39" s="14">
        <v>2</v>
      </c>
      <c r="L39" s="14">
        <v>2134</v>
      </c>
      <c r="M39" s="14">
        <v>0</v>
      </c>
      <c r="N39" s="14">
        <v>0</v>
      </c>
      <c r="O39" s="14">
        <v>768.24</v>
      </c>
      <c r="P39" s="14">
        <v>266</v>
      </c>
      <c r="Q39" s="14">
        <f t="shared" si="0"/>
        <v>5036.24</v>
      </c>
      <c r="R39" s="14">
        <v>5302.24</v>
      </c>
      <c r="S39" s="14" t="s">
        <v>83</v>
      </c>
      <c r="T39" s="14" t="s">
        <v>63</v>
      </c>
      <c r="U39" s="14" t="s">
        <v>35</v>
      </c>
      <c r="V39" s="14" t="s">
        <v>36</v>
      </c>
      <c r="W39" s="14" t="s">
        <v>37</v>
      </c>
      <c r="X39" s="14">
        <v>10</v>
      </c>
      <c r="Y39" s="14" t="s">
        <v>38</v>
      </c>
      <c r="Z39" s="14">
        <v>2</v>
      </c>
      <c r="AA39" s="14" t="s">
        <v>58</v>
      </c>
    </row>
    <row r="40" spans="1:27" x14ac:dyDescent="0.35">
      <c r="A40" s="14" t="s">
        <v>163</v>
      </c>
      <c r="B40" s="15">
        <v>45913</v>
      </c>
      <c r="C40" s="14" t="s">
        <v>164</v>
      </c>
      <c r="D40" s="14" t="s">
        <v>80</v>
      </c>
      <c r="E40" s="14" t="s">
        <v>29</v>
      </c>
      <c r="F40" s="14">
        <v>50</v>
      </c>
      <c r="G40" s="14" t="s">
        <v>51</v>
      </c>
      <c r="H40" s="14" t="s">
        <v>52</v>
      </c>
      <c r="I40" s="14" t="s">
        <v>51</v>
      </c>
      <c r="J40" s="14" t="s">
        <v>102</v>
      </c>
      <c r="K40" s="14">
        <v>2</v>
      </c>
      <c r="L40" s="14">
        <v>46564</v>
      </c>
      <c r="M40" s="14">
        <v>0</v>
      </c>
      <c r="N40" s="14">
        <v>0</v>
      </c>
      <c r="O40" s="14">
        <v>16763.04</v>
      </c>
      <c r="P40" s="14">
        <v>299</v>
      </c>
      <c r="Q40" s="14">
        <f t="shared" si="0"/>
        <v>109891.04</v>
      </c>
      <c r="R40" s="14">
        <v>110190.04</v>
      </c>
      <c r="S40" s="14" t="s">
        <v>54</v>
      </c>
      <c r="T40" s="14" t="s">
        <v>34</v>
      </c>
      <c r="U40" s="14" t="s">
        <v>46</v>
      </c>
      <c r="V40" s="14" t="s">
        <v>36</v>
      </c>
      <c r="W40" s="14" t="s">
        <v>37</v>
      </c>
      <c r="X40" s="14">
        <v>10</v>
      </c>
      <c r="Y40" s="14" t="s">
        <v>38</v>
      </c>
      <c r="Z40" s="14">
        <v>3</v>
      </c>
      <c r="AA40" s="14" t="s">
        <v>58</v>
      </c>
    </row>
    <row r="41" spans="1:27" x14ac:dyDescent="0.35">
      <c r="A41" s="14" t="s">
        <v>165</v>
      </c>
      <c r="B41" s="15">
        <v>46120</v>
      </c>
      <c r="C41" s="14" t="s">
        <v>166</v>
      </c>
      <c r="D41" s="14" t="s">
        <v>66</v>
      </c>
      <c r="E41" s="14" t="s">
        <v>29</v>
      </c>
      <c r="F41" s="14">
        <v>50</v>
      </c>
      <c r="G41" s="14" t="s">
        <v>44</v>
      </c>
      <c r="H41" s="14" t="s">
        <v>31</v>
      </c>
      <c r="I41" s="14" t="s">
        <v>44</v>
      </c>
      <c r="J41" s="14" t="s">
        <v>69</v>
      </c>
      <c r="K41" s="14">
        <v>1</v>
      </c>
      <c r="L41" s="14">
        <v>18376</v>
      </c>
      <c r="M41" s="14">
        <v>15</v>
      </c>
      <c r="N41" s="14">
        <v>2756.4</v>
      </c>
      <c r="O41" s="14">
        <v>2811.53</v>
      </c>
      <c r="P41" s="14">
        <v>486</v>
      </c>
      <c r="Q41" s="14">
        <f t="shared" si="0"/>
        <v>18431.13</v>
      </c>
      <c r="R41" s="14">
        <v>18917.13</v>
      </c>
      <c r="S41" s="14" t="s">
        <v>33</v>
      </c>
      <c r="T41" s="14" t="s">
        <v>34</v>
      </c>
      <c r="U41" s="14" t="s">
        <v>70</v>
      </c>
      <c r="V41" s="14" t="s">
        <v>56</v>
      </c>
      <c r="W41" s="14" t="s">
        <v>57</v>
      </c>
      <c r="X41" s="14">
        <v>4</v>
      </c>
      <c r="Y41" s="14" t="s">
        <v>38</v>
      </c>
      <c r="Z41" s="14">
        <v>2</v>
      </c>
      <c r="AA41" s="14" t="s">
        <v>91</v>
      </c>
    </row>
    <row r="42" spans="1:27" x14ac:dyDescent="0.35">
      <c r="A42" s="14" t="s">
        <v>167</v>
      </c>
      <c r="B42" s="15">
        <v>45776</v>
      </c>
      <c r="C42" s="14" t="s">
        <v>168</v>
      </c>
      <c r="D42" s="14" t="s">
        <v>61</v>
      </c>
      <c r="E42" s="14" t="s">
        <v>29</v>
      </c>
      <c r="F42" s="14">
        <v>31</v>
      </c>
      <c r="G42" s="14" t="s">
        <v>74</v>
      </c>
      <c r="H42" s="14" t="s">
        <v>31</v>
      </c>
      <c r="I42" s="14" t="s">
        <v>74</v>
      </c>
      <c r="J42" s="14" t="s">
        <v>125</v>
      </c>
      <c r="K42" s="14">
        <v>4</v>
      </c>
      <c r="L42" s="14">
        <v>27754</v>
      </c>
      <c r="M42" s="14">
        <v>20</v>
      </c>
      <c r="N42" s="14">
        <v>22203.200000000001</v>
      </c>
      <c r="O42" s="14">
        <v>15986.3</v>
      </c>
      <c r="P42" s="14">
        <v>275</v>
      </c>
      <c r="Q42" s="14">
        <f t="shared" si="0"/>
        <v>104799.1</v>
      </c>
      <c r="R42" s="14">
        <v>105074.1</v>
      </c>
      <c r="S42" s="14" t="s">
        <v>45</v>
      </c>
      <c r="T42" s="14" t="s">
        <v>34</v>
      </c>
      <c r="U42" s="14" t="s">
        <v>76</v>
      </c>
      <c r="V42" s="14" t="s">
        <v>77</v>
      </c>
      <c r="W42" s="14" t="s">
        <v>57</v>
      </c>
      <c r="X42" s="14">
        <v>9</v>
      </c>
      <c r="Y42" s="14" t="s">
        <v>38</v>
      </c>
      <c r="Z42" s="14">
        <v>3</v>
      </c>
      <c r="AA42" s="14" t="s">
        <v>58</v>
      </c>
    </row>
    <row r="43" spans="1:27" x14ac:dyDescent="0.35">
      <c r="A43" s="14" t="s">
        <v>169</v>
      </c>
      <c r="B43" s="15">
        <v>46061</v>
      </c>
      <c r="C43" s="14" t="s">
        <v>170</v>
      </c>
      <c r="D43" s="14" t="s">
        <v>108</v>
      </c>
      <c r="E43" s="14" t="s">
        <v>29</v>
      </c>
      <c r="F43" s="14">
        <v>48</v>
      </c>
      <c r="G43" s="14" t="s">
        <v>51</v>
      </c>
      <c r="H43" s="14" t="s">
        <v>52</v>
      </c>
      <c r="I43" s="14" t="s">
        <v>51</v>
      </c>
      <c r="J43" s="14" t="s">
        <v>62</v>
      </c>
      <c r="K43" s="14">
        <v>1</v>
      </c>
      <c r="L43" s="14">
        <v>13832</v>
      </c>
      <c r="M43" s="14">
        <v>5</v>
      </c>
      <c r="N43" s="14">
        <v>691.6</v>
      </c>
      <c r="O43" s="14">
        <v>2365.27</v>
      </c>
      <c r="P43" s="14">
        <v>391</v>
      </c>
      <c r="Q43" s="14">
        <f t="shared" si="0"/>
        <v>15505.67</v>
      </c>
      <c r="R43" s="14">
        <v>15896.67</v>
      </c>
      <c r="S43" s="14" t="s">
        <v>54</v>
      </c>
      <c r="T43" s="14" t="s">
        <v>34</v>
      </c>
      <c r="U43" s="14" t="s">
        <v>55</v>
      </c>
      <c r="V43" s="14" t="s">
        <v>56</v>
      </c>
      <c r="W43" s="14" t="s">
        <v>57</v>
      </c>
      <c r="X43" s="14">
        <v>7</v>
      </c>
      <c r="Y43" s="14" t="s">
        <v>38</v>
      </c>
      <c r="Z43" s="14">
        <v>2</v>
      </c>
      <c r="AA43" s="14" t="s">
        <v>39</v>
      </c>
    </row>
    <row r="44" spans="1:27" x14ac:dyDescent="0.35">
      <c r="A44" s="14" t="s">
        <v>171</v>
      </c>
      <c r="B44" s="15">
        <v>45980</v>
      </c>
      <c r="C44" s="14" t="s">
        <v>172</v>
      </c>
      <c r="D44" s="14" t="s">
        <v>61</v>
      </c>
      <c r="E44" s="14" t="s">
        <v>43</v>
      </c>
      <c r="F44" s="14">
        <v>57</v>
      </c>
      <c r="G44" s="14" t="s">
        <v>139</v>
      </c>
      <c r="H44" s="14" t="s">
        <v>31</v>
      </c>
      <c r="I44" s="14" t="s">
        <v>139</v>
      </c>
      <c r="J44" s="14" t="s">
        <v>112</v>
      </c>
      <c r="K44" s="14">
        <v>2</v>
      </c>
      <c r="L44" s="14">
        <v>48320</v>
      </c>
      <c r="M44" s="14">
        <v>0</v>
      </c>
      <c r="N44" s="14">
        <v>0</v>
      </c>
      <c r="O44" s="14">
        <v>17395.2</v>
      </c>
      <c r="P44" s="14">
        <v>415</v>
      </c>
      <c r="Q44" s="14">
        <f t="shared" si="0"/>
        <v>114035.2</v>
      </c>
      <c r="R44" s="14">
        <v>114450.2</v>
      </c>
      <c r="S44" s="14" t="s">
        <v>83</v>
      </c>
      <c r="T44" s="14" t="s">
        <v>34</v>
      </c>
      <c r="U44" s="14" t="s">
        <v>55</v>
      </c>
      <c r="V44" s="14" t="s">
        <v>56</v>
      </c>
      <c r="W44" s="14" t="s">
        <v>57</v>
      </c>
      <c r="X44" s="14">
        <v>1</v>
      </c>
      <c r="Y44" s="14" t="s">
        <v>47</v>
      </c>
      <c r="Z44" s="14">
        <v>4</v>
      </c>
      <c r="AA44" s="14" t="s">
        <v>39</v>
      </c>
    </row>
    <row r="45" spans="1:27" x14ac:dyDescent="0.35">
      <c r="A45" s="14" t="s">
        <v>173</v>
      </c>
      <c r="B45" s="15">
        <v>46019</v>
      </c>
      <c r="C45" s="14" t="s">
        <v>174</v>
      </c>
      <c r="D45" s="14" t="s">
        <v>50</v>
      </c>
      <c r="E45" s="14" t="s">
        <v>43</v>
      </c>
      <c r="F45" s="14">
        <v>35</v>
      </c>
      <c r="G45" s="14" t="s">
        <v>90</v>
      </c>
      <c r="H45" s="14" t="s">
        <v>31</v>
      </c>
      <c r="I45" s="14" t="s">
        <v>90</v>
      </c>
      <c r="J45" s="14" t="s">
        <v>102</v>
      </c>
      <c r="K45" s="14">
        <v>1</v>
      </c>
      <c r="L45" s="14">
        <v>2598</v>
      </c>
      <c r="M45" s="14">
        <v>5</v>
      </c>
      <c r="N45" s="14">
        <v>129.9</v>
      </c>
      <c r="O45" s="14">
        <v>444.26</v>
      </c>
      <c r="P45" s="14">
        <v>414</v>
      </c>
      <c r="Q45" s="14">
        <f t="shared" si="0"/>
        <v>2912.36</v>
      </c>
      <c r="R45" s="14">
        <v>3326.36</v>
      </c>
      <c r="S45" s="14" t="s">
        <v>45</v>
      </c>
      <c r="T45" s="14" t="s">
        <v>34</v>
      </c>
      <c r="U45" s="14" t="s">
        <v>95</v>
      </c>
      <c r="V45" s="14" t="s">
        <v>96</v>
      </c>
      <c r="W45" s="14" t="s">
        <v>57</v>
      </c>
      <c r="X45" s="14">
        <v>7</v>
      </c>
      <c r="Y45" s="14" t="s">
        <v>47</v>
      </c>
      <c r="Z45" s="14">
        <v>2</v>
      </c>
      <c r="AA45" s="14" t="s">
        <v>91</v>
      </c>
    </row>
    <row r="46" spans="1:27" x14ac:dyDescent="0.35">
      <c r="A46" s="14" t="s">
        <v>175</v>
      </c>
      <c r="B46" s="15">
        <v>45808</v>
      </c>
      <c r="C46" s="14" t="s">
        <v>176</v>
      </c>
      <c r="D46" s="14" t="s">
        <v>28</v>
      </c>
      <c r="E46" s="14" t="s">
        <v>29</v>
      </c>
      <c r="F46" s="14">
        <v>27</v>
      </c>
      <c r="G46" s="14" t="s">
        <v>44</v>
      </c>
      <c r="H46" s="14" t="s">
        <v>31</v>
      </c>
      <c r="I46" s="14" t="s">
        <v>44</v>
      </c>
      <c r="J46" s="14" t="s">
        <v>53</v>
      </c>
      <c r="K46" s="14">
        <v>4</v>
      </c>
      <c r="L46" s="14">
        <v>46065</v>
      </c>
      <c r="M46" s="14">
        <v>10</v>
      </c>
      <c r="N46" s="14">
        <v>18426</v>
      </c>
      <c r="O46" s="14">
        <v>29850.12</v>
      </c>
      <c r="P46" s="14">
        <v>96</v>
      </c>
      <c r="Q46" s="14">
        <f t="shared" si="0"/>
        <v>195684.12</v>
      </c>
      <c r="R46" s="14">
        <v>195780.12</v>
      </c>
      <c r="S46" s="14" t="s">
        <v>54</v>
      </c>
      <c r="T46" s="14" t="s">
        <v>63</v>
      </c>
      <c r="U46" s="14" t="s">
        <v>55</v>
      </c>
      <c r="V46" s="14" t="s">
        <v>56</v>
      </c>
      <c r="W46" s="14" t="s">
        <v>57</v>
      </c>
      <c r="X46" s="14">
        <v>5</v>
      </c>
      <c r="Y46" s="14" t="s">
        <v>47</v>
      </c>
      <c r="Z46" s="14">
        <v>1</v>
      </c>
      <c r="AA46" s="14" t="s">
        <v>91</v>
      </c>
    </row>
    <row r="47" spans="1:27" x14ac:dyDescent="0.35">
      <c r="A47" s="14" t="s">
        <v>177</v>
      </c>
      <c r="B47" s="15">
        <v>45826</v>
      </c>
      <c r="C47" s="14" t="s">
        <v>178</v>
      </c>
      <c r="D47" s="14" t="s">
        <v>66</v>
      </c>
      <c r="E47" s="14" t="s">
        <v>43</v>
      </c>
      <c r="F47" s="14">
        <v>57</v>
      </c>
      <c r="G47" s="14" t="s">
        <v>99</v>
      </c>
      <c r="H47" s="14" t="s">
        <v>52</v>
      </c>
      <c r="I47" s="14" t="s">
        <v>99</v>
      </c>
      <c r="J47" s="14" t="s">
        <v>32</v>
      </c>
      <c r="K47" s="14">
        <v>2</v>
      </c>
      <c r="L47" s="14">
        <v>33957</v>
      </c>
      <c r="M47" s="14">
        <v>15</v>
      </c>
      <c r="N47" s="14">
        <v>10187.1</v>
      </c>
      <c r="O47" s="14">
        <v>10390.84</v>
      </c>
      <c r="P47" s="14">
        <v>493</v>
      </c>
      <c r="Q47" s="14">
        <f t="shared" si="0"/>
        <v>68117.740000000005</v>
      </c>
      <c r="R47" s="14">
        <v>68610.740000000005</v>
      </c>
      <c r="S47" s="14" t="s">
        <v>83</v>
      </c>
      <c r="T47" s="14" t="s">
        <v>63</v>
      </c>
      <c r="U47" s="14" t="s">
        <v>35</v>
      </c>
      <c r="V47" s="14" t="s">
        <v>36</v>
      </c>
      <c r="W47" s="14" t="s">
        <v>37</v>
      </c>
      <c r="X47" s="14">
        <v>9</v>
      </c>
      <c r="Y47" s="14" t="s">
        <v>38</v>
      </c>
      <c r="Z47" s="14">
        <v>1</v>
      </c>
      <c r="AA47" s="14" t="s">
        <v>39</v>
      </c>
    </row>
    <row r="48" spans="1:27" x14ac:dyDescent="0.35">
      <c r="A48" s="14" t="s">
        <v>179</v>
      </c>
      <c r="B48" s="15">
        <v>45904</v>
      </c>
      <c r="C48" s="14" t="s">
        <v>180</v>
      </c>
      <c r="D48" s="14" t="s">
        <v>108</v>
      </c>
      <c r="E48" s="14" t="s">
        <v>43</v>
      </c>
      <c r="F48" s="14">
        <v>31</v>
      </c>
      <c r="G48" s="14" t="s">
        <v>94</v>
      </c>
      <c r="H48" s="14" t="s">
        <v>31</v>
      </c>
      <c r="I48" s="14" t="s">
        <v>94</v>
      </c>
      <c r="J48" s="14" t="s">
        <v>53</v>
      </c>
      <c r="K48" s="14">
        <v>4</v>
      </c>
      <c r="L48" s="14">
        <v>34160</v>
      </c>
      <c r="M48" s="14">
        <v>10</v>
      </c>
      <c r="N48" s="14">
        <v>13664</v>
      </c>
      <c r="O48" s="14">
        <v>22135.68</v>
      </c>
      <c r="P48" s="14">
        <v>174</v>
      </c>
      <c r="Q48" s="14">
        <f t="shared" si="0"/>
        <v>145111.67999999999</v>
      </c>
      <c r="R48" s="14">
        <v>145285.68</v>
      </c>
      <c r="S48" s="14" t="s">
        <v>54</v>
      </c>
      <c r="T48" s="14" t="s">
        <v>63</v>
      </c>
      <c r="U48" s="14" t="s">
        <v>46</v>
      </c>
      <c r="V48" s="14" t="s">
        <v>36</v>
      </c>
      <c r="W48" s="14" t="s">
        <v>37</v>
      </c>
      <c r="X48" s="14">
        <v>6</v>
      </c>
      <c r="Y48" s="14" t="s">
        <v>38</v>
      </c>
      <c r="Z48" s="14">
        <v>3</v>
      </c>
      <c r="AA48" s="14" t="s">
        <v>47</v>
      </c>
    </row>
    <row r="49" spans="1:27" x14ac:dyDescent="0.35">
      <c r="A49" s="14" t="s">
        <v>181</v>
      </c>
      <c r="B49" s="15">
        <v>45897</v>
      </c>
      <c r="C49" s="14" t="s">
        <v>182</v>
      </c>
      <c r="D49" s="14" t="s">
        <v>61</v>
      </c>
      <c r="E49" s="14" t="s">
        <v>43</v>
      </c>
      <c r="F49" s="14">
        <v>37</v>
      </c>
      <c r="G49" s="14" t="s">
        <v>94</v>
      </c>
      <c r="H49" s="14" t="s">
        <v>31</v>
      </c>
      <c r="I49" s="14" t="s">
        <v>94</v>
      </c>
      <c r="J49" s="14" t="s">
        <v>69</v>
      </c>
      <c r="K49" s="14">
        <v>2</v>
      </c>
      <c r="L49" s="14">
        <v>18482</v>
      </c>
      <c r="M49" s="14">
        <v>15</v>
      </c>
      <c r="N49" s="14">
        <v>5544.6</v>
      </c>
      <c r="O49" s="14">
        <v>5655.49</v>
      </c>
      <c r="P49" s="14">
        <v>78</v>
      </c>
      <c r="Q49" s="14">
        <f t="shared" si="0"/>
        <v>37074.89</v>
      </c>
      <c r="R49" s="14">
        <v>37152.89</v>
      </c>
      <c r="S49" s="14" t="s">
        <v>33</v>
      </c>
      <c r="T49" s="14" t="s">
        <v>34</v>
      </c>
      <c r="U49" s="14" t="s">
        <v>95</v>
      </c>
      <c r="V49" s="14" t="s">
        <v>96</v>
      </c>
      <c r="W49" s="14" t="s">
        <v>57</v>
      </c>
      <c r="X49" s="14">
        <v>5</v>
      </c>
      <c r="Y49" s="14" t="s">
        <v>38</v>
      </c>
      <c r="Z49" s="14">
        <v>3</v>
      </c>
      <c r="AA49" s="14" t="s">
        <v>91</v>
      </c>
    </row>
    <row r="50" spans="1:27" x14ac:dyDescent="0.35">
      <c r="A50" s="14" t="s">
        <v>183</v>
      </c>
      <c r="B50" s="15">
        <v>45920</v>
      </c>
      <c r="C50" s="14" t="s">
        <v>184</v>
      </c>
      <c r="D50" s="14" t="s">
        <v>42</v>
      </c>
      <c r="E50" s="14" t="s">
        <v>43</v>
      </c>
      <c r="F50" s="14">
        <v>55</v>
      </c>
      <c r="G50" s="14" t="s">
        <v>44</v>
      </c>
      <c r="H50" s="14" t="s">
        <v>31</v>
      </c>
      <c r="I50" s="14" t="s">
        <v>44</v>
      </c>
      <c r="J50" s="14" t="s">
        <v>102</v>
      </c>
      <c r="K50" s="14">
        <v>2</v>
      </c>
      <c r="L50" s="14">
        <v>40666</v>
      </c>
      <c r="M50" s="14">
        <v>10</v>
      </c>
      <c r="N50" s="14">
        <v>8133.2</v>
      </c>
      <c r="O50" s="14">
        <v>13175.78</v>
      </c>
      <c r="P50" s="14">
        <v>334</v>
      </c>
      <c r="Q50" s="14">
        <f t="shared" si="0"/>
        <v>86374.58</v>
      </c>
      <c r="R50" s="14">
        <v>86708.58</v>
      </c>
      <c r="S50" s="14" t="s">
        <v>45</v>
      </c>
      <c r="T50" s="14" t="s">
        <v>63</v>
      </c>
      <c r="U50" s="14" t="s">
        <v>70</v>
      </c>
      <c r="V50" s="14" t="s">
        <v>56</v>
      </c>
      <c r="W50" s="14" t="s">
        <v>57</v>
      </c>
      <c r="X50" s="14">
        <v>8</v>
      </c>
      <c r="Y50" s="14" t="s">
        <v>47</v>
      </c>
      <c r="Z50" s="14">
        <v>5</v>
      </c>
      <c r="AA50" s="14" t="s">
        <v>47</v>
      </c>
    </row>
    <row r="51" spans="1:27" x14ac:dyDescent="0.35">
      <c r="A51" s="14" t="s">
        <v>185</v>
      </c>
      <c r="B51" s="15">
        <v>45830</v>
      </c>
      <c r="C51" s="14" t="s">
        <v>152</v>
      </c>
      <c r="D51" s="14" t="s">
        <v>80</v>
      </c>
      <c r="E51" s="14" t="s">
        <v>43</v>
      </c>
      <c r="F51" s="14">
        <v>42</v>
      </c>
      <c r="G51" s="14" t="s">
        <v>74</v>
      </c>
      <c r="H51" s="14" t="s">
        <v>31</v>
      </c>
      <c r="I51" s="14" t="s">
        <v>74</v>
      </c>
      <c r="J51" s="14" t="s">
        <v>125</v>
      </c>
      <c r="K51" s="14">
        <v>4</v>
      </c>
      <c r="L51" s="14">
        <v>2535</v>
      </c>
      <c r="M51" s="14">
        <v>5</v>
      </c>
      <c r="N51" s="14">
        <v>507</v>
      </c>
      <c r="O51" s="14">
        <v>1733.94</v>
      </c>
      <c r="P51" s="14">
        <v>49</v>
      </c>
      <c r="Q51" s="14">
        <f t="shared" si="0"/>
        <v>11366.94</v>
      </c>
      <c r="R51" s="14">
        <v>11415.94</v>
      </c>
      <c r="S51" s="14" t="s">
        <v>54</v>
      </c>
      <c r="T51" s="14" t="s">
        <v>34</v>
      </c>
      <c r="U51" s="14" t="s">
        <v>76</v>
      </c>
      <c r="V51" s="14" t="s">
        <v>77</v>
      </c>
      <c r="W51" s="14" t="s">
        <v>57</v>
      </c>
      <c r="X51" s="14">
        <v>3</v>
      </c>
      <c r="Y51" s="14" t="s">
        <v>47</v>
      </c>
      <c r="Z51" s="14">
        <v>1</v>
      </c>
      <c r="AA51" s="14" t="s">
        <v>39</v>
      </c>
    </row>
    <row r="52" spans="1:27" x14ac:dyDescent="0.35">
      <c r="A52" s="14" t="s">
        <v>186</v>
      </c>
      <c r="B52" s="15">
        <v>45900</v>
      </c>
      <c r="C52" s="14" t="s">
        <v>187</v>
      </c>
      <c r="D52" s="14" t="s">
        <v>66</v>
      </c>
      <c r="E52" s="14" t="s">
        <v>29</v>
      </c>
      <c r="F52" s="14">
        <v>35</v>
      </c>
      <c r="G52" s="14" t="s">
        <v>90</v>
      </c>
      <c r="H52" s="14" t="s">
        <v>31</v>
      </c>
      <c r="I52" s="14" t="s">
        <v>90</v>
      </c>
      <c r="J52" s="14" t="s">
        <v>150</v>
      </c>
      <c r="K52" s="14">
        <v>3</v>
      </c>
      <c r="L52" s="14">
        <v>41574</v>
      </c>
      <c r="M52" s="14">
        <v>20</v>
      </c>
      <c r="N52" s="14">
        <v>24944.400000000001</v>
      </c>
      <c r="O52" s="14">
        <v>17959.97</v>
      </c>
      <c r="P52" s="14">
        <v>206</v>
      </c>
      <c r="Q52" s="14">
        <f t="shared" si="0"/>
        <v>117737.57</v>
      </c>
      <c r="R52" s="14">
        <v>117943.57</v>
      </c>
      <c r="S52" s="14" t="s">
        <v>45</v>
      </c>
      <c r="T52" s="14" t="s">
        <v>34</v>
      </c>
      <c r="U52" s="14" t="s">
        <v>35</v>
      </c>
      <c r="V52" s="14" t="s">
        <v>36</v>
      </c>
      <c r="W52" s="14" t="s">
        <v>37</v>
      </c>
      <c r="X52" s="14">
        <v>10</v>
      </c>
      <c r="Y52" s="14" t="s">
        <v>38</v>
      </c>
      <c r="Z52" s="14">
        <v>3</v>
      </c>
      <c r="AA52" s="14" t="s">
        <v>47</v>
      </c>
    </row>
    <row r="53" spans="1:27" x14ac:dyDescent="0.35">
      <c r="A53" s="14" t="s">
        <v>188</v>
      </c>
      <c r="B53" s="15">
        <v>45863</v>
      </c>
      <c r="C53" s="14" t="s">
        <v>189</v>
      </c>
      <c r="D53" s="14" t="s">
        <v>42</v>
      </c>
      <c r="E53" s="14" t="s">
        <v>43</v>
      </c>
      <c r="F53" s="14">
        <v>28</v>
      </c>
      <c r="G53" s="14" t="s">
        <v>74</v>
      </c>
      <c r="H53" s="14" t="s">
        <v>31</v>
      </c>
      <c r="I53" s="14" t="s">
        <v>74</v>
      </c>
      <c r="J53" s="14" t="s">
        <v>102</v>
      </c>
      <c r="K53" s="14">
        <v>3</v>
      </c>
      <c r="L53" s="14">
        <v>33177</v>
      </c>
      <c r="M53" s="14">
        <v>5</v>
      </c>
      <c r="N53" s="14">
        <v>4976.55</v>
      </c>
      <c r="O53" s="14">
        <v>17019.8</v>
      </c>
      <c r="P53" s="14">
        <v>56</v>
      </c>
      <c r="Q53" s="14">
        <f t="shared" si="0"/>
        <v>111574.25</v>
      </c>
      <c r="R53" s="14">
        <v>111630.25</v>
      </c>
      <c r="S53" s="14" t="s">
        <v>83</v>
      </c>
      <c r="T53" s="14" t="s">
        <v>63</v>
      </c>
      <c r="U53" s="14" t="s">
        <v>35</v>
      </c>
      <c r="V53" s="14" t="s">
        <v>36</v>
      </c>
      <c r="W53" s="14" t="s">
        <v>37</v>
      </c>
      <c r="X53" s="14">
        <v>3</v>
      </c>
      <c r="Y53" s="14" t="s">
        <v>47</v>
      </c>
      <c r="Z53" s="14">
        <v>3</v>
      </c>
      <c r="AA53" s="14" t="s">
        <v>58</v>
      </c>
    </row>
    <row r="54" spans="1:27" x14ac:dyDescent="0.35">
      <c r="A54" s="14" t="s">
        <v>190</v>
      </c>
      <c r="B54" s="15">
        <v>46019</v>
      </c>
      <c r="C54" s="14" t="s">
        <v>191</v>
      </c>
      <c r="D54" s="14" t="s">
        <v>42</v>
      </c>
      <c r="E54" s="14" t="s">
        <v>43</v>
      </c>
      <c r="F54" s="14">
        <v>47</v>
      </c>
      <c r="G54" s="14" t="s">
        <v>74</v>
      </c>
      <c r="H54" s="14" t="s">
        <v>31</v>
      </c>
      <c r="I54" s="14" t="s">
        <v>74</v>
      </c>
      <c r="J54" s="14" t="s">
        <v>150</v>
      </c>
      <c r="K54" s="14">
        <v>5</v>
      </c>
      <c r="L54" s="14">
        <v>1762</v>
      </c>
      <c r="M54" s="14">
        <v>20</v>
      </c>
      <c r="N54" s="14">
        <v>1762</v>
      </c>
      <c r="O54" s="14">
        <v>1268.6400000000001</v>
      </c>
      <c r="P54" s="14">
        <v>27</v>
      </c>
      <c r="Q54" s="14">
        <f t="shared" si="0"/>
        <v>8316.64</v>
      </c>
      <c r="R54" s="14">
        <v>8343.64</v>
      </c>
      <c r="S54" s="14" t="s">
        <v>33</v>
      </c>
      <c r="T54" s="14" t="s">
        <v>63</v>
      </c>
      <c r="U54" s="14" t="s">
        <v>55</v>
      </c>
      <c r="V54" s="14" t="s">
        <v>56</v>
      </c>
      <c r="W54" s="14" t="s">
        <v>57</v>
      </c>
      <c r="X54" s="14">
        <v>4</v>
      </c>
      <c r="Y54" s="14" t="s">
        <v>38</v>
      </c>
      <c r="Z54" s="14">
        <v>3</v>
      </c>
      <c r="AA54" s="14" t="s">
        <v>47</v>
      </c>
    </row>
    <row r="55" spans="1:27" x14ac:dyDescent="0.35">
      <c r="A55" s="14" t="s">
        <v>192</v>
      </c>
      <c r="B55" s="15">
        <v>45922</v>
      </c>
      <c r="C55" s="14" t="s">
        <v>193</v>
      </c>
      <c r="D55" s="14" t="s">
        <v>73</v>
      </c>
      <c r="E55" s="14" t="s">
        <v>43</v>
      </c>
      <c r="F55" s="14">
        <v>47</v>
      </c>
      <c r="G55" s="14" t="s">
        <v>94</v>
      </c>
      <c r="H55" s="14" t="s">
        <v>31</v>
      </c>
      <c r="I55" s="14" t="s">
        <v>194</v>
      </c>
      <c r="J55" s="14" t="s">
        <v>62</v>
      </c>
      <c r="K55" s="14">
        <v>2</v>
      </c>
      <c r="L55" s="14">
        <v>16428</v>
      </c>
      <c r="M55" s="14">
        <v>20</v>
      </c>
      <c r="N55" s="14">
        <v>6571.2</v>
      </c>
      <c r="O55" s="14">
        <v>4731.26</v>
      </c>
      <c r="P55" s="14">
        <v>94</v>
      </c>
      <c r="Q55" s="14">
        <f t="shared" si="0"/>
        <v>31016.06</v>
      </c>
      <c r="R55" s="14">
        <v>31110.06</v>
      </c>
      <c r="S55" s="14" t="s">
        <v>45</v>
      </c>
      <c r="T55" s="14" t="s">
        <v>63</v>
      </c>
      <c r="U55" s="14" t="s">
        <v>103</v>
      </c>
      <c r="V55" s="14" t="s">
        <v>103</v>
      </c>
      <c r="W55" s="14" t="s">
        <v>57</v>
      </c>
      <c r="X55" s="14">
        <v>1</v>
      </c>
      <c r="Y55" s="14" t="s">
        <v>38</v>
      </c>
      <c r="Z55" s="14">
        <v>4</v>
      </c>
      <c r="AA55" s="14" t="s">
        <v>39</v>
      </c>
    </row>
    <row r="56" spans="1:27" x14ac:dyDescent="0.35">
      <c r="A56" s="14" t="s">
        <v>195</v>
      </c>
      <c r="B56" s="15">
        <v>46087</v>
      </c>
      <c r="C56" s="14" t="s">
        <v>196</v>
      </c>
      <c r="D56" s="14" t="s">
        <v>50</v>
      </c>
      <c r="E56" s="14" t="s">
        <v>29</v>
      </c>
      <c r="F56" s="14">
        <v>27</v>
      </c>
      <c r="G56" s="14" t="s">
        <v>94</v>
      </c>
      <c r="H56" s="14" t="s">
        <v>31</v>
      </c>
      <c r="I56" s="14" t="s">
        <v>94</v>
      </c>
      <c r="J56" s="14" t="s">
        <v>112</v>
      </c>
      <c r="K56" s="14">
        <v>3</v>
      </c>
      <c r="L56" s="14">
        <v>17615</v>
      </c>
      <c r="M56" s="14">
        <v>0</v>
      </c>
      <c r="N56" s="14">
        <v>0</v>
      </c>
      <c r="O56" s="14">
        <v>9512.1</v>
      </c>
      <c r="P56" s="14">
        <v>128</v>
      </c>
      <c r="Q56" s="14">
        <f t="shared" si="0"/>
        <v>62357.1</v>
      </c>
      <c r="R56" s="14">
        <v>62485.1</v>
      </c>
      <c r="S56" s="14" t="s">
        <v>33</v>
      </c>
      <c r="T56" s="14" t="s">
        <v>34</v>
      </c>
      <c r="U56" s="14" t="s">
        <v>70</v>
      </c>
      <c r="V56" s="14" t="s">
        <v>56</v>
      </c>
      <c r="W56" s="14" t="s">
        <v>57</v>
      </c>
      <c r="X56" s="14">
        <v>5</v>
      </c>
      <c r="Y56" s="14" t="s">
        <v>38</v>
      </c>
      <c r="Z56" s="14">
        <v>4</v>
      </c>
      <c r="AA56" s="14" t="s">
        <v>58</v>
      </c>
    </row>
    <row r="57" spans="1:27" x14ac:dyDescent="0.35">
      <c r="A57" s="14" t="s">
        <v>197</v>
      </c>
      <c r="B57" s="15">
        <v>45819</v>
      </c>
      <c r="C57" s="14" t="s">
        <v>147</v>
      </c>
      <c r="D57" s="14" t="s">
        <v>80</v>
      </c>
      <c r="E57" s="14" t="s">
        <v>29</v>
      </c>
      <c r="F57" s="14">
        <v>50</v>
      </c>
      <c r="G57" s="14" t="s">
        <v>99</v>
      </c>
      <c r="H57" s="14" t="s">
        <v>52</v>
      </c>
      <c r="I57" s="14" t="s">
        <v>99</v>
      </c>
      <c r="J57" s="14" t="s">
        <v>32</v>
      </c>
      <c r="K57" s="14">
        <v>2</v>
      </c>
      <c r="L57" s="14">
        <v>18078</v>
      </c>
      <c r="M57" s="14">
        <v>10</v>
      </c>
      <c r="N57" s="14">
        <v>3615.6</v>
      </c>
      <c r="O57" s="14">
        <v>5857.27</v>
      </c>
      <c r="P57" s="14">
        <v>92</v>
      </c>
      <c r="Q57" s="14">
        <f t="shared" si="0"/>
        <v>38397.67</v>
      </c>
      <c r="R57" s="14">
        <v>38489.67</v>
      </c>
      <c r="S57" s="14" t="s">
        <v>33</v>
      </c>
      <c r="T57" s="14" t="s">
        <v>63</v>
      </c>
      <c r="U57" s="14" t="s">
        <v>76</v>
      </c>
      <c r="V57" s="14" t="s">
        <v>77</v>
      </c>
      <c r="W57" s="14" t="s">
        <v>57</v>
      </c>
      <c r="X57" s="14">
        <v>9</v>
      </c>
      <c r="Y57" s="14" t="s">
        <v>38</v>
      </c>
      <c r="Z57" s="14">
        <v>2</v>
      </c>
      <c r="AA57" s="14" t="s">
        <v>47</v>
      </c>
    </row>
    <row r="58" spans="1:27" x14ac:dyDescent="0.35">
      <c r="A58" s="14" t="s">
        <v>198</v>
      </c>
      <c r="B58" s="15">
        <v>45860</v>
      </c>
      <c r="C58" s="14" t="s">
        <v>199</v>
      </c>
      <c r="D58" s="14" t="s">
        <v>61</v>
      </c>
      <c r="E58" s="14" t="s">
        <v>43</v>
      </c>
      <c r="F58" s="14">
        <v>33</v>
      </c>
      <c r="G58" s="14" t="s">
        <v>90</v>
      </c>
      <c r="H58" s="14" t="s">
        <v>31</v>
      </c>
      <c r="I58" s="14" t="s">
        <v>90</v>
      </c>
      <c r="J58" s="14" t="s">
        <v>102</v>
      </c>
      <c r="K58" s="14">
        <v>1</v>
      </c>
      <c r="L58" s="14">
        <v>4209</v>
      </c>
      <c r="M58" s="14">
        <v>20</v>
      </c>
      <c r="N58" s="14">
        <v>841.8</v>
      </c>
      <c r="O58" s="14">
        <v>606.1</v>
      </c>
      <c r="P58" s="14">
        <v>108</v>
      </c>
      <c r="Q58" s="14">
        <f t="shared" si="0"/>
        <v>3973.3</v>
      </c>
      <c r="R58" s="14">
        <v>4081.3</v>
      </c>
      <c r="S58" s="14" t="s">
        <v>33</v>
      </c>
      <c r="T58" s="14" t="s">
        <v>34</v>
      </c>
      <c r="U58" s="14" t="s">
        <v>76</v>
      </c>
      <c r="V58" s="14" t="s">
        <v>77</v>
      </c>
      <c r="W58" s="14" t="s">
        <v>57</v>
      </c>
      <c r="X58" s="14">
        <v>8</v>
      </c>
      <c r="Y58" s="14" t="s">
        <v>38</v>
      </c>
      <c r="Z58" s="14">
        <v>5</v>
      </c>
      <c r="AA58" s="14" t="s">
        <v>91</v>
      </c>
    </row>
    <row r="59" spans="1:27" x14ac:dyDescent="0.35">
      <c r="A59" s="14" t="s">
        <v>200</v>
      </c>
      <c r="B59" s="15">
        <v>45817</v>
      </c>
      <c r="C59" s="14" t="s">
        <v>201</v>
      </c>
      <c r="D59" s="14" t="s">
        <v>66</v>
      </c>
      <c r="E59" s="14" t="s">
        <v>29</v>
      </c>
      <c r="F59" s="14">
        <v>20</v>
      </c>
      <c r="G59" s="14" t="s">
        <v>90</v>
      </c>
      <c r="H59" s="14" t="s">
        <v>31</v>
      </c>
      <c r="I59" s="14" t="s">
        <v>90</v>
      </c>
      <c r="J59" s="14" t="s">
        <v>202</v>
      </c>
      <c r="K59" s="14">
        <v>5</v>
      </c>
      <c r="L59" s="14">
        <v>32244</v>
      </c>
      <c r="M59" s="14">
        <v>5</v>
      </c>
      <c r="N59" s="14">
        <v>8061</v>
      </c>
      <c r="O59" s="14">
        <v>27568.62</v>
      </c>
      <c r="P59" s="14">
        <v>248</v>
      </c>
      <c r="Q59" s="14">
        <f t="shared" si="0"/>
        <v>180727.62</v>
      </c>
      <c r="R59" s="14">
        <v>180975.62</v>
      </c>
      <c r="S59" s="14" t="s">
        <v>33</v>
      </c>
      <c r="T59" s="14" t="s">
        <v>34</v>
      </c>
      <c r="U59" s="14" t="s">
        <v>46</v>
      </c>
      <c r="V59" s="14" t="s">
        <v>36</v>
      </c>
      <c r="W59" s="14" t="s">
        <v>37</v>
      </c>
      <c r="X59" s="14">
        <v>6</v>
      </c>
      <c r="Y59" s="14" t="s">
        <v>38</v>
      </c>
      <c r="Z59" s="14">
        <v>2</v>
      </c>
      <c r="AA59" s="14" t="s">
        <v>58</v>
      </c>
    </row>
    <row r="60" spans="1:27" x14ac:dyDescent="0.35">
      <c r="A60" s="14" t="s">
        <v>203</v>
      </c>
      <c r="B60" s="15">
        <v>46037</v>
      </c>
      <c r="C60" s="14" t="s">
        <v>204</v>
      </c>
      <c r="D60" s="14" t="s">
        <v>42</v>
      </c>
      <c r="E60" s="14" t="s">
        <v>43</v>
      </c>
      <c r="F60" s="14">
        <v>40</v>
      </c>
      <c r="G60" s="14" t="s">
        <v>67</v>
      </c>
      <c r="H60" s="14" t="s">
        <v>68</v>
      </c>
      <c r="I60" s="14" t="s">
        <v>67</v>
      </c>
      <c r="J60" s="14" t="s">
        <v>150</v>
      </c>
      <c r="K60" s="14">
        <v>2</v>
      </c>
      <c r="L60" s="14">
        <v>17758</v>
      </c>
      <c r="M60" s="14">
        <v>10</v>
      </c>
      <c r="N60" s="14">
        <v>3551.6</v>
      </c>
      <c r="O60" s="14">
        <v>5753.59</v>
      </c>
      <c r="P60" s="14">
        <v>218</v>
      </c>
      <c r="Q60" s="14">
        <f t="shared" si="0"/>
        <v>37717.99</v>
      </c>
      <c r="R60" s="14">
        <v>37935.99</v>
      </c>
      <c r="S60" s="14" t="s">
        <v>45</v>
      </c>
      <c r="T60" s="14" t="s">
        <v>63</v>
      </c>
      <c r="U60" s="14" t="s">
        <v>46</v>
      </c>
      <c r="V60" s="14" t="s">
        <v>36</v>
      </c>
      <c r="W60" s="14" t="s">
        <v>37</v>
      </c>
      <c r="X60" s="14">
        <v>9</v>
      </c>
      <c r="Y60" s="14" t="s">
        <v>47</v>
      </c>
      <c r="Z60" s="14">
        <v>4</v>
      </c>
      <c r="AA60" s="14" t="s">
        <v>58</v>
      </c>
    </row>
    <row r="61" spans="1:27" x14ac:dyDescent="0.35">
      <c r="A61" s="14" t="s">
        <v>205</v>
      </c>
      <c r="B61" s="15">
        <v>46032</v>
      </c>
      <c r="C61" s="14" t="s">
        <v>206</v>
      </c>
      <c r="D61" s="14" t="s">
        <v>108</v>
      </c>
      <c r="E61" s="14" t="s">
        <v>43</v>
      </c>
      <c r="F61" s="14">
        <v>26</v>
      </c>
      <c r="G61" s="14" t="s">
        <v>139</v>
      </c>
      <c r="H61" s="14" t="s">
        <v>31</v>
      </c>
      <c r="I61" s="14" t="s">
        <v>139</v>
      </c>
      <c r="J61" s="14" t="s">
        <v>102</v>
      </c>
      <c r="K61" s="14">
        <v>3</v>
      </c>
      <c r="L61" s="14">
        <v>49447</v>
      </c>
      <c r="M61" s="14">
        <v>0</v>
      </c>
      <c r="N61" s="14">
        <v>0</v>
      </c>
      <c r="O61" s="14">
        <v>26701.38</v>
      </c>
      <c r="P61" s="14">
        <v>5</v>
      </c>
      <c r="Q61" s="14">
        <f t="shared" si="0"/>
        <v>175042.38</v>
      </c>
      <c r="R61" s="14">
        <v>175047.38</v>
      </c>
      <c r="S61" s="14" t="s">
        <v>33</v>
      </c>
      <c r="T61" s="14" t="s">
        <v>34</v>
      </c>
      <c r="U61" s="14" t="s">
        <v>76</v>
      </c>
      <c r="V61" s="14" t="s">
        <v>77</v>
      </c>
      <c r="W61" s="14" t="s">
        <v>57</v>
      </c>
      <c r="X61" s="14">
        <v>3</v>
      </c>
      <c r="Y61" s="14" t="s">
        <v>38</v>
      </c>
      <c r="Z61" s="14">
        <v>1</v>
      </c>
      <c r="AA61" s="14" t="s">
        <v>58</v>
      </c>
    </row>
    <row r="62" spans="1:27" x14ac:dyDescent="0.35">
      <c r="A62" s="14" t="s">
        <v>207</v>
      </c>
      <c r="B62" s="15">
        <v>45997</v>
      </c>
      <c r="C62" s="14" t="s">
        <v>208</v>
      </c>
      <c r="D62" s="14" t="s">
        <v>108</v>
      </c>
      <c r="E62" s="14" t="s">
        <v>29</v>
      </c>
      <c r="F62" s="14">
        <v>55</v>
      </c>
      <c r="G62" s="14" t="s">
        <v>94</v>
      </c>
      <c r="H62" s="14" t="s">
        <v>31</v>
      </c>
      <c r="I62" s="14" t="s">
        <v>94</v>
      </c>
      <c r="J62" s="14" t="s">
        <v>53</v>
      </c>
      <c r="K62" s="14">
        <v>4</v>
      </c>
      <c r="L62" s="14">
        <v>44629</v>
      </c>
      <c r="M62" s="14">
        <v>0</v>
      </c>
      <c r="N62" s="14">
        <v>0</v>
      </c>
      <c r="O62" s="14">
        <v>32132.880000000001</v>
      </c>
      <c r="P62" s="14">
        <v>182</v>
      </c>
      <c r="Q62" s="14">
        <f t="shared" si="0"/>
        <v>210648.88</v>
      </c>
      <c r="R62" s="14">
        <v>210830.88</v>
      </c>
      <c r="S62" s="14" t="s">
        <v>83</v>
      </c>
      <c r="T62" s="14" t="s">
        <v>34</v>
      </c>
      <c r="U62" s="14" t="s">
        <v>95</v>
      </c>
      <c r="V62" s="14" t="s">
        <v>96</v>
      </c>
      <c r="W62" s="14" t="s">
        <v>57</v>
      </c>
      <c r="X62" s="14">
        <v>6</v>
      </c>
      <c r="Y62" s="14" t="s">
        <v>47</v>
      </c>
      <c r="Z62" s="14">
        <v>2</v>
      </c>
      <c r="AA62" s="14" t="s">
        <v>47</v>
      </c>
    </row>
    <row r="63" spans="1:27" x14ac:dyDescent="0.35">
      <c r="A63" s="14" t="s">
        <v>209</v>
      </c>
      <c r="B63" s="15">
        <v>45927</v>
      </c>
      <c r="C63" s="14" t="s">
        <v>210</v>
      </c>
      <c r="D63" s="14" t="s">
        <v>61</v>
      </c>
      <c r="E63" s="14" t="s">
        <v>29</v>
      </c>
      <c r="F63" s="14">
        <v>43</v>
      </c>
      <c r="G63" s="14" t="s">
        <v>134</v>
      </c>
      <c r="H63" s="14" t="s">
        <v>31</v>
      </c>
      <c r="I63" s="14" t="s">
        <v>134</v>
      </c>
      <c r="J63" s="14" t="s">
        <v>69</v>
      </c>
      <c r="K63" s="14">
        <v>2</v>
      </c>
      <c r="L63" s="14">
        <v>35049</v>
      </c>
      <c r="M63" s="14">
        <v>10</v>
      </c>
      <c r="N63" s="14">
        <v>7009.8</v>
      </c>
      <c r="O63" s="14">
        <v>11355.88</v>
      </c>
      <c r="P63" s="14">
        <v>249</v>
      </c>
      <c r="Q63" s="14">
        <f t="shared" si="0"/>
        <v>74444.08</v>
      </c>
      <c r="R63" s="14">
        <v>74693.08</v>
      </c>
      <c r="S63" s="14" t="s">
        <v>33</v>
      </c>
      <c r="T63" s="14" t="s">
        <v>34</v>
      </c>
      <c r="U63" s="14" t="s">
        <v>35</v>
      </c>
      <c r="V63" s="14" t="s">
        <v>36</v>
      </c>
      <c r="W63" s="14" t="s">
        <v>37</v>
      </c>
      <c r="X63" s="14">
        <v>1</v>
      </c>
      <c r="Y63" s="14" t="s">
        <v>47</v>
      </c>
      <c r="Z63" s="14">
        <v>1</v>
      </c>
      <c r="AA63" s="14" t="s">
        <v>58</v>
      </c>
    </row>
    <row r="64" spans="1:27" x14ac:dyDescent="0.35">
      <c r="A64" s="14" t="s">
        <v>211</v>
      </c>
      <c r="B64" s="15">
        <v>45881</v>
      </c>
      <c r="C64" s="14" t="s">
        <v>212</v>
      </c>
      <c r="D64" s="14" t="s">
        <v>50</v>
      </c>
      <c r="E64" s="14" t="s">
        <v>43</v>
      </c>
      <c r="F64" s="14">
        <v>49</v>
      </c>
      <c r="G64" s="14" t="s">
        <v>44</v>
      </c>
      <c r="H64" s="14" t="s">
        <v>31</v>
      </c>
      <c r="I64" s="14" t="s">
        <v>44</v>
      </c>
      <c r="J64" s="14" t="s">
        <v>32</v>
      </c>
      <c r="K64" s="14">
        <v>4</v>
      </c>
      <c r="L64" s="14">
        <v>15260</v>
      </c>
      <c r="M64" s="14">
        <v>5</v>
      </c>
      <c r="N64" s="14">
        <v>3052</v>
      </c>
      <c r="O64" s="14">
        <v>10437.84</v>
      </c>
      <c r="P64" s="14">
        <v>466</v>
      </c>
      <c r="Q64" s="14">
        <f t="shared" si="0"/>
        <v>68425.84</v>
      </c>
      <c r="R64" s="14">
        <v>68891.839999999997</v>
      </c>
      <c r="S64" s="14" t="s">
        <v>54</v>
      </c>
      <c r="T64" s="14" t="s">
        <v>34</v>
      </c>
      <c r="U64" s="14" t="s">
        <v>35</v>
      </c>
      <c r="V64" s="14" t="s">
        <v>36</v>
      </c>
      <c r="W64" s="14" t="s">
        <v>37</v>
      </c>
      <c r="X64" s="14">
        <v>2</v>
      </c>
      <c r="Y64" s="14" t="s">
        <v>47</v>
      </c>
      <c r="Z64" s="14">
        <v>2</v>
      </c>
      <c r="AA64" s="14" t="s">
        <v>39</v>
      </c>
    </row>
    <row r="65" spans="1:27" x14ac:dyDescent="0.35">
      <c r="A65" s="14" t="s">
        <v>213</v>
      </c>
      <c r="B65" s="15">
        <v>46094</v>
      </c>
      <c r="C65" s="14" t="s">
        <v>214</v>
      </c>
      <c r="D65" s="14" t="s">
        <v>80</v>
      </c>
      <c r="E65" s="14" t="s">
        <v>29</v>
      </c>
      <c r="F65" s="14">
        <v>24</v>
      </c>
      <c r="G65" s="14" t="s">
        <v>139</v>
      </c>
      <c r="H65" s="14" t="s">
        <v>31</v>
      </c>
      <c r="I65" s="14" t="s">
        <v>139</v>
      </c>
      <c r="J65" s="14" t="s">
        <v>125</v>
      </c>
      <c r="K65" s="14">
        <v>4</v>
      </c>
      <c r="L65" s="14">
        <v>45316</v>
      </c>
      <c r="M65" s="14">
        <v>15</v>
      </c>
      <c r="N65" s="14">
        <v>27189.599999999999</v>
      </c>
      <c r="O65" s="14">
        <v>27733.39</v>
      </c>
      <c r="P65" s="14">
        <v>203</v>
      </c>
      <c r="Q65" s="14">
        <f t="shared" si="0"/>
        <v>181807.79</v>
      </c>
      <c r="R65" s="14">
        <v>182010.79</v>
      </c>
      <c r="S65" s="14" t="s">
        <v>33</v>
      </c>
      <c r="T65" s="14" t="s">
        <v>34</v>
      </c>
      <c r="U65" s="14" t="s">
        <v>95</v>
      </c>
      <c r="V65" s="14" t="s">
        <v>96</v>
      </c>
      <c r="W65" s="14" t="s">
        <v>57</v>
      </c>
      <c r="X65" s="14">
        <v>5</v>
      </c>
      <c r="Y65" s="14" t="s">
        <v>38</v>
      </c>
      <c r="Z65" s="14">
        <v>4</v>
      </c>
      <c r="AA65" s="14" t="s">
        <v>39</v>
      </c>
    </row>
    <row r="66" spans="1:27" x14ac:dyDescent="0.35">
      <c r="A66" s="14" t="s">
        <v>215</v>
      </c>
      <c r="B66" s="15">
        <v>45801</v>
      </c>
      <c r="C66" s="14" t="s">
        <v>216</v>
      </c>
      <c r="D66" s="14" t="s">
        <v>73</v>
      </c>
      <c r="E66" s="14" t="s">
        <v>43</v>
      </c>
      <c r="F66" s="14">
        <v>34</v>
      </c>
      <c r="G66" s="14" t="s">
        <v>74</v>
      </c>
      <c r="H66" s="14" t="s">
        <v>31</v>
      </c>
      <c r="I66" s="14" t="s">
        <v>74</v>
      </c>
      <c r="J66" s="14" t="s">
        <v>75</v>
      </c>
      <c r="K66" s="14">
        <v>3</v>
      </c>
      <c r="L66" s="14">
        <v>1028</v>
      </c>
      <c r="M66" s="14">
        <v>5</v>
      </c>
      <c r="N66" s="14">
        <v>154.19999999999999</v>
      </c>
      <c r="O66" s="14">
        <v>527.36</v>
      </c>
      <c r="P66" s="14">
        <v>194</v>
      </c>
      <c r="Q66" s="14">
        <f t="shared" si="0"/>
        <v>3457.16</v>
      </c>
      <c r="R66" s="14">
        <v>3651.16</v>
      </c>
      <c r="S66" s="14" t="s">
        <v>83</v>
      </c>
      <c r="T66" s="14" t="s">
        <v>63</v>
      </c>
      <c r="U66" s="14" t="s">
        <v>46</v>
      </c>
      <c r="V66" s="14" t="s">
        <v>36</v>
      </c>
      <c r="W66" s="14" t="s">
        <v>37</v>
      </c>
      <c r="X66" s="14">
        <v>2</v>
      </c>
      <c r="Y66" s="14" t="s">
        <v>47</v>
      </c>
      <c r="Z66" s="14">
        <v>2</v>
      </c>
      <c r="AA66" s="14" t="s">
        <v>58</v>
      </c>
    </row>
    <row r="67" spans="1:27" x14ac:dyDescent="0.35">
      <c r="A67" s="14" t="s">
        <v>217</v>
      </c>
      <c r="B67" s="15">
        <v>45886</v>
      </c>
      <c r="C67" s="14" t="s">
        <v>218</v>
      </c>
      <c r="D67" s="14" t="s">
        <v>42</v>
      </c>
      <c r="E67" s="14" t="s">
        <v>43</v>
      </c>
      <c r="F67" s="14">
        <v>56</v>
      </c>
      <c r="G67" s="14" t="s">
        <v>44</v>
      </c>
      <c r="H67" s="14" t="s">
        <v>31</v>
      </c>
      <c r="I67" s="14" t="s">
        <v>44</v>
      </c>
      <c r="J67" s="14" t="s">
        <v>75</v>
      </c>
      <c r="K67" s="14">
        <v>1</v>
      </c>
      <c r="L67" s="14">
        <v>32156</v>
      </c>
      <c r="M67" s="14">
        <v>10</v>
      </c>
      <c r="N67" s="14">
        <v>3215.6</v>
      </c>
      <c r="O67" s="14">
        <v>5209.2700000000004</v>
      </c>
      <c r="P67" s="14">
        <v>312</v>
      </c>
      <c r="Q67" s="14">
        <f t="shared" ref="Q67:Q130" si="1">R67-P67</f>
        <v>34149.67</v>
      </c>
      <c r="R67" s="14">
        <v>34461.67</v>
      </c>
      <c r="S67" s="14" t="s">
        <v>45</v>
      </c>
      <c r="T67" s="14" t="s">
        <v>34</v>
      </c>
      <c r="U67" s="14" t="s">
        <v>95</v>
      </c>
      <c r="V67" s="14" t="s">
        <v>96</v>
      </c>
      <c r="W67" s="14" t="s">
        <v>57</v>
      </c>
      <c r="X67" s="14">
        <v>9</v>
      </c>
      <c r="Y67" s="14" t="s">
        <v>38</v>
      </c>
      <c r="Z67" s="14">
        <v>4</v>
      </c>
      <c r="AA67" s="14" t="s">
        <v>47</v>
      </c>
    </row>
    <row r="68" spans="1:27" x14ac:dyDescent="0.35">
      <c r="A68" s="14" t="s">
        <v>219</v>
      </c>
      <c r="B68" s="15">
        <v>46019</v>
      </c>
      <c r="C68" s="14" t="s">
        <v>220</v>
      </c>
      <c r="D68" s="14" t="s">
        <v>80</v>
      </c>
      <c r="E68" s="14" t="s">
        <v>43</v>
      </c>
      <c r="F68" s="14">
        <v>23</v>
      </c>
      <c r="G68" s="14" t="s">
        <v>139</v>
      </c>
      <c r="H68" s="14" t="s">
        <v>31</v>
      </c>
      <c r="I68" s="14" t="s">
        <v>139</v>
      </c>
      <c r="J68" s="14" t="s">
        <v>32</v>
      </c>
      <c r="K68" s="14">
        <v>1</v>
      </c>
      <c r="L68" s="14">
        <v>33064</v>
      </c>
      <c r="M68" s="14">
        <v>0</v>
      </c>
      <c r="N68" s="14">
        <v>0</v>
      </c>
      <c r="O68" s="14">
        <v>5951.52</v>
      </c>
      <c r="P68" s="14">
        <v>426</v>
      </c>
      <c r="Q68" s="14">
        <f t="shared" si="1"/>
        <v>39015.519999999997</v>
      </c>
      <c r="R68" s="14">
        <v>39441.519999999997</v>
      </c>
      <c r="S68" s="14" t="s">
        <v>33</v>
      </c>
      <c r="T68" s="14" t="s">
        <v>34</v>
      </c>
      <c r="U68" s="14" t="s">
        <v>55</v>
      </c>
      <c r="V68" s="14" t="s">
        <v>56</v>
      </c>
      <c r="W68" s="14" t="s">
        <v>57</v>
      </c>
      <c r="X68" s="14">
        <v>9</v>
      </c>
      <c r="Y68" s="14" t="s">
        <v>38</v>
      </c>
      <c r="Z68" s="14">
        <v>4</v>
      </c>
      <c r="AA68" s="14" t="s">
        <v>58</v>
      </c>
    </row>
    <row r="69" spans="1:27" x14ac:dyDescent="0.35">
      <c r="A69" s="14" t="s">
        <v>221</v>
      </c>
      <c r="B69" s="15">
        <v>45918</v>
      </c>
      <c r="C69" s="14" t="s">
        <v>222</v>
      </c>
      <c r="D69" s="14" t="s">
        <v>80</v>
      </c>
      <c r="E69" s="14" t="s">
        <v>29</v>
      </c>
      <c r="F69" s="14">
        <v>36</v>
      </c>
      <c r="G69" s="14" t="s">
        <v>51</v>
      </c>
      <c r="H69" s="14" t="s">
        <v>52</v>
      </c>
      <c r="I69" s="14" t="s">
        <v>51</v>
      </c>
      <c r="J69" s="14" t="s">
        <v>62</v>
      </c>
      <c r="K69" s="14">
        <v>1</v>
      </c>
      <c r="L69" s="14">
        <v>1059</v>
      </c>
      <c r="M69" s="14">
        <v>0</v>
      </c>
      <c r="N69" s="14">
        <v>0</v>
      </c>
      <c r="O69" s="14">
        <v>190.62</v>
      </c>
      <c r="P69" s="14">
        <v>48</v>
      </c>
      <c r="Q69" s="14">
        <f t="shared" si="1"/>
        <v>1249.6199999999999</v>
      </c>
      <c r="R69" s="14">
        <v>1297.6199999999999</v>
      </c>
      <c r="S69" s="14" t="s">
        <v>54</v>
      </c>
      <c r="T69" s="14" t="s">
        <v>63</v>
      </c>
      <c r="U69" s="14" t="s">
        <v>95</v>
      </c>
      <c r="V69" s="14" t="s">
        <v>96</v>
      </c>
      <c r="W69" s="14" t="s">
        <v>57</v>
      </c>
      <c r="X69" s="14">
        <v>5</v>
      </c>
      <c r="Y69" s="14" t="s">
        <v>38</v>
      </c>
      <c r="Z69" s="14">
        <v>2</v>
      </c>
      <c r="AA69" s="14" t="s">
        <v>47</v>
      </c>
    </row>
    <row r="70" spans="1:27" x14ac:dyDescent="0.35">
      <c r="A70" s="14" t="s">
        <v>223</v>
      </c>
      <c r="B70" s="15">
        <v>45909</v>
      </c>
      <c r="C70" s="14" t="s">
        <v>224</v>
      </c>
      <c r="D70" s="14" t="s">
        <v>50</v>
      </c>
      <c r="E70" s="14" t="s">
        <v>29</v>
      </c>
      <c r="F70" s="14">
        <v>30</v>
      </c>
      <c r="G70" s="14" t="s">
        <v>99</v>
      </c>
      <c r="H70" s="14" t="s">
        <v>52</v>
      </c>
      <c r="I70" s="14" t="s">
        <v>99</v>
      </c>
      <c r="J70" s="14" t="s">
        <v>125</v>
      </c>
      <c r="K70" s="14">
        <v>4</v>
      </c>
      <c r="L70" s="14">
        <v>7089</v>
      </c>
      <c r="M70" s="14">
        <v>20</v>
      </c>
      <c r="N70" s="14">
        <v>5671.2</v>
      </c>
      <c r="O70" s="14">
        <v>4083.26</v>
      </c>
      <c r="P70" s="14">
        <v>403</v>
      </c>
      <c r="Q70" s="14">
        <f t="shared" si="1"/>
        <v>26768.06</v>
      </c>
      <c r="R70" s="14">
        <v>27171.06</v>
      </c>
      <c r="S70" s="14" t="s">
        <v>33</v>
      </c>
      <c r="T70" s="14" t="s">
        <v>63</v>
      </c>
      <c r="U70" s="14" t="s">
        <v>103</v>
      </c>
      <c r="V70" s="14" t="s">
        <v>103</v>
      </c>
      <c r="W70" s="14" t="s">
        <v>57</v>
      </c>
      <c r="X70" s="14">
        <v>9</v>
      </c>
      <c r="Y70" s="14" t="s">
        <v>47</v>
      </c>
      <c r="Z70" s="14">
        <v>2</v>
      </c>
      <c r="AA70" s="14" t="s">
        <v>39</v>
      </c>
    </row>
    <row r="71" spans="1:27" x14ac:dyDescent="0.35">
      <c r="A71" s="14" t="s">
        <v>225</v>
      </c>
      <c r="B71" s="15">
        <v>45905</v>
      </c>
      <c r="C71" s="14" t="s">
        <v>226</v>
      </c>
      <c r="D71" s="14" t="s">
        <v>66</v>
      </c>
      <c r="E71" s="14" t="s">
        <v>29</v>
      </c>
      <c r="F71" s="14">
        <v>55</v>
      </c>
      <c r="G71" s="14" t="s">
        <v>134</v>
      </c>
      <c r="H71" s="14" t="s">
        <v>31</v>
      </c>
      <c r="I71" s="14" t="s">
        <v>134</v>
      </c>
      <c r="J71" s="14" t="s">
        <v>202</v>
      </c>
      <c r="K71" s="14">
        <v>4</v>
      </c>
      <c r="L71" s="14">
        <v>11996</v>
      </c>
      <c r="M71" s="14">
        <v>5</v>
      </c>
      <c r="N71" s="14">
        <v>2399.1999999999998</v>
      </c>
      <c r="O71" s="14">
        <v>8205.26</v>
      </c>
      <c r="P71" s="14">
        <v>466</v>
      </c>
      <c r="Q71" s="14">
        <f t="shared" si="1"/>
        <v>53790.06</v>
      </c>
      <c r="R71" s="14">
        <v>54256.06</v>
      </c>
      <c r="S71" s="14" t="s">
        <v>45</v>
      </c>
      <c r="T71" s="14" t="s">
        <v>34</v>
      </c>
      <c r="U71" s="14" t="s">
        <v>55</v>
      </c>
      <c r="V71" s="14" t="s">
        <v>56</v>
      </c>
      <c r="W71" s="14" t="s">
        <v>57</v>
      </c>
      <c r="X71" s="14">
        <v>4</v>
      </c>
      <c r="Y71" s="14" t="s">
        <v>47</v>
      </c>
      <c r="Z71" s="14">
        <v>4</v>
      </c>
      <c r="AA71" s="14" t="s">
        <v>47</v>
      </c>
    </row>
    <row r="72" spans="1:27" x14ac:dyDescent="0.35">
      <c r="A72" s="14" t="s">
        <v>227</v>
      </c>
      <c r="B72" s="15">
        <v>45846</v>
      </c>
      <c r="C72" s="14" t="s">
        <v>228</v>
      </c>
      <c r="D72" s="14" t="s">
        <v>89</v>
      </c>
      <c r="E72" s="14" t="s">
        <v>43</v>
      </c>
      <c r="F72" s="14">
        <v>19</v>
      </c>
      <c r="G72" s="14" t="s">
        <v>51</v>
      </c>
      <c r="H72" s="14" t="s">
        <v>52</v>
      </c>
      <c r="I72" s="14" t="s">
        <v>51</v>
      </c>
      <c r="J72" s="14" t="s">
        <v>62</v>
      </c>
      <c r="K72" s="14">
        <v>1</v>
      </c>
      <c r="L72" s="14">
        <v>15786</v>
      </c>
      <c r="M72" s="14">
        <v>20</v>
      </c>
      <c r="N72" s="14">
        <v>3157.2</v>
      </c>
      <c r="O72" s="14">
        <v>2273.1799999999998</v>
      </c>
      <c r="P72" s="14">
        <v>268</v>
      </c>
      <c r="Q72" s="14">
        <f t="shared" si="1"/>
        <v>14901.98</v>
      </c>
      <c r="R72" s="14">
        <v>15169.98</v>
      </c>
      <c r="S72" s="14" t="s">
        <v>45</v>
      </c>
      <c r="T72" s="14" t="s">
        <v>34</v>
      </c>
      <c r="U72" s="14" t="s">
        <v>70</v>
      </c>
      <c r="V72" s="14" t="s">
        <v>56</v>
      </c>
      <c r="W72" s="14" t="s">
        <v>57</v>
      </c>
      <c r="X72" s="14">
        <v>10</v>
      </c>
      <c r="Y72" s="14" t="s">
        <v>38</v>
      </c>
      <c r="Z72" s="14">
        <v>5</v>
      </c>
      <c r="AA72" s="14" t="s">
        <v>39</v>
      </c>
    </row>
    <row r="73" spans="1:27" x14ac:dyDescent="0.35">
      <c r="A73" s="14" t="s">
        <v>229</v>
      </c>
      <c r="B73" s="15">
        <v>46061</v>
      </c>
      <c r="C73" s="14" t="s">
        <v>230</v>
      </c>
      <c r="D73" s="14" t="s">
        <v>73</v>
      </c>
      <c r="E73" s="14" t="s">
        <v>43</v>
      </c>
      <c r="F73" s="14">
        <v>26</v>
      </c>
      <c r="G73" s="14" t="s">
        <v>67</v>
      </c>
      <c r="H73" s="14" t="s">
        <v>68</v>
      </c>
      <c r="I73" s="14" t="s">
        <v>67</v>
      </c>
      <c r="J73" s="14" t="s">
        <v>69</v>
      </c>
      <c r="K73" s="14">
        <v>1</v>
      </c>
      <c r="L73" s="14">
        <v>16943</v>
      </c>
      <c r="M73" s="14">
        <v>15</v>
      </c>
      <c r="N73" s="14">
        <v>2541.4499999999998</v>
      </c>
      <c r="O73" s="14">
        <v>2592.2800000000002</v>
      </c>
      <c r="P73" s="14">
        <v>242</v>
      </c>
      <c r="Q73" s="14">
        <f t="shared" si="1"/>
        <v>16993.830000000002</v>
      </c>
      <c r="R73" s="14">
        <v>17235.830000000002</v>
      </c>
      <c r="S73" s="14" t="s">
        <v>83</v>
      </c>
      <c r="T73" s="14" t="s">
        <v>34</v>
      </c>
      <c r="U73" s="14" t="s">
        <v>84</v>
      </c>
      <c r="V73" s="14" t="s">
        <v>85</v>
      </c>
      <c r="W73" s="14" t="s">
        <v>86</v>
      </c>
      <c r="X73" s="14">
        <v>5</v>
      </c>
      <c r="Y73" s="14" t="s">
        <v>38</v>
      </c>
      <c r="Z73" s="14">
        <v>2</v>
      </c>
      <c r="AA73" s="14" t="s">
        <v>39</v>
      </c>
    </row>
    <row r="74" spans="1:27" x14ac:dyDescent="0.35">
      <c r="A74" s="14" t="s">
        <v>231</v>
      </c>
      <c r="B74" s="15">
        <v>45975</v>
      </c>
      <c r="C74" s="14" t="s">
        <v>232</v>
      </c>
      <c r="D74" s="14" t="s">
        <v>50</v>
      </c>
      <c r="E74" s="14" t="s">
        <v>29</v>
      </c>
      <c r="F74" s="14">
        <v>31</v>
      </c>
      <c r="G74" s="14" t="s">
        <v>51</v>
      </c>
      <c r="H74" s="14" t="s">
        <v>52</v>
      </c>
      <c r="I74" s="14" t="s">
        <v>51</v>
      </c>
      <c r="J74" s="14" t="s">
        <v>125</v>
      </c>
      <c r="K74" s="14">
        <v>3</v>
      </c>
      <c r="L74" s="14">
        <v>810</v>
      </c>
      <c r="M74" s="14">
        <v>10</v>
      </c>
      <c r="N74" s="14">
        <v>243</v>
      </c>
      <c r="O74" s="14">
        <v>393.66</v>
      </c>
      <c r="P74" s="14">
        <v>202</v>
      </c>
      <c r="Q74" s="14">
        <f t="shared" si="1"/>
        <v>2580.66</v>
      </c>
      <c r="R74" s="14">
        <v>2782.66</v>
      </c>
      <c r="S74" s="14" t="s">
        <v>45</v>
      </c>
      <c r="T74" s="14" t="s">
        <v>34</v>
      </c>
      <c r="U74" s="14" t="s">
        <v>35</v>
      </c>
      <c r="V74" s="14" t="s">
        <v>36</v>
      </c>
      <c r="W74" s="14" t="s">
        <v>37</v>
      </c>
      <c r="X74" s="14">
        <v>6</v>
      </c>
      <c r="Y74" s="14" t="s">
        <v>38</v>
      </c>
      <c r="Z74" s="14">
        <v>5</v>
      </c>
      <c r="AA74" s="14" t="s">
        <v>58</v>
      </c>
    </row>
    <row r="75" spans="1:27" x14ac:dyDescent="0.35">
      <c r="A75" s="14" t="s">
        <v>233</v>
      </c>
      <c r="B75" s="15">
        <v>45953</v>
      </c>
      <c r="C75" s="14" t="s">
        <v>234</v>
      </c>
      <c r="D75" s="14" t="s">
        <v>28</v>
      </c>
      <c r="E75" s="14" t="s">
        <v>43</v>
      </c>
      <c r="F75" s="14">
        <v>26</v>
      </c>
      <c r="G75" s="14" t="s">
        <v>90</v>
      </c>
      <c r="H75" s="14" t="s">
        <v>31</v>
      </c>
      <c r="I75" s="14" t="s">
        <v>90</v>
      </c>
      <c r="J75" s="14" t="s">
        <v>62</v>
      </c>
      <c r="K75" s="14">
        <v>3</v>
      </c>
      <c r="L75" s="14">
        <v>22771</v>
      </c>
      <c r="M75" s="14">
        <v>15</v>
      </c>
      <c r="N75" s="14">
        <v>10246.950000000001</v>
      </c>
      <c r="O75" s="14">
        <v>10451.89</v>
      </c>
      <c r="P75" s="14">
        <v>196</v>
      </c>
      <c r="Q75" s="14">
        <f t="shared" si="1"/>
        <v>68517.94</v>
      </c>
      <c r="R75" s="14">
        <v>68713.94</v>
      </c>
      <c r="S75" s="14" t="s">
        <v>83</v>
      </c>
      <c r="T75" s="14" t="s">
        <v>34</v>
      </c>
      <c r="U75" s="14" t="s">
        <v>35</v>
      </c>
      <c r="V75" s="14" t="s">
        <v>36</v>
      </c>
      <c r="W75" s="14" t="s">
        <v>37</v>
      </c>
      <c r="X75" s="14">
        <v>1</v>
      </c>
      <c r="Y75" s="14" t="s">
        <v>47</v>
      </c>
      <c r="Z75" s="14">
        <v>2</v>
      </c>
      <c r="AA75" s="14" t="s">
        <v>47</v>
      </c>
    </row>
    <row r="76" spans="1:27" x14ac:dyDescent="0.35">
      <c r="A76" s="14" t="s">
        <v>235</v>
      </c>
      <c r="B76" s="15">
        <v>46034</v>
      </c>
      <c r="C76" s="14" t="s">
        <v>236</v>
      </c>
      <c r="D76" s="14" t="s">
        <v>66</v>
      </c>
      <c r="E76" s="14" t="s">
        <v>43</v>
      </c>
      <c r="F76" s="14">
        <v>27</v>
      </c>
      <c r="G76" s="14" t="s">
        <v>139</v>
      </c>
      <c r="H76" s="14" t="s">
        <v>31</v>
      </c>
      <c r="I76" s="14" t="s">
        <v>139</v>
      </c>
      <c r="J76" s="14" t="s">
        <v>75</v>
      </c>
      <c r="K76" s="14">
        <v>1</v>
      </c>
      <c r="L76" s="14">
        <v>49814</v>
      </c>
      <c r="M76" s="14">
        <v>15</v>
      </c>
      <c r="N76" s="14">
        <v>7472.1</v>
      </c>
      <c r="O76" s="14">
        <v>7621.54</v>
      </c>
      <c r="P76" s="14">
        <v>331</v>
      </c>
      <c r="Q76" s="14">
        <f t="shared" si="1"/>
        <v>49963.44</v>
      </c>
      <c r="R76" s="14">
        <v>50294.44</v>
      </c>
      <c r="S76" s="14" t="s">
        <v>45</v>
      </c>
      <c r="T76" s="14" t="s">
        <v>63</v>
      </c>
      <c r="U76" s="14" t="s">
        <v>103</v>
      </c>
      <c r="V76" s="14" t="s">
        <v>103</v>
      </c>
      <c r="W76" s="14" t="s">
        <v>57</v>
      </c>
      <c r="X76" s="14">
        <v>10</v>
      </c>
      <c r="Y76" s="14" t="s">
        <v>47</v>
      </c>
      <c r="Z76" s="14">
        <v>4</v>
      </c>
      <c r="AA76" s="14" t="s">
        <v>47</v>
      </c>
    </row>
    <row r="77" spans="1:27" x14ac:dyDescent="0.35">
      <c r="A77" s="14" t="s">
        <v>237</v>
      </c>
      <c r="B77" s="15">
        <v>45873</v>
      </c>
      <c r="C77" s="14" t="s">
        <v>238</v>
      </c>
      <c r="D77" s="14" t="s">
        <v>28</v>
      </c>
      <c r="E77" s="14" t="s">
        <v>29</v>
      </c>
      <c r="F77" s="14">
        <v>24</v>
      </c>
      <c r="G77" s="14" t="s">
        <v>51</v>
      </c>
      <c r="H77" s="14" t="s">
        <v>52</v>
      </c>
      <c r="I77" s="14" t="s">
        <v>51</v>
      </c>
      <c r="J77" s="14" t="s">
        <v>75</v>
      </c>
      <c r="K77" s="14">
        <v>2</v>
      </c>
      <c r="L77" s="14">
        <v>17710</v>
      </c>
      <c r="M77" s="14">
        <v>20</v>
      </c>
      <c r="N77" s="14">
        <v>7084</v>
      </c>
      <c r="O77" s="14">
        <v>5100.4799999999996</v>
      </c>
      <c r="P77" s="14">
        <v>267</v>
      </c>
      <c r="Q77" s="14">
        <f t="shared" si="1"/>
        <v>33436.480000000003</v>
      </c>
      <c r="R77" s="14">
        <v>33703.480000000003</v>
      </c>
      <c r="S77" s="14" t="s">
        <v>33</v>
      </c>
      <c r="T77" s="14" t="s">
        <v>34</v>
      </c>
      <c r="U77" s="14" t="s">
        <v>46</v>
      </c>
      <c r="V77" s="14" t="s">
        <v>36</v>
      </c>
      <c r="W77" s="14" t="s">
        <v>37</v>
      </c>
      <c r="X77" s="14">
        <v>1</v>
      </c>
      <c r="Y77" s="14" t="s">
        <v>38</v>
      </c>
      <c r="Z77" s="14">
        <v>1</v>
      </c>
      <c r="AA77" s="14" t="s">
        <v>58</v>
      </c>
    </row>
    <row r="78" spans="1:27" x14ac:dyDescent="0.35">
      <c r="A78" s="14" t="s">
        <v>239</v>
      </c>
      <c r="B78" s="15">
        <v>45943</v>
      </c>
      <c r="C78" s="14" t="s">
        <v>240</v>
      </c>
      <c r="D78" s="14" t="s">
        <v>108</v>
      </c>
      <c r="E78" s="14" t="s">
        <v>29</v>
      </c>
      <c r="F78" s="14">
        <v>45</v>
      </c>
      <c r="G78" s="14" t="s">
        <v>44</v>
      </c>
      <c r="H78" s="14" t="s">
        <v>31</v>
      </c>
      <c r="I78" s="14" t="s">
        <v>44</v>
      </c>
      <c r="J78" s="14" t="s">
        <v>69</v>
      </c>
      <c r="K78" s="14">
        <v>5</v>
      </c>
      <c r="L78" s="14">
        <v>24572</v>
      </c>
      <c r="M78" s="14">
        <v>10</v>
      </c>
      <c r="N78" s="14">
        <v>12286</v>
      </c>
      <c r="O78" s="14">
        <v>19903.32</v>
      </c>
      <c r="P78" s="14">
        <v>152</v>
      </c>
      <c r="Q78" s="14">
        <f t="shared" si="1"/>
        <v>130477.32</v>
      </c>
      <c r="R78" s="14">
        <v>130629.32</v>
      </c>
      <c r="S78" s="14" t="s">
        <v>83</v>
      </c>
      <c r="T78" s="14" t="s">
        <v>34</v>
      </c>
      <c r="U78" s="14" t="s">
        <v>95</v>
      </c>
      <c r="V78" s="14" t="s">
        <v>96</v>
      </c>
      <c r="W78" s="14" t="s">
        <v>57</v>
      </c>
      <c r="X78" s="14">
        <v>5</v>
      </c>
      <c r="Y78" s="14" t="s">
        <v>47</v>
      </c>
      <c r="Z78" s="14">
        <v>5</v>
      </c>
      <c r="AA78" s="14" t="s">
        <v>91</v>
      </c>
    </row>
    <row r="79" spans="1:27" x14ac:dyDescent="0.35">
      <c r="A79" s="14" t="s">
        <v>241</v>
      </c>
      <c r="B79" s="15">
        <v>45879</v>
      </c>
      <c r="C79" s="14" t="s">
        <v>242</v>
      </c>
      <c r="D79" s="14" t="s">
        <v>66</v>
      </c>
      <c r="E79" s="14" t="s">
        <v>29</v>
      </c>
      <c r="F79" s="14">
        <v>47</v>
      </c>
      <c r="G79" s="14" t="s">
        <v>44</v>
      </c>
      <c r="H79" s="14" t="s">
        <v>31</v>
      </c>
      <c r="I79" s="14" t="s">
        <v>44</v>
      </c>
      <c r="J79" s="14" t="s">
        <v>62</v>
      </c>
      <c r="K79" s="14">
        <v>3</v>
      </c>
      <c r="L79" s="14">
        <v>49144</v>
      </c>
      <c r="M79" s="14">
        <v>15</v>
      </c>
      <c r="N79" s="14">
        <v>22114.799999999999</v>
      </c>
      <c r="O79" s="14">
        <v>22557.1</v>
      </c>
      <c r="P79" s="14">
        <v>324</v>
      </c>
      <c r="Q79" s="14">
        <f t="shared" si="1"/>
        <v>147874.29999999999</v>
      </c>
      <c r="R79" s="14">
        <v>148198.29999999999</v>
      </c>
      <c r="S79" s="14" t="s">
        <v>45</v>
      </c>
      <c r="T79" s="14" t="s">
        <v>34</v>
      </c>
      <c r="U79" s="14" t="s">
        <v>103</v>
      </c>
      <c r="V79" s="14" t="s">
        <v>103</v>
      </c>
      <c r="W79" s="14" t="s">
        <v>57</v>
      </c>
      <c r="X79" s="14">
        <v>2</v>
      </c>
      <c r="Y79" s="14" t="s">
        <v>47</v>
      </c>
      <c r="Z79" s="14">
        <v>4</v>
      </c>
      <c r="AA79" s="14" t="s">
        <v>58</v>
      </c>
    </row>
    <row r="80" spans="1:27" x14ac:dyDescent="0.35">
      <c r="A80" s="14" t="s">
        <v>243</v>
      </c>
      <c r="B80" s="15">
        <v>45847</v>
      </c>
      <c r="C80" s="14" t="s">
        <v>244</v>
      </c>
      <c r="D80" s="14" t="s">
        <v>73</v>
      </c>
      <c r="E80" s="14" t="s">
        <v>29</v>
      </c>
      <c r="F80" s="14">
        <v>56</v>
      </c>
      <c r="G80" s="14" t="s">
        <v>74</v>
      </c>
      <c r="H80" s="14" t="s">
        <v>31</v>
      </c>
      <c r="I80" s="14" t="s">
        <v>74</v>
      </c>
      <c r="J80" s="14" t="s">
        <v>69</v>
      </c>
      <c r="K80" s="14">
        <v>3</v>
      </c>
      <c r="L80" s="14">
        <v>38503</v>
      </c>
      <c r="M80" s="14">
        <v>15</v>
      </c>
      <c r="N80" s="14">
        <v>17326.349999999999</v>
      </c>
      <c r="O80" s="14">
        <v>17672.88</v>
      </c>
      <c r="P80" s="14">
        <v>380</v>
      </c>
      <c r="Q80" s="14">
        <f t="shared" si="1"/>
        <v>115855.53</v>
      </c>
      <c r="R80" s="14">
        <v>116235.53</v>
      </c>
      <c r="S80" s="14" t="s">
        <v>33</v>
      </c>
      <c r="T80" s="14" t="s">
        <v>63</v>
      </c>
      <c r="U80" s="14" t="s">
        <v>76</v>
      </c>
      <c r="V80" s="14" t="s">
        <v>77</v>
      </c>
      <c r="W80" s="14" t="s">
        <v>57</v>
      </c>
      <c r="X80" s="14">
        <v>7</v>
      </c>
      <c r="Y80" s="14" t="s">
        <v>38</v>
      </c>
      <c r="Z80" s="14">
        <v>5</v>
      </c>
      <c r="AA80" s="14" t="s">
        <v>47</v>
      </c>
    </row>
    <row r="81" spans="1:27" x14ac:dyDescent="0.35">
      <c r="A81" s="14" t="s">
        <v>245</v>
      </c>
      <c r="B81" s="15">
        <v>45804</v>
      </c>
      <c r="C81" s="14" t="s">
        <v>246</v>
      </c>
      <c r="D81" s="14" t="s">
        <v>73</v>
      </c>
      <c r="E81" s="14" t="s">
        <v>29</v>
      </c>
      <c r="F81" s="14">
        <v>28</v>
      </c>
      <c r="G81" s="14" t="s">
        <v>90</v>
      </c>
      <c r="H81" s="14" t="s">
        <v>31</v>
      </c>
      <c r="I81" s="14" t="s">
        <v>90</v>
      </c>
      <c r="J81" s="14" t="s">
        <v>125</v>
      </c>
      <c r="K81" s="14">
        <v>5</v>
      </c>
      <c r="L81" s="14">
        <v>39230</v>
      </c>
      <c r="M81" s="14">
        <v>20</v>
      </c>
      <c r="N81" s="14">
        <v>39230</v>
      </c>
      <c r="O81" s="14">
        <v>28245.599999999999</v>
      </c>
      <c r="P81" s="14">
        <v>225</v>
      </c>
      <c r="Q81" s="14">
        <f t="shared" si="1"/>
        <v>185165.6</v>
      </c>
      <c r="R81" s="14">
        <v>185390.6</v>
      </c>
      <c r="S81" s="14" t="s">
        <v>83</v>
      </c>
      <c r="T81" s="14" t="s">
        <v>34</v>
      </c>
      <c r="U81" s="14" t="s">
        <v>55</v>
      </c>
      <c r="V81" s="14" t="s">
        <v>56</v>
      </c>
      <c r="W81" s="14" t="s">
        <v>57</v>
      </c>
      <c r="X81" s="14">
        <v>4</v>
      </c>
      <c r="Y81" s="14" t="s">
        <v>47</v>
      </c>
      <c r="Z81" s="14">
        <v>2</v>
      </c>
      <c r="AA81" s="14" t="s">
        <v>91</v>
      </c>
    </row>
    <row r="82" spans="1:27" x14ac:dyDescent="0.35">
      <c r="A82" s="14" t="s">
        <v>247</v>
      </c>
      <c r="B82" s="15">
        <v>45965</v>
      </c>
      <c r="C82" s="14" t="s">
        <v>248</v>
      </c>
      <c r="D82" s="14" t="s">
        <v>61</v>
      </c>
      <c r="E82" s="14" t="s">
        <v>29</v>
      </c>
      <c r="F82" s="14">
        <v>43</v>
      </c>
      <c r="G82" s="14" t="s">
        <v>99</v>
      </c>
      <c r="H82" s="14" t="s">
        <v>52</v>
      </c>
      <c r="I82" s="14" t="s">
        <v>99</v>
      </c>
      <c r="J82" s="14" t="s">
        <v>62</v>
      </c>
      <c r="K82" s="14">
        <v>5</v>
      </c>
      <c r="L82" s="14">
        <v>2002</v>
      </c>
      <c r="M82" s="14">
        <v>5</v>
      </c>
      <c r="N82" s="14">
        <v>500.5</v>
      </c>
      <c r="O82" s="14">
        <v>1711.71</v>
      </c>
      <c r="P82" s="14">
        <v>358</v>
      </c>
      <c r="Q82" s="14">
        <f t="shared" si="1"/>
        <v>11221.21</v>
      </c>
      <c r="R82" s="14">
        <v>11579.21</v>
      </c>
      <c r="S82" s="14" t="s">
        <v>54</v>
      </c>
      <c r="T82" s="14" t="s">
        <v>34</v>
      </c>
      <c r="U82" s="14" t="s">
        <v>35</v>
      </c>
      <c r="V82" s="14" t="s">
        <v>36</v>
      </c>
      <c r="W82" s="14" t="s">
        <v>37</v>
      </c>
      <c r="X82" s="14">
        <v>3</v>
      </c>
      <c r="Y82" s="14" t="s">
        <v>38</v>
      </c>
      <c r="Z82" s="14">
        <v>4</v>
      </c>
      <c r="AA82" s="14" t="s">
        <v>58</v>
      </c>
    </row>
    <row r="83" spans="1:27" x14ac:dyDescent="0.35">
      <c r="A83" s="14" t="s">
        <v>249</v>
      </c>
      <c r="B83" s="15">
        <v>45886</v>
      </c>
      <c r="C83" s="14" t="s">
        <v>250</v>
      </c>
      <c r="D83" s="14" t="s">
        <v>111</v>
      </c>
      <c r="E83" s="14" t="s">
        <v>43</v>
      </c>
      <c r="F83" s="14">
        <v>19</v>
      </c>
      <c r="G83" s="14" t="s">
        <v>44</v>
      </c>
      <c r="H83" s="14" t="s">
        <v>31</v>
      </c>
      <c r="I83" s="14" t="s">
        <v>44</v>
      </c>
      <c r="J83" s="14" t="s">
        <v>202</v>
      </c>
      <c r="K83" s="14">
        <v>2</v>
      </c>
      <c r="L83" s="14">
        <v>44220</v>
      </c>
      <c r="M83" s="14">
        <v>15</v>
      </c>
      <c r="N83" s="14">
        <v>13266</v>
      </c>
      <c r="O83" s="14">
        <v>13531.32</v>
      </c>
      <c r="P83" s="14">
        <v>258</v>
      </c>
      <c r="Q83" s="14">
        <f t="shared" si="1"/>
        <v>88705.32</v>
      </c>
      <c r="R83" s="14">
        <v>88963.32</v>
      </c>
      <c r="S83" s="14" t="s">
        <v>54</v>
      </c>
      <c r="T83" s="14" t="s">
        <v>63</v>
      </c>
      <c r="U83" s="14" t="s">
        <v>46</v>
      </c>
      <c r="V83" s="14" t="s">
        <v>36</v>
      </c>
      <c r="W83" s="14" t="s">
        <v>37</v>
      </c>
      <c r="X83" s="14">
        <v>7</v>
      </c>
      <c r="Y83" s="14" t="s">
        <v>47</v>
      </c>
      <c r="Z83" s="14">
        <v>2</v>
      </c>
      <c r="AA83" s="14" t="s">
        <v>47</v>
      </c>
    </row>
    <row r="84" spans="1:27" x14ac:dyDescent="0.35">
      <c r="A84" s="14" t="s">
        <v>251</v>
      </c>
      <c r="B84" s="15">
        <v>45857</v>
      </c>
      <c r="C84" s="14" t="s">
        <v>252</v>
      </c>
      <c r="D84" s="14" t="s">
        <v>89</v>
      </c>
      <c r="E84" s="14" t="s">
        <v>29</v>
      </c>
      <c r="F84" s="14">
        <v>39</v>
      </c>
      <c r="G84" s="14" t="s">
        <v>90</v>
      </c>
      <c r="H84" s="14" t="s">
        <v>31</v>
      </c>
      <c r="I84" s="14" t="s">
        <v>90</v>
      </c>
      <c r="J84" s="14" t="s">
        <v>150</v>
      </c>
      <c r="K84" s="14">
        <v>1</v>
      </c>
      <c r="L84" s="14">
        <v>41458</v>
      </c>
      <c r="M84" s="14">
        <v>10</v>
      </c>
      <c r="N84" s="14">
        <v>4145.8</v>
      </c>
      <c r="O84" s="14">
        <v>6716.2</v>
      </c>
      <c r="P84" s="14">
        <v>255</v>
      </c>
      <c r="Q84" s="14">
        <f t="shared" si="1"/>
        <v>44028.4</v>
      </c>
      <c r="R84" s="14">
        <v>44283.4</v>
      </c>
      <c r="S84" s="14" t="s">
        <v>54</v>
      </c>
      <c r="T84" s="14" t="s">
        <v>34</v>
      </c>
      <c r="U84" s="14" t="s">
        <v>84</v>
      </c>
      <c r="V84" s="14" t="s">
        <v>85</v>
      </c>
      <c r="W84" s="14" t="s">
        <v>86</v>
      </c>
      <c r="X84" s="14">
        <v>9</v>
      </c>
      <c r="Y84" s="14" t="s">
        <v>47</v>
      </c>
      <c r="Z84" s="14">
        <v>2</v>
      </c>
      <c r="AA84" s="14" t="s">
        <v>47</v>
      </c>
    </row>
    <row r="85" spans="1:27" x14ac:dyDescent="0.35">
      <c r="A85" s="14" t="s">
        <v>253</v>
      </c>
      <c r="B85" s="15">
        <v>46114</v>
      </c>
      <c r="C85" s="14" t="s">
        <v>254</v>
      </c>
      <c r="D85" s="14" t="s">
        <v>28</v>
      </c>
      <c r="E85" s="14" t="s">
        <v>43</v>
      </c>
      <c r="F85" s="14">
        <v>28</v>
      </c>
      <c r="G85" s="14" t="s">
        <v>134</v>
      </c>
      <c r="H85" s="14" t="s">
        <v>31</v>
      </c>
      <c r="I85" s="14" t="s">
        <v>134</v>
      </c>
      <c r="J85" s="14" t="s">
        <v>102</v>
      </c>
      <c r="K85" s="14">
        <v>4</v>
      </c>
      <c r="L85" s="14">
        <v>15002</v>
      </c>
      <c r="M85" s="14">
        <v>20</v>
      </c>
      <c r="N85" s="14">
        <v>12001.6</v>
      </c>
      <c r="O85" s="14">
        <v>8641.15</v>
      </c>
      <c r="P85" s="14">
        <v>259</v>
      </c>
      <c r="Q85" s="14">
        <f t="shared" si="1"/>
        <v>56647.55</v>
      </c>
      <c r="R85" s="14">
        <v>56906.55</v>
      </c>
      <c r="S85" s="14" t="s">
        <v>33</v>
      </c>
      <c r="T85" s="14" t="s">
        <v>63</v>
      </c>
      <c r="U85" s="14" t="s">
        <v>84</v>
      </c>
      <c r="V85" s="14" t="s">
        <v>85</v>
      </c>
      <c r="W85" s="14" t="s">
        <v>86</v>
      </c>
      <c r="X85" s="14">
        <v>1</v>
      </c>
      <c r="Y85" s="14" t="s">
        <v>38</v>
      </c>
      <c r="Z85" s="14">
        <v>3</v>
      </c>
      <c r="AA85" s="14" t="s">
        <v>91</v>
      </c>
    </row>
    <row r="86" spans="1:27" x14ac:dyDescent="0.35">
      <c r="A86" s="14" t="s">
        <v>255</v>
      </c>
      <c r="B86" s="15">
        <v>45908</v>
      </c>
      <c r="C86" s="14" t="s">
        <v>256</v>
      </c>
      <c r="D86" s="14" t="s">
        <v>89</v>
      </c>
      <c r="E86" s="14" t="s">
        <v>43</v>
      </c>
      <c r="F86" s="14">
        <v>29</v>
      </c>
      <c r="G86" s="14" t="s">
        <v>90</v>
      </c>
      <c r="H86" s="14" t="s">
        <v>31</v>
      </c>
      <c r="I86" s="14" t="s">
        <v>90</v>
      </c>
      <c r="J86" s="14" t="s">
        <v>32</v>
      </c>
      <c r="K86" s="14">
        <v>3</v>
      </c>
      <c r="L86" s="14">
        <v>27664</v>
      </c>
      <c r="M86" s="14">
        <v>10</v>
      </c>
      <c r="N86" s="14">
        <v>8299.2000000000007</v>
      </c>
      <c r="O86" s="14">
        <v>13444.7</v>
      </c>
      <c r="P86" s="14">
        <v>52</v>
      </c>
      <c r="Q86" s="14">
        <f t="shared" si="1"/>
        <v>88137.5</v>
      </c>
      <c r="R86" s="14">
        <v>88189.5</v>
      </c>
      <c r="S86" s="14" t="s">
        <v>54</v>
      </c>
      <c r="T86" s="14" t="s">
        <v>34</v>
      </c>
      <c r="U86" s="14" t="s">
        <v>55</v>
      </c>
      <c r="V86" s="14" t="s">
        <v>56</v>
      </c>
      <c r="W86" s="14" t="s">
        <v>57</v>
      </c>
      <c r="X86" s="14">
        <v>4</v>
      </c>
      <c r="Y86" s="14" t="s">
        <v>47</v>
      </c>
      <c r="Z86" s="14">
        <v>3</v>
      </c>
      <c r="AA86" s="14" t="s">
        <v>58</v>
      </c>
    </row>
    <row r="87" spans="1:27" x14ac:dyDescent="0.35">
      <c r="A87" s="14" t="s">
        <v>257</v>
      </c>
      <c r="B87" s="15">
        <v>45809</v>
      </c>
      <c r="C87" s="14" t="s">
        <v>258</v>
      </c>
      <c r="D87" s="14" t="s">
        <v>28</v>
      </c>
      <c r="E87" s="14" t="s">
        <v>29</v>
      </c>
      <c r="F87" s="14">
        <v>23</v>
      </c>
      <c r="G87" s="14" t="s">
        <v>74</v>
      </c>
      <c r="H87" s="14" t="s">
        <v>31</v>
      </c>
      <c r="I87" s="14" t="s">
        <v>74</v>
      </c>
      <c r="J87" s="14" t="s">
        <v>53</v>
      </c>
      <c r="K87" s="14">
        <v>1</v>
      </c>
      <c r="L87" s="14">
        <v>23710</v>
      </c>
      <c r="M87" s="14">
        <v>5</v>
      </c>
      <c r="N87" s="14">
        <v>1185.5</v>
      </c>
      <c r="O87" s="14">
        <v>4054.41</v>
      </c>
      <c r="P87" s="14">
        <v>33</v>
      </c>
      <c r="Q87" s="14">
        <f t="shared" si="1"/>
        <v>26578.91</v>
      </c>
      <c r="R87" s="14">
        <v>26611.91</v>
      </c>
      <c r="S87" s="14" t="s">
        <v>83</v>
      </c>
      <c r="T87" s="14" t="s">
        <v>63</v>
      </c>
      <c r="U87" s="14" t="s">
        <v>46</v>
      </c>
      <c r="V87" s="14" t="s">
        <v>36</v>
      </c>
      <c r="W87" s="14" t="s">
        <v>37</v>
      </c>
      <c r="X87" s="14">
        <v>1</v>
      </c>
      <c r="Y87" s="14" t="s">
        <v>38</v>
      </c>
      <c r="Z87" s="14">
        <v>1</v>
      </c>
      <c r="AA87" s="14" t="s">
        <v>58</v>
      </c>
    </row>
    <row r="88" spans="1:27" x14ac:dyDescent="0.35">
      <c r="A88" s="14" t="s">
        <v>259</v>
      </c>
      <c r="B88" s="15">
        <v>45761</v>
      </c>
      <c r="C88" s="14" t="s">
        <v>260</v>
      </c>
      <c r="D88" s="14" t="s">
        <v>61</v>
      </c>
      <c r="E88" s="14" t="s">
        <v>29</v>
      </c>
      <c r="F88" s="14">
        <v>50</v>
      </c>
      <c r="G88" s="14" t="s">
        <v>134</v>
      </c>
      <c r="H88" s="14" t="s">
        <v>31</v>
      </c>
      <c r="I88" s="14" t="s">
        <v>134</v>
      </c>
      <c r="J88" s="14" t="s">
        <v>62</v>
      </c>
      <c r="K88" s="14">
        <v>5</v>
      </c>
      <c r="L88" s="14">
        <v>2722</v>
      </c>
      <c r="M88" s="14">
        <v>5</v>
      </c>
      <c r="N88" s="14">
        <v>680.5</v>
      </c>
      <c r="O88" s="14">
        <v>2327.31</v>
      </c>
      <c r="P88" s="14">
        <v>444</v>
      </c>
      <c r="Q88" s="14">
        <f t="shared" si="1"/>
        <v>15256.81</v>
      </c>
      <c r="R88" s="14">
        <v>15700.81</v>
      </c>
      <c r="S88" s="14" t="s">
        <v>45</v>
      </c>
      <c r="T88" s="14" t="s">
        <v>34</v>
      </c>
      <c r="U88" s="14" t="s">
        <v>46</v>
      </c>
      <c r="V88" s="14" t="s">
        <v>36</v>
      </c>
      <c r="W88" s="14" t="s">
        <v>37</v>
      </c>
      <c r="X88" s="14">
        <v>3</v>
      </c>
      <c r="Y88" s="14" t="s">
        <v>47</v>
      </c>
      <c r="Z88" s="14">
        <v>1</v>
      </c>
      <c r="AA88" s="14" t="s">
        <v>58</v>
      </c>
    </row>
    <row r="89" spans="1:27" x14ac:dyDescent="0.35">
      <c r="A89" s="14" t="s">
        <v>261</v>
      </c>
      <c r="B89" s="15">
        <v>46061</v>
      </c>
      <c r="C89" s="14" t="s">
        <v>246</v>
      </c>
      <c r="D89" s="14" t="s">
        <v>66</v>
      </c>
      <c r="E89" s="14" t="s">
        <v>43</v>
      </c>
      <c r="F89" s="14">
        <v>53</v>
      </c>
      <c r="G89" s="14" t="s">
        <v>74</v>
      </c>
      <c r="H89" s="14" t="s">
        <v>31</v>
      </c>
      <c r="I89" s="14" t="s">
        <v>74</v>
      </c>
      <c r="J89" s="14" t="s">
        <v>125</v>
      </c>
      <c r="K89" s="14">
        <v>3</v>
      </c>
      <c r="L89" s="14">
        <v>26078</v>
      </c>
      <c r="M89" s="14">
        <v>10</v>
      </c>
      <c r="N89" s="14">
        <v>7823.4</v>
      </c>
      <c r="O89" s="14">
        <v>12673.91</v>
      </c>
      <c r="P89" s="14">
        <v>236</v>
      </c>
      <c r="Q89" s="14">
        <f t="shared" si="1"/>
        <v>83084.509999999995</v>
      </c>
      <c r="R89" s="14">
        <v>83320.509999999995</v>
      </c>
      <c r="S89" s="14" t="s">
        <v>45</v>
      </c>
      <c r="T89" s="14" t="s">
        <v>34</v>
      </c>
      <c r="U89" s="14" t="s">
        <v>46</v>
      </c>
      <c r="V89" s="14" t="s">
        <v>36</v>
      </c>
      <c r="W89" s="14" t="s">
        <v>37</v>
      </c>
      <c r="X89" s="14">
        <v>5</v>
      </c>
      <c r="Y89" s="14" t="s">
        <v>47</v>
      </c>
      <c r="Z89" s="14">
        <v>5</v>
      </c>
      <c r="AA89" s="14" t="s">
        <v>58</v>
      </c>
    </row>
    <row r="90" spans="1:27" x14ac:dyDescent="0.35">
      <c r="A90" s="14" t="s">
        <v>262</v>
      </c>
      <c r="B90" s="15">
        <v>46053</v>
      </c>
      <c r="C90" s="14" t="s">
        <v>263</v>
      </c>
      <c r="D90" s="14" t="s">
        <v>61</v>
      </c>
      <c r="E90" s="14" t="s">
        <v>29</v>
      </c>
      <c r="F90" s="14">
        <v>56</v>
      </c>
      <c r="G90" s="14" t="s">
        <v>30</v>
      </c>
      <c r="H90" s="14" t="s">
        <v>31</v>
      </c>
      <c r="I90" s="14" t="s">
        <v>30</v>
      </c>
      <c r="J90" s="14" t="s">
        <v>75</v>
      </c>
      <c r="K90" s="14">
        <v>3</v>
      </c>
      <c r="L90" s="14">
        <v>15789</v>
      </c>
      <c r="M90" s="14">
        <v>15</v>
      </c>
      <c r="N90" s="14">
        <v>7105.05</v>
      </c>
      <c r="O90" s="14">
        <v>7247.15</v>
      </c>
      <c r="P90" s="14">
        <v>301</v>
      </c>
      <c r="Q90" s="14">
        <f t="shared" si="1"/>
        <v>47509.1</v>
      </c>
      <c r="R90" s="14">
        <v>47810.1</v>
      </c>
      <c r="S90" s="14" t="s">
        <v>83</v>
      </c>
      <c r="T90" s="14" t="s">
        <v>34</v>
      </c>
      <c r="U90" s="14" t="s">
        <v>103</v>
      </c>
      <c r="V90" s="14" t="s">
        <v>103</v>
      </c>
      <c r="W90" s="14" t="s">
        <v>57</v>
      </c>
      <c r="X90" s="14">
        <v>4</v>
      </c>
      <c r="Y90" s="14" t="s">
        <v>38</v>
      </c>
      <c r="Z90" s="14">
        <v>3</v>
      </c>
      <c r="AA90" s="14" t="s">
        <v>47</v>
      </c>
    </row>
    <row r="91" spans="1:27" x14ac:dyDescent="0.35">
      <c r="A91" s="14" t="s">
        <v>264</v>
      </c>
      <c r="B91" s="15">
        <v>45968</v>
      </c>
      <c r="C91" s="14" t="s">
        <v>265</v>
      </c>
      <c r="D91" s="14" t="s">
        <v>28</v>
      </c>
      <c r="E91" s="14" t="s">
        <v>29</v>
      </c>
      <c r="F91" s="14">
        <v>32</v>
      </c>
      <c r="G91" s="14" t="s">
        <v>139</v>
      </c>
      <c r="H91" s="14" t="s">
        <v>31</v>
      </c>
      <c r="I91" s="14" t="s">
        <v>139</v>
      </c>
      <c r="J91" s="14" t="s">
        <v>125</v>
      </c>
      <c r="K91" s="14">
        <v>2</v>
      </c>
      <c r="L91" s="14">
        <v>23965</v>
      </c>
      <c r="M91" s="14">
        <v>20</v>
      </c>
      <c r="N91" s="14">
        <v>9586</v>
      </c>
      <c r="O91" s="14">
        <v>6901.92</v>
      </c>
      <c r="P91" s="14">
        <v>167</v>
      </c>
      <c r="Q91" s="14">
        <f t="shared" si="1"/>
        <v>45245.919999999998</v>
      </c>
      <c r="R91" s="14">
        <v>45412.92</v>
      </c>
      <c r="S91" s="14" t="s">
        <v>83</v>
      </c>
      <c r="T91" s="14" t="s">
        <v>63</v>
      </c>
      <c r="U91" s="14" t="s">
        <v>76</v>
      </c>
      <c r="V91" s="14" t="s">
        <v>77</v>
      </c>
      <c r="W91" s="14" t="s">
        <v>57</v>
      </c>
      <c r="X91" s="14">
        <v>1</v>
      </c>
      <c r="Y91" s="14" t="s">
        <v>47</v>
      </c>
      <c r="Z91" s="14">
        <v>1</v>
      </c>
      <c r="AA91" s="14" t="s">
        <v>47</v>
      </c>
    </row>
    <row r="92" spans="1:27" x14ac:dyDescent="0.35">
      <c r="A92" s="14" t="s">
        <v>266</v>
      </c>
      <c r="B92" s="15">
        <v>45897</v>
      </c>
      <c r="C92" s="14" t="s">
        <v>267</v>
      </c>
      <c r="D92" s="14" t="s">
        <v>73</v>
      </c>
      <c r="E92" s="14" t="s">
        <v>43</v>
      </c>
      <c r="F92" s="14">
        <v>34</v>
      </c>
      <c r="G92" s="14" t="s">
        <v>99</v>
      </c>
      <c r="H92" s="14" t="s">
        <v>52</v>
      </c>
      <c r="I92" s="14" t="s">
        <v>99</v>
      </c>
      <c r="J92" s="14" t="s">
        <v>69</v>
      </c>
      <c r="K92" s="14">
        <v>1</v>
      </c>
      <c r="L92" s="14">
        <v>29036</v>
      </c>
      <c r="M92" s="14">
        <v>10</v>
      </c>
      <c r="N92" s="14">
        <v>2903.6</v>
      </c>
      <c r="O92" s="14">
        <v>4703.83</v>
      </c>
      <c r="P92" s="14">
        <v>336</v>
      </c>
      <c r="Q92" s="14">
        <f t="shared" si="1"/>
        <v>30836.23</v>
      </c>
      <c r="R92" s="14">
        <v>31172.23</v>
      </c>
      <c r="S92" s="14" t="s">
        <v>45</v>
      </c>
      <c r="T92" s="14" t="s">
        <v>63</v>
      </c>
      <c r="U92" s="14" t="s">
        <v>103</v>
      </c>
      <c r="V92" s="14" t="s">
        <v>103</v>
      </c>
      <c r="W92" s="14" t="s">
        <v>57</v>
      </c>
      <c r="X92" s="14">
        <v>7</v>
      </c>
      <c r="Y92" s="14" t="s">
        <v>47</v>
      </c>
      <c r="Z92" s="14">
        <v>2</v>
      </c>
      <c r="AA92" s="14" t="s">
        <v>39</v>
      </c>
    </row>
    <row r="93" spans="1:27" x14ac:dyDescent="0.35">
      <c r="A93" s="14" t="s">
        <v>268</v>
      </c>
      <c r="B93" s="15">
        <v>45867</v>
      </c>
      <c r="C93" s="14" t="s">
        <v>269</v>
      </c>
      <c r="D93" s="14" t="s">
        <v>66</v>
      </c>
      <c r="E93" s="14" t="s">
        <v>29</v>
      </c>
      <c r="F93" s="14">
        <v>55</v>
      </c>
      <c r="G93" s="14" t="s">
        <v>90</v>
      </c>
      <c r="H93" s="14" t="s">
        <v>31</v>
      </c>
      <c r="I93" s="14" t="s">
        <v>90</v>
      </c>
      <c r="J93" s="14" t="s">
        <v>202</v>
      </c>
      <c r="K93" s="14">
        <v>4</v>
      </c>
      <c r="L93" s="14">
        <v>24259</v>
      </c>
      <c r="M93" s="14">
        <v>20</v>
      </c>
      <c r="N93" s="14">
        <v>19407.2</v>
      </c>
      <c r="O93" s="14">
        <v>13973.18</v>
      </c>
      <c r="P93" s="14">
        <v>445</v>
      </c>
      <c r="Q93" s="14">
        <f t="shared" si="1"/>
        <v>91601.98</v>
      </c>
      <c r="R93" s="14">
        <v>92046.98</v>
      </c>
      <c r="S93" s="14" t="s">
        <v>45</v>
      </c>
      <c r="T93" s="14" t="s">
        <v>63</v>
      </c>
      <c r="U93" s="14" t="s">
        <v>46</v>
      </c>
      <c r="V93" s="14" t="s">
        <v>36</v>
      </c>
      <c r="W93" s="14" t="s">
        <v>37</v>
      </c>
      <c r="X93" s="14">
        <v>1</v>
      </c>
      <c r="Y93" s="14" t="s">
        <v>38</v>
      </c>
      <c r="Z93" s="14">
        <v>5</v>
      </c>
      <c r="AA93" s="14" t="s">
        <v>91</v>
      </c>
    </row>
    <row r="94" spans="1:27" x14ac:dyDescent="0.35">
      <c r="A94" s="14" t="s">
        <v>270</v>
      </c>
      <c r="B94" s="15">
        <v>45865</v>
      </c>
      <c r="C94" s="14" t="s">
        <v>271</v>
      </c>
      <c r="D94" s="14" t="s">
        <v>28</v>
      </c>
      <c r="E94" s="14" t="s">
        <v>43</v>
      </c>
      <c r="F94" s="14">
        <v>55</v>
      </c>
      <c r="G94" s="14" t="s">
        <v>30</v>
      </c>
      <c r="H94" s="14" t="s">
        <v>31</v>
      </c>
      <c r="I94" s="14" t="s">
        <v>30</v>
      </c>
      <c r="J94" s="14" t="s">
        <v>53</v>
      </c>
      <c r="K94" s="14">
        <v>4</v>
      </c>
      <c r="L94" s="14">
        <v>27999</v>
      </c>
      <c r="M94" s="14">
        <v>0</v>
      </c>
      <c r="N94" s="14">
        <v>0</v>
      </c>
      <c r="O94" s="14">
        <v>20159.28</v>
      </c>
      <c r="P94" s="14">
        <v>169</v>
      </c>
      <c r="Q94" s="14">
        <f t="shared" si="1"/>
        <v>132155.28</v>
      </c>
      <c r="R94" s="14">
        <v>132324.28</v>
      </c>
      <c r="S94" s="14" t="s">
        <v>33</v>
      </c>
      <c r="T94" s="14" t="s">
        <v>63</v>
      </c>
      <c r="U94" s="14" t="s">
        <v>84</v>
      </c>
      <c r="V94" s="14" t="s">
        <v>85</v>
      </c>
      <c r="W94" s="14" t="s">
        <v>86</v>
      </c>
      <c r="X94" s="14">
        <v>8</v>
      </c>
      <c r="Y94" s="14" t="s">
        <v>47</v>
      </c>
      <c r="Z94" s="14">
        <v>2</v>
      </c>
      <c r="AA94" s="14" t="s">
        <v>91</v>
      </c>
    </row>
    <row r="95" spans="1:27" x14ac:dyDescent="0.35">
      <c r="A95" s="14" t="s">
        <v>272</v>
      </c>
      <c r="B95" s="15">
        <v>45865</v>
      </c>
      <c r="C95" s="14" t="s">
        <v>107</v>
      </c>
      <c r="D95" s="14" t="s">
        <v>66</v>
      </c>
      <c r="E95" s="14" t="s">
        <v>29</v>
      </c>
      <c r="F95" s="14">
        <v>54</v>
      </c>
      <c r="G95" s="14" t="s">
        <v>134</v>
      </c>
      <c r="H95" s="14" t="s">
        <v>31</v>
      </c>
      <c r="I95" s="14" t="s">
        <v>134</v>
      </c>
      <c r="J95" s="14" t="s">
        <v>32</v>
      </c>
      <c r="K95" s="14">
        <v>5</v>
      </c>
      <c r="L95" s="14">
        <v>44136</v>
      </c>
      <c r="M95" s="14">
        <v>10</v>
      </c>
      <c r="N95" s="14">
        <v>22068</v>
      </c>
      <c r="O95" s="14">
        <v>35750.160000000003</v>
      </c>
      <c r="P95" s="14">
        <v>127</v>
      </c>
      <c r="Q95" s="14">
        <f t="shared" si="1"/>
        <v>234362.16</v>
      </c>
      <c r="R95" s="14">
        <v>234489.16</v>
      </c>
      <c r="S95" s="14" t="s">
        <v>45</v>
      </c>
      <c r="T95" s="14" t="s">
        <v>34</v>
      </c>
      <c r="U95" s="14" t="s">
        <v>46</v>
      </c>
      <c r="V95" s="14" t="s">
        <v>36</v>
      </c>
      <c r="W95" s="14" t="s">
        <v>37</v>
      </c>
      <c r="X95" s="14">
        <v>8</v>
      </c>
      <c r="Y95" s="14" t="s">
        <v>38</v>
      </c>
      <c r="Z95" s="14">
        <v>5</v>
      </c>
      <c r="AA95" s="14" t="s">
        <v>47</v>
      </c>
    </row>
    <row r="96" spans="1:27" x14ac:dyDescent="0.35">
      <c r="A96" s="14" t="s">
        <v>273</v>
      </c>
      <c r="B96" s="15">
        <v>46031</v>
      </c>
      <c r="C96" s="14" t="s">
        <v>274</v>
      </c>
      <c r="D96" s="14" t="s">
        <v>111</v>
      </c>
      <c r="E96" s="14" t="s">
        <v>43</v>
      </c>
      <c r="F96" s="14">
        <v>55</v>
      </c>
      <c r="G96" s="14" t="s">
        <v>90</v>
      </c>
      <c r="H96" s="14" t="s">
        <v>31</v>
      </c>
      <c r="I96" s="14" t="s">
        <v>90</v>
      </c>
      <c r="J96" s="14" t="s">
        <v>53</v>
      </c>
      <c r="K96" s="14">
        <v>5</v>
      </c>
      <c r="L96" s="14">
        <v>34596</v>
      </c>
      <c r="M96" s="14">
        <v>15</v>
      </c>
      <c r="N96" s="14">
        <v>25947</v>
      </c>
      <c r="O96" s="14">
        <v>26465.94</v>
      </c>
      <c r="P96" s="14">
        <v>316</v>
      </c>
      <c r="Q96" s="14">
        <f t="shared" si="1"/>
        <v>173498.94</v>
      </c>
      <c r="R96" s="14">
        <v>173814.94</v>
      </c>
      <c r="S96" s="14" t="s">
        <v>54</v>
      </c>
      <c r="T96" s="14" t="s">
        <v>63</v>
      </c>
      <c r="U96" s="14" t="s">
        <v>35</v>
      </c>
      <c r="V96" s="14" t="s">
        <v>36</v>
      </c>
      <c r="W96" s="14" t="s">
        <v>37</v>
      </c>
      <c r="X96" s="14">
        <v>7</v>
      </c>
      <c r="Y96" s="14" t="s">
        <v>38</v>
      </c>
      <c r="Z96" s="14">
        <v>1</v>
      </c>
      <c r="AA96" s="14" t="s">
        <v>47</v>
      </c>
    </row>
    <row r="97" spans="1:27" x14ac:dyDescent="0.35">
      <c r="A97" s="14" t="s">
        <v>275</v>
      </c>
      <c r="B97" s="15">
        <v>45762</v>
      </c>
      <c r="C97" s="14" t="s">
        <v>276</v>
      </c>
      <c r="D97" s="14" t="s">
        <v>80</v>
      </c>
      <c r="E97" s="14" t="s">
        <v>29</v>
      </c>
      <c r="F97" s="14">
        <v>51</v>
      </c>
      <c r="G97" s="14" t="s">
        <v>90</v>
      </c>
      <c r="H97" s="14" t="s">
        <v>31</v>
      </c>
      <c r="I97" s="14" t="s">
        <v>90</v>
      </c>
      <c r="J97" s="14" t="s">
        <v>62</v>
      </c>
      <c r="K97" s="14">
        <v>1</v>
      </c>
      <c r="L97" s="14">
        <v>30323</v>
      </c>
      <c r="M97" s="14">
        <v>15</v>
      </c>
      <c r="N97" s="14">
        <v>4548.45</v>
      </c>
      <c r="O97" s="14">
        <v>4639.42</v>
      </c>
      <c r="P97" s="14">
        <v>45</v>
      </c>
      <c r="Q97" s="14">
        <f t="shared" si="1"/>
        <v>30413.97</v>
      </c>
      <c r="R97" s="14">
        <v>30458.97</v>
      </c>
      <c r="S97" s="14" t="s">
        <v>83</v>
      </c>
      <c r="T97" s="14" t="s">
        <v>63</v>
      </c>
      <c r="U97" s="14" t="s">
        <v>46</v>
      </c>
      <c r="V97" s="14" t="s">
        <v>36</v>
      </c>
      <c r="W97" s="14" t="s">
        <v>37</v>
      </c>
      <c r="X97" s="14">
        <v>1</v>
      </c>
      <c r="Y97" s="14" t="s">
        <v>47</v>
      </c>
      <c r="Z97" s="14">
        <v>4</v>
      </c>
      <c r="AA97" s="14" t="s">
        <v>58</v>
      </c>
    </row>
    <row r="98" spans="1:27" x14ac:dyDescent="0.35">
      <c r="A98" s="14" t="s">
        <v>277</v>
      </c>
      <c r="B98" s="15">
        <v>46001</v>
      </c>
      <c r="C98" s="14" t="s">
        <v>278</v>
      </c>
      <c r="D98" s="14" t="s">
        <v>66</v>
      </c>
      <c r="E98" s="14" t="s">
        <v>29</v>
      </c>
      <c r="F98" s="14">
        <v>27</v>
      </c>
      <c r="G98" s="14" t="s">
        <v>139</v>
      </c>
      <c r="H98" s="14" t="s">
        <v>31</v>
      </c>
      <c r="I98" s="14" t="s">
        <v>139</v>
      </c>
      <c r="J98" s="14" t="s">
        <v>102</v>
      </c>
      <c r="K98" s="14">
        <v>4</v>
      </c>
      <c r="L98" s="14">
        <v>14331</v>
      </c>
      <c r="M98" s="14">
        <v>0</v>
      </c>
      <c r="N98" s="14">
        <v>0</v>
      </c>
      <c r="O98" s="14">
        <v>10318.32</v>
      </c>
      <c r="P98" s="14">
        <v>41</v>
      </c>
      <c r="Q98" s="14">
        <f t="shared" si="1"/>
        <v>67642.320000000007</v>
      </c>
      <c r="R98" s="14">
        <v>67683.320000000007</v>
      </c>
      <c r="S98" s="14" t="s">
        <v>83</v>
      </c>
      <c r="T98" s="14" t="s">
        <v>34</v>
      </c>
      <c r="U98" s="14" t="s">
        <v>95</v>
      </c>
      <c r="V98" s="14" t="s">
        <v>96</v>
      </c>
      <c r="W98" s="14" t="s">
        <v>57</v>
      </c>
      <c r="X98" s="14">
        <v>1</v>
      </c>
      <c r="Y98" s="14" t="s">
        <v>47</v>
      </c>
      <c r="Z98" s="14">
        <v>4</v>
      </c>
      <c r="AA98" s="14" t="s">
        <v>39</v>
      </c>
    </row>
    <row r="99" spans="1:27" x14ac:dyDescent="0.35">
      <c r="A99" s="14" t="s">
        <v>279</v>
      </c>
      <c r="B99" s="15">
        <v>45812</v>
      </c>
      <c r="C99" s="14" t="s">
        <v>280</v>
      </c>
      <c r="D99" s="14" t="s">
        <v>50</v>
      </c>
      <c r="E99" s="14" t="s">
        <v>29</v>
      </c>
      <c r="F99" s="14">
        <v>24</v>
      </c>
      <c r="G99" s="14" t="s">
        <v>51</v>
      </c>
      <c r="H99" s="14" t="s">
        <v>52</v>
      </c>
      <c r="I99" s="14" t="s">
        <v>51</v>
      </c>
      <c r="J99" s="14" t="s">
        <v>125</v>
      </c>
      <c r="K99" s="14">
        <v>3</v>
      </c>
      <c r="L99" s="14">
        <v>3679</v>
      </c>
      <c r="M99" s="14">
        <v>10</v>
      </c>
      <c r="N99" s="14">
        <v>1103.7</v>
      </c>
      <c r="O99" s="14">
        <v>1787.99</v>
      </c>
      <c r="P99" s="14">
        <v>262</v>
      </c>
      <c r="Q99" s="14">
        <f t="shared" si="1"/>
        <v>11721.29</v>
      </c>
      <c r="R99" s="14">
        <v>11983.29</v>
      </c>
      <c r="S99" s="14" t="s">
        <v>45</v>
      </c>
      <c r="T99" s="14" t="s">
        <v>63</v>
      </c>
      <c r="U99" s="14" t="s">
        <v>35</v>
      </c>
      <c r="V99" s="14" t="s">
        <v>36</v>
      </c>
      <c r="W99" s="14" t="s">
        <v>37</v>
      </c>
      <c r="X99" s="14">
        <v>4</v>
      </c>
      <c r="Y99" s="14" t="s">
        <v>47</v>
      </c>
      <c r="Z99" s="14">
        <v>1</v>
      </c>
      <c r="AA99" s="14" t="s">
        <v>39</v>
      </c>
    </row>
    <row r="100" spans="1:27" x14ac:dyDescent="0.35">
      <c r="A100" s="14" t="s">
        <v>281</v>
      </c>
      <c r="B100" s="15">
        <v>45821</v>
      </c>
      <c r="C100" s="14" t="s">
        <v>282</v>
      </c>
      <c r="D100" s="14" t="s">
        <v>89</v>
      </c>
      <c r="E100" s="14" t="s">
        <v>29</v>
      </c>
      <c r="F100" s="14">
        <v>56</v>
      </c>
      <c r="G100" s="14" t="s">
        <v>74</v>
      </c>
      <c r="H100" s="14" t="s">
        <v>31</v>
      </c>
      <c r="I100" s="14" t="s">
        <v>74</v>
      </c>
      <c r="J100" s="14" t="s">
        <v>75</v>
      </c>
      <c r="K100" s="14">
        <v>3</v>
      </c>
      <c r="L100" s="14">
        <v>25123</v>
      </c>
      <c r="M100" s="14">
        <v>20</v>
      </c>
      <c r="N100" s="14">
        <v>15073.8</v>
      </c>
      <c r="O100" s="14">
        <v>10853.14</v>
      </c>
      <c r="P100" s="14">
        <v>393</v>
      </c>
      <c r="Q100" s="14">
        <f t="shared" si="1"/>
        <v>71148.34</v>
      </c>
      <c r="R100" s="14">
        <v>71541.34</v>
      </c>
      <c r="S100" s="14" t="s">
        <v>33</v>
      </c>
      <c r="T100" s="14" t="s">
        <v>34</v>
      </c>
      <c r="U100" s="14" t="s">
        <v>84</v>
      </c>
      <c r="V100" s="14" t="s">
        <v>85</v>
      </c>
      <c r="W100" s="14" t="s">
        <v>86</v>
      </c>
      <c r="X100" s="14">
        <v>10</v>
      </c>
      <c r="Y100" s="14" t="s">
        <v>47</v>
      </c>
      <c r="Z100" s="14">
        <v>5</v>
      </c>
      <c r="AA100" s="14" t="s">
        <v>39</v>
      </c>
    </row>
    <row r="101" spans="1:27" x14ac:dyDescent="0.35">
      <c r="A101" s="14" t="s">
        <v>283</v>
      </c>
      <c r="B101" s="15">
        <v>45891</v>
      </c>
      <c r="C101" s="14" t="s">
        <v>284</v>
      </c>
      <c r="D101" s="14" t="s">
        <v>61</v>
      </c>
      <c r="E101" s="14" t="s">
        <v>43</v>
      </c>
      <c r="F101" s="14">
        <v>41</v>
      </c>
      <c r="G101" s="14" t="s">
        <v>99</v>
      </c>
      <c r="H101" s="14" t="s">
        <v>52</v>
      </c>
      <c r="I101" s="14" t="s">
        <v>99</v>
      </c>
      <c r="J101" s="14" t="s">
        <v>102</v>
      </c>
      <c r="K101" s="14">
        <v>4</v>
      </c>
      <c r="L101" s="14">
        <v>46566</v>
      </c>
      <c r="M101" s="14">
        <v>10</v>
      </c>
      <c r="N101" s="14">
        <v>18626.400000000001</v>
      </c>
      <c r="O101" s="14">
        <v>30174.77</v>
      </c>
      <c r="P101" s="14">
        <v>402</v>
      </c>
      <c r="Q101" s="14">
        <f t="shared" si="1"/>
        <v>197812.37</v>
      </c>
      <c r="R101" s="14">
        <v>198214.37</v>
      </c>
      <c r="S101" s="14" t="s">
        <v>54</v>
      </c>
      <c r="T101" s="14" t="s">
        <v>34</v>
      </c>
      <c r="U101" s="14" t="s">
        <v>55</v>
      </c>
      <c r="V101" s="14" t="s">
        <v>56</v>
      </c>
      <c r="W101" s="14" t="s">
        <v>57</v>
      </c>
      <c r="X101" s="14">
        <v>7</v>
      </c>
      <c r="Y101" s="14" t="s">
        <v>47</v>
      </c>
      <c r="Z101" s="14">
        <v>4</v>
      </c>
      <c r="AA101" s="14" t="s">
        <v>39</v>
      </c>
    </row>
    <row r="102" spans="1:27" x14ac:dyDescent="0.35">
      <c r="A102" s="14" t="s">
        <v>285</v>
      </c>
      <c r="B102" s="15">
        <v>45905</v>
      </c>
      <c r="C102" s="14" t="s">
        <v>286</v>
      </c>
      <c r="D102" s="14" t="s">
        <v>50</v>
      </c>
      <c r="E102" s="14" t="s">
        <v>29</v>
      </c>
      <c r="F102" s="14">
        <v>60</v>
      </c>
      <c r="G102" s="14" t="s">
        <v>134</v>
      </c>
      <c r="H102" s="14" t="s">
        <v>31</v>
      </c>
      <c r="I102" s="14" t="s">
        <v>134</v>
      </c>
      <c r="J102" s="14" t="s">
        <v>62</v>
      </c>
      <c r="K102" s="14">
        <v>1</v>
      </c>
      <c r="L102" s="14">
        <v>42289</v>
      </c>
      <c r="M102" s="14">
        <v>20</v>
      </c>
      <c r="N102" s="14">
        <v>8457.7999999999993</v>
      </c>
      <c r="O102" s="14">
        <v>6089.62</v>
      </c>
      <c r="P102" s="14">
        <v>250</v>
      </c>
      <c r="Q102" s="14">
        <f t="shared" si="1"/>
        <v>39920.82</v>
      </c>
      <c r="R102" s="14">
        <v>40170.82</v>
      </c>
      <c r="S102" s="14" t="s">
        <v>45</v>
      </c>
      <c r="T102" s="14" t="s">
        <v>63</v>
      </c>
      <c r="U102" s="14" t="s">
        <v>103</v>
      </c>
      <c r="V102" s="14" t="s">
        <v>103</v>
      </c>
      <c r="W102" s="14" t="s">
        <v>57</v>
      </c>
      <c r="X102" s="14">
        <v>1</v>
      </c>
      <c r="Y102" s="14" t="s">
        <v>38</v>
      </c>
      <c r="Z102" s="14">
        <v>2</v>
      </c>
      <c r="AA102" s="14" t="s">
        <v>47</v>
      </c>
    </row>
    <row r="103" spans="1:27" x14ac:dyDescent="0.35">
      <c r="A103" s="14" t="s">
        <v>287</v>
      </c>
      <c r="B103" s="15">
        <v>46108</v>
      </c>
      <c r="C103" s="14" t="s">
        <v>288</v>
      </c>
      <c r="D103" s="14" t="s">
        <v>89</v>
      </c>
      <c r="E103" s="14" t="s">
        <v>29</v>
      </c>
      <c r="F103" s="14">
        <v>31</v>
      </c>
      <c r="G103" s="14" t="s">
        <v>51</v>
      </c>
      <c r="H103" s="14" t="s">
        <v>52</v>
      </c>
      <c r="I103" s="14" t="s">
        <v>51</v>
      </c>
      <c r="J103" s="14" t="s">
        <v>75</v>
      </c>
      <c r="K103" s="14">
        <v>5</v>
      </c>
      <c r="L103" s="14">
        <v>4012</v>
      </c>
      <c r="M103" s="14">
        <v>0</v>
      </c>
      <c r="N103" s="14">
        <v>0</v>
      </c>
      <c r="O103" s="14">
        <v>3610.8</v>
      </c>
      <c r="P103" s="14">
        <v>329</v>
      </c>
      <c r="Q103" s="14">
        <f t="shared" si="1"/>
        <v>23670.799999999999</v>
      </c>
      <c r="R103" s="14">
        <v>23999.8</v>
      </c>
      <c r="S103" s="14" t="s">
        <v>83</v>
      </c>
      <c r="T103" s="14" t="s">
        <v>63</v>
      </c>
      <c r="U103" s="14" t="s">
        <v>84</v>
      </c>
      <c r="V103" s="14" t="s">
        <v>85</v>
      </c>
      <c r="W103" s="14" t="s">
        <v>86</v>
      </c>
      <c r="X103" s="14">
        <v>8</v>
      </c>
      <c r="Y103" s="14" t="s">
        <v>47</v>
      </c>
      <c r="Z103" s="14">
        <v>4</v>
      </c>
      <c r="AA103" s="14" t="s">
        <v>39</v>
      </c>
    </row>
    <row r="104" spans="1:27" x14ac:dyDescent="0.35">
      <c r="A104" s="14" t="s">
        <v>289</v>
      </c>
      <c r="B104" s="15">
        <v>45793</v>
      </c>
      <c r="C104" s="14" t="s">
        <v>290</v>
      </c>
      <c r="D104" s="14" t="s">
        <v>61</v>
      </c>
      <c r="E104" s="14" t="s">
        <v>29</v>
      </c>
      <c r="F104" s="14">
        <v>52</v>
      </c>
      <c r="G104" s="14" t="s">
        <v>74</v>
      </c>
      <c r="H104" s="14" t="s">
        <v>31</v>
      </c>
      <c r="I104" s="14" t="s">
        <v>74</v>
      </c>
      <c r="J104" s="14" t="s">
        <v>150</v>
      </c>
      <c r="K104" s="14">
        <v>2</v>
      </c>
      <c r="L104" s="14">
        <v>30405</v>
      </c>
      <c r="M104" s="14">
        <v>0</v>
      </c>
      <c r="N104" s="14">
        <v>0</v>
      </c>
      <c r="O104" s="14">
        <v>10945.8</v>
      </c>
      <c r="P104" s="14">
        <v>301</v>
      </c>
      <c r="Q104" s="14">
        <f t="shared" si="1"/>
        <v>71755.8</v>
      </c>
      <c r="R104" s="14">
        <v>72056.800000000003</v>
      </c>
      <c r="S104" s="14" t="s">
        <v>33</v>
      </c>
      <c r="T104" s="14" t="s">
        <v>63</v>
      </c>
      <c r="U104" s="14" t="s">
        <v>76</v>
      </c>
      <c r="V104" s="14" t="s">
        <v>77</v>
      </c>
      <c r="W104" s="14" t="s">
        <v>57</v>
      </c>
      <c r="X104" s="14">
        <v>8</v>
      </c>
      <c r="Y104" s="14" t="s">
        <v>38</v>
      </c>
      <c r="Z104" s="14">
        <v>5</v>
      </c>
      <c r="AA104" s="14" t="s">
        <v>58</v>
      </c>
    </row>
    <row r="105" spans="1:27" x14ac:dyDescent="0.35">
      <c r="A105" s="14" t="s">
        <v>291</v>
      </c>
      <c r="B105" s="15">
        <v>46023</v>
      </c>
      <c r="C105" s="14" t="s">
        <v>292</v>
      </c>
      <c r="D105" s="14" t="s">
        <v>108</v>
      </c>
      <c r="E105" s="14" t="s">
        <v>29</v>
      </c>
      <c r="F105" s="14">
        <v>23</v>
      </c>
      <c r="G105" s="14" t="s">
        <v>94</v>
      </c>
      <c r="H105" s="14" t="s">
        <v>31</v>
      </c>
      <c r="I105" s="14" t="s">
        <v>94</v>
      </c>
      <c r="J105" s="14" t="s">
        <v>102</v>
      </c>
      <c r="K105" s="14">
        <v>4</v>
      </c>
      <c r="L105" s="14">
        <v>19141</v>
      </c>
      <c r="M105" s="14">
        <v>20</v>
      </c>
      <c r="N105" s="14">
        <v>15312.8</v>
      </c>
      <c r="O105" s="14">
        <v>11025.22</v>
      </c>
      <c r="P105" s="14">
        <v>482</v>
      </c>
      <c r="Q105" s="14">
        <f t="shared" si="1"/>
        <v>72276.42</v>
      </c>
      <c r="R105" s="14">
        <v>72758.42</v>
      </c>
      <c r="S105" s="14" t="s">
        <v>83</v>
      </c>
      <c r="T105" s="14" t="s">
        <v>34</v>
      </c>
      <c r="U105" s="14" t="s">
        <v>103</v>
      </c>
      <c r="V105" s="14" t="s">
        <v>103</v>
      </c>
      <c r="W105" s="14" t="s">
        <v>57</v>
      </c>
      <c r="X105" s="14">
        <v>5</v>
      </c>
      <c r="Y105" s="14" t="s">
        <v>47</v>
      </c>
      <c r="Z105" s="14">
        <v>4</v>
      </c>
      <c r="AA105" s="14" t="s">
        <v>47</v>
      </c>
    </row>
    <row r="106" spans="1:27" x14ac:dyDescent="0.35">
      <c r="A106" s="14" t="s">
        <v>293</v>
      </c>
      <c r="B106" s="15">
        <v>46087</v>
      </c>
      <c r="C106" s="14" t="s">
        <v>294</v>
      </c>
      <c r="D106" s="14" t="s">
        <v>50</v>
      </c>
      <c r="E106" s="14" t="s">
        <v>43</v>
      </c>
      <c r="F106" s="14">
        <v>22</v>
      </c>
      <c r="G106" s="14" t="s">
        <v>67</v>
      </c>
      <c r="H106" s="14" t="s">
        <v>68</v>
      </c>
      <c r="I106" s="14" t="s">
        <v>67</v>
      </c>
      <c r="J106" s="14" t="s">
        <v>75</v>
      </c>
      <c r="K106" s="14">
        <v>4</v>
      </c>
      <c r="L106" s="14">
        <v>19962</v>
      </c>
      <c r="M106" s="14">
        <v>5</v>
      </c>
      <c r="N106" s="14">
        <v>3992.4</v>
      </c>
      <c r="O106" s="14">
        <v>13654.01</v>
      </c>
      <c r="P106" s="14">
        <v>104</v>
      </c>
      <c r="Q106" s="14">
        <f t="shared" si="1"/>
        <v>89509.61</v>
      </c>
      <c r="R106" s="14">
        <v>89613.61</v>
      </c>
      <c r="S106" s="14" t="s">
        <v>45</v>
      </c>
      <c r="T106" s="14" t="s">
        <v>34</v>
      </c>
      <c r="U106" s="14" t="s">
        <v>46</v>
      </c>
      <c r="V106" s="14" t="s">
        <v>36</v>
      </c>
      <c r="W106" s="14" t="s">
        <v>37</v>
      </c>
      <c r="X106" s="14">
        <v>7</v>
      </c>
      <c r="Y106" s="14" t="s">
        <v>47</v>
      </c>
      <c r="Z106" s="14">
        <v>5</v>
      </c>
      <c r="AA106" s="14" t="s">
        <v>47</v>
      </c>
    </row>
    <row r="107" spans="1:27" x14ac:dyDescent="0.35">
      <c r="A107" s="14" t="s">
        <v>295</v>
      </c>
      <c r="B107" s="15">
        <v>45765</v>
      </c>
      <c r="C107" s="14" t="s">
        <v>296</v>
      </c>
      <c r="D107" s="14" t="s">
        <v>73</v>
      </c>
      <c r="E107" s="14" t="s">
        <v>29</v>
      </c>
      <c r="F107" s="14">
        <v>46</v>
      </c>
      <c r="G107" s="14" t="s">
        <v>67</v>
      </c>
      <c r="H107" s="14" t="s">
        <v>68</v>
      </c>
      <c r="I107" s="14" t="s">
        <v>67</v>
      </c>
      <c r="J107" s="14" t="s">
        <v>62</v>
      </c>
      <c r="K107" s="14">
        <v>5</v>
      </c>
      <c r="L107" s="14">
        <v>30045</v>
      </c>
      <c r="M107" s="14">
        <v>0</v>
      </c>
      <c r="N107" s="14">
        <v>0</v>
      </c>
      <c r="O107" s="14">
        <v>27040.5</v>
      </c>
      <c r="P107" s="14">
        <v>295</v>
      </c>
      <c r="Q107" s="14">
        <f t="shared" si="1"/>
        <v>177265.5</v>
      </c>
      <c r="R107" s="14">
        <v>177560.5</v>
      </c>
      <c r="S107" s="14" t="s">
        <v>45</v>
      </c>
      <c r="T107" s="14" t="s">
        <v>63</v>
      </c>
      <c r="U107" s="14" t="s">
        <v>70</v>
      </c>
      <c r="V107" s="14" t="s">
        <v>56</v>
      </c>
      <c r="W107" s="14" t="s">
        <v>57</v>
      </c>
      <c r="X107" s="14">
        <v>9</v>
      </c>
      <c r="Y107" s="14" t="s">
        <v>38</v>
      </c>
      <c r="Z107" s="14">
        <v>2</v>
      </c>
      <c r="AA107" s="14" t="s">
        <v>91</v>
      </c>
    </row>
    <row r="108" spans="1:27" x14ac:dyDescent="0.35">
      <c r="A108" s="14" t="s">
        <v>297</v>
      </c>
      <c r="B108" s="15">
        <v>45980</v>
      </c>
      <c r="C108" s="14" t="s">
        <v>298</v>
      </c>
      <c r="D108" s="14" t="s">
        <v>89</v>
      </c>
      <c r="E108" s="14" t="s">
        <v>29</v>
      </c>
      <c r="F108" s="14">
        <v>33</v>
      </c>
      <c r="G108" s="14" t="s">
        <v>30</v>
      </c>
      <c r="H108" s="14" t="s">
        <v>31</v>
      </c>
      <c r="I108" s="14" t="s">
        <v>30</v>
      </c>
      <c r="J108" s="14" t="s">
        <v>150</v>
      </c>
      <c r="K108" s="14">
        <v>1</v>
      </c>
      <c r="L108" s="14">
        <v>30617</v>
      </c>
      <c r="M108" s="14">
        <v>0</v>
      </c>
      <c r="N108" s="14">
        <v>0</v>
      </c>
      <c r="O108" s="14">
        <v>5511.06</v>
      </c>
      <c r="P108" s="14">
        <v>291</v>
      </c>
      <c r="Q108" s="14">
        <f t="shared" si="1"/>
        <v>36128.06</v>
      </c>
      <c r="R108" s="14">
        <v>36419.06</v>
      </c>
      <c r="S108" s="14" t="s">
        <v>33</v>
      </c>
      <c r="T108" s="14" t="s">
        <v>34</v>
      </c>
      <c r="U108" s="14" t="s">
        <v>35</v>
      </c>
      <c r="V108" s="14" t="s">
        <v>36</v>
      </c>
      <c r="W108" s="14" t="s">
        <v>37</v>
      </c>
      <c r="X108" s="14">
        <v>9</v>
      </c>
      <c r="Y108" s="14" t="s">
        <v>47</v>
      </c>
      <c r="Z108" s="14">
        <v>5</v>
      </c>
      <c r="AA108" s="14" t="s">
        <v>58</v>
      </c>
    </row>
    <row r="109" spans="1:27" x14ac:dyDescent="0.35">
      <c r="A109" s="14" t="s">
        <v>299</v>
      </c>
      <c r="B109" s="15">
        <v>45856</v>
      </c>
      <c r="C109" s="14" t="s">
        <v>300</v>
      </c>
      <c r="D109" s="14" t="s">
        <v>73</v>
      </c>
      <c r="E109" s="14" t="s">
        <v>43</v>
      </c>
      <c r="F109" s="14">
        <v>29</v>
      </c>
      <c r="G109" s="14" t="s">
        <v>134</v>
      </c>
      <c r="H109" s="14" t="s">
        <v>31</v>
      </c>
      <c r="I109" s="14" t="s">
        <v>134</v>
      </c>
      <c r="J109" s="14" t="s">
        <v>53</v>
      </c>
      <c r="K109" s="14">
        <v>1</v>
      </c>
      <c r="L109" s="14">
        <v>36884</v>
      </c>
      <c r="M109" s="14">
        <v>5</v>
      </c>
      <c r="N109" s="14">
        <v>1844.2</v>
      </c>
      <c r="O109" s="14">
        <v>6307.16</v>
      </c>
      <c r="P109" s="14">
        <v>88</v>
      </c>
      <c r="Q109" s="14">
        <f t="shared" si="1"/>
        <v>41346.959999999999</v>
      </c>
      <c r="R109" s="14">
        <v>41434.959999999999</v>
      </c>
      <c r="S109" s="14" t="s">
        <v>45</v>
      </c>
      <c r="T109" s="14" t="s">
        <v>63</v>
      </c>
      <c r="U109" s="14" t="s">
        <v>70</v>
      </c>
      <c r="V109" s="14" t="s">
        <v>56</v>
      </c>
      <c r="W109" s="14" t="s">
        <v>57</v>
      </c>
      <c r="X109" s="14">
        <v>2</v>
      </c>
      <c r="Y109" s="14" t="s">
        <v>47</v>
      </c>
      <c r="Z109" s="14">
        <v>2</v>
      </c>
      <c r="AA109" s="14" t="s">
        <v>91</v>
      </c>
    </row>
    <row r="110" spans="1:27" x14ac:dyDescent="0.35">
      <c r="A110" s="14" t="s">
        <v>301</v>
      </c>
      <c r="B110" s="15">
        <v>45948</v>
      </c>
      <c r="C110" s="14" t="s">
        <v>302</v>
      </c>
      <c r="D110" s="14" t="s">
        <v>108</v>
      </c>
      <c r="E110" s="14" t="s">
        <v>43</v>
      </c>
      <c r="F110" s="14">
        <v>35</v>
      </c>
      <c r="G110" s="14" t="s">
        <v>99</v>
      </c>
      <c r="H110" s="14" t="s">
        <v>52</v>
      </c>
      <c r="I110" s="14" t="s">
        <v>99</v>
      </c>
      <c r="J110" s="14" t="s">
        <v>125</v>
      </c>
      <c r="K110" s="14">
        <v>2</v>
      </c>
      <c r="L110" s="14">
        <v>44392</v>
      </c>
      <c r="M110" s="14">
        <v>10</v>
      </c>
      <c r="N110" s="14">
        <v>8878.4</v>
      </c>
      <c r="O110" s="14">
        <v>14383.01</v>
      </c>
      <c r="P110" s="14">
        <v>36</v>
      </c>
      <c r="Q110" s="14">
        <f t="shared" si="1"/>
        <v>94288.61</v>
      </c>
      <c r="R110" s="14">
        <v>94324.61</v>
      </c>
      <c r="S110" s="14" t="s">
        <v>83</v>
      </c>
      <c r="T110" s="14" t="s">
        <v>34</v>
      </c>
      <c r="U110" s="14" t="s">
        <v>35</v>
      </c>
      <c r="V110" s="14" t="s">
        <v>36</v>
      </c>
      <c r="W110" s="14" t="s">
        <v>37</v>
      </c>
      <c r="X110" s="14">
        <v>4</v>
      </c>
      <c r="Y110" s="14" t="s">
        <v>47</v>
      </c>
      <c r="Z110" s="14">
        <v>3</v>
      </c>
      <c r="AA110" s="14" t="s">
        <v>47</v>
      </c>
    </row>
    <row r="111" spans="1:27" x14ac:dyDescent="0.35">
      <c r="A111" s="14" t="s">
        <v>303</v>
      </c>
      <c r="B111" s="15">
        <v>45950</v>
      </c>
      <c r="C111" s="14" t="s">
        <v>304</v>
      </c>
      <c r="D111" s="14" t="s">
        <v>111</v>
      </c>
      <c r="E111" s="14" t="s">
        <v>29</v>
      </c>
      <c r="F111" s="14">
        <v>49</v>
      </c>
      <c r="G111" s="14" t="s">
        <v>67</v>
      </c>
      <c r="H111" s="14" t="s">
        <v>68</v>
      </c>
      <c r="I111" s="14" t="s">
        <v>67</v>
      </c>
      <c r="J111" s="14" t="s">
        <v>53</v>
      </c>
      <c r="K111" s="14">
        <v>2</v>
      </c>
      <c r="L111" s="14">
        <v>45616</v>
      </c>
      <c r="M111" s="14">
        <v>15</v>
      </c>
      <c r="N111" s="14">
        <v>13684.8</v>
      </c>
      <c r="O111" s="14">
        <v>13958.5</v>
      </c>
      <c r="P111" s="14">
        <v>173</v>
      </c>
      <c r="Q111" s="14">
        <f t="shared" si="1"/>
        <v>91505.7</v>
      </c>
      <c r="R111" s="14">
        <v>91678.7</v>
      </c>
      <c r="S111" s="14" t="s">
        <v>33</v>
      </c>
      <c r="T111" s="14" t="s">
        <v>63</v>
      </c>
      <c r="U111" s="14" t="s">
        <v>84</v>
      </c>
      <c r="V111" s="14" t="s">
        <v>85</v>
      </c>
      <c r="W111" s="14" t="s">
        <v>86</v>
      </c>
      <c r="X111" s="14">
        <v>4</v>
      </c>
      <c r="Y111" s="14" t="s">
        <v>47</v>
      </c>
      <c r="Z111" s="14">
        <v>5</v>
      </c>
      <c r="AA111" s="14" t="s">
        <v>58</v>
      </c>
    </row>
    <row r="112" spans="1:27" x14ac:dyDescent="0.35">
      <c r="A112" s="14" t="s">
        <v>305</v>
      </c>
      <c r="B112" s="15">
        <v>45935</v>
      </c>
      <c r="C112" s="14" t="s">
        <v>306</v>
      </c>
      <c r="D112" s="14" t="s">
        <v>50</v>
      </c>
      <c r="E112" s="14" t="s">
        <v>43</v>
      </c>
      <c r="F112" s="14">
        <v>25</v>
      </c>
      <c r="G112" s="14" t="s">
        <v>94</v>
      </c>
      <c r="H112" s="14" t="s">
        <v>31</v>
      </c>
      <c r="I112" s="14" t="s">
        <v>94</v>
      </c>
      <c r="J112" s="14" t="s">
        <v>102</v>
      </c>
      <c r="K112" s="14">
        <v>4</v>
      </c>
      <c r="L112" s="14">
        <v>13466</v>
      </c>
      <c r="M112" s="14">
        <v>15</v>
      </c>
      <c r="N112" s="14">
        <v>8079.6</v>
      </c>
      <c r="O112" s="14">
        <v>8241.19</v>
      </c>
      <c r="P112" s="14">
        <v>298</v>
      </c>
      <c r="Q112" s="14">
        <f t="shared" si="1"/>
        <v>54025.59</v>
      </c>
      <c r="R112" s="14">
        <v>54323.59</v>
      </c>
      <c r="S112" s="14" t="s">
        <v>83</v>
      </c>
      <c r="T112" s="14" t="s">
        <v>63</v>
      </c>
      <c r="U112" s="14" t="s">
        <v>95</v>
      </c>
      <c r="V112" s="14" t="s">
        <v>96</v>
      </c>
      <c r="W112" s="14" t="s">
        <v>57</v>
      </c>
      <c r="X112" s="14">
        <v>6</v>
      </c>
      <c r="Y112" s="14" t="s">
        <v>38</v>
      </c>
      <c r="Z112" s="14">
        <v>5</v>
      </c>
      <c r="AA112" s="14" t="s">
        <v>58</v>
      </c>
    </row>
    <row r="113" spans="1:27" x14ac:dyDescent="0.35">
      <c r="A113" s="14" t="s">
        <v>307</v>
      </c>
      <c r="B113" s="15">
        <v>46039</v>
      </c>
      <c r="C113" s="14" t="s">
        <v>308</v>
      </c>
      <c r="D113" s="14" t="s">
        <v>50</v>
      </c>
      <c r="E113" s="14" t="s">
        <v>29</v>
      </c>
      <c r="F113" s="14">
        <v>53</v>
      </c>
      <c r="G113" s="14" t="s">
        <v>44</v>
      </c>
      <c r="H113" s="14" t="s">
        <v>31</v>
      </c>
      <c r="I113" s="14" t="s">
        <v>44</v>
      </c>
      <c r="J113" s="14" t="s">
        <v>32</v>
      </c>
      <c r="K113" s="14">
        <v>3</v>
      </c>
      <c r="L113" s="14">
        <v>10297</v>
      </c>
      <c r="M113" s="14">
        <v>5</v>
      </c>
      <c r="N113" s="14">
        <v>1544.55</v>
      </c>
      <c r="O113" s="14">
        <v>5282.36</v>
      </c>
      <c r="P113" s="14">
        <v>382</v>
      </c>
      <c r="Q113" s="14">
        <f t="shared" si="1"/>
        <v>34628.81</v>
      </c>
      <c r="R113" s="14">
        <v>35010.81</v>
      </c>
      <c r="S113" s="14" t="s">
        <v>54</v>
      </c>
      <c r="T113" s="14" t="s">
        <v>63</v>
      </c>
      <c r="U113" s="14" t="s">
        <v>76</v>
      </c>
      <c r="V113" s="14" t="s">
        <v>77</v>
      </c>
      <c r="W113" s="14" t="s">
        <v>57</v>
      </c>
      <c r="X113" s="14">
        <v>4</v>
      </c>
      <c r="Y113" s="14" t="s">
        <v>38</v>
      </c>
      <c r="Z113" s="14">
        <v>1</v>
      </c>
      <c r="AA113" s="14" t="s">
        <v>47</v>
      </c>
    </row>
    <row r="114" spans="1:27" x14ac:dyDescent="0.35">
      <c r="A114" s="14" t="s">
        <v>309</v>
      </c>
      <c r="B114" s="15">
        <v>45845</v>
      </c>
      <c r="C114" s="14" t="s">
        <v>101</v>
      </c>
      <c r="D114" s="14" t="s">
        <v>42</v>
      </c>
      <c r="E114" s="14" t="s">
        <v>29</v>
      </c>
      <c r="F114" s="14">
        <v>38</v>
      </c>
      <c r="G114" s="14" t="s">
        <v>139</v>
      </c>
      <c r="H114" s="14" t="s">
        <v>31</v>
      </c>
      <c r="I114" s="14" t="s">
        <v>139</v>
      </c>
      <c r="J114" s="14" t="s">
        <v>102</v>
      </c>
      <c r="K114" s="14">
        <v>2</v>
      </c>
      <c r="L114" s="14">
        <v>20743</v>
      </c>
      <c r="M114" s="14">
        <v>20</v>
      </c>
      <c r="N114" s="14">
        <v>8297.2000000000007</v>
      </c>
      <c r="O114" s="14">
        <v>5973.98</v>
      </c>
      <c r="P114" s="14">
        <v>397</v>
      </c>
      <c r="Q114" s="14">
        <f t="shared" si="1"/>
        <v>39162.78</v>
      </c>
      <c r="R114" s="14">
        <v>39559.78</v>
      </c>
      <c r="S114" s="14" t="s">
        <v>54</v>
      </c>
      <c r="T114" s="14" t="s">
        <v>34</v>
      </c>
      <c r="U114" s="14" t="s">
        <v>35</v>
      </c>
      <c r="V114" s="14" t="s">
        <v>36</v>
      </c>
      <c r="W114" s="14" t="s">
        <v>37</v>
      </c>
      <c r="X114" s="14">
        <v>8</v>
      </c>
      <c r="Y114" s="14" t="s">
        <v>38</v>
      </c>
      <c r="Z114" s="14">
        <v>1</v>
      </c>
      <c r="AA114" s="14" t="s">
        <v>39</v>
      </c>
    </row>
    <row r="115" spans="1:27" x14ac:dyDescent="0.35">
      <c r="A115" s="14" t="s">
        <v>310</v>
      </c>
      <c r="B115" s="15">
        <v>45993</v>
      </c>
      <c r="C115" s="14" t="s">
        <v>311</v>
      </c>
      <c r="D115" s="14" t="s">
        <v>42</v>
      </c>
      <c r="E115" s="14" t="s">
        <v>43</v>
      </c>
      <c r="F115" s="14">
        <v>56</v>
      </c>
      <c r="G115" s="14" t="s">
        <v>139</v>
      </c>
      <c r="H115" s="14" t="s">
        <v>31</v>
      </c>
      <c r="I115" s="14" t="s">
        <v>139</v>
      </c>
      <c r="J115" s="14" t="s">
        <v>125</v>
      </c>
      <c r="K115" s="14">
        <v>3</v>
      </c>
      <c r="L115" s="14">
        <v>45793</v>
      </c>
      <c r="M115" s="14">
        <v>0</v>
      </c>
      <c r="N115" s="14">
        <v>0</v>
      </c>
      <c r="O115" s="14">
        <v>24728.22</v>
      </c>
      <c r="P115" s="14">
        <v>20</v>
      </c>
      <c r="Q115" s="14">
        <f t="shared" si="1"/>
        <v>162107.22</v>
      </c>
      <c r="R115" s="14">
        <v>162127.22</v>
      </c>
      <c r="S115" s="14" t="s">
        <v>54</v>
      </c>
      <c r="T115" s="14" t="s">
        <v>34</v>
      </c>
      <c r="U115" s="14" t="s">
        <v>46</v>
      </c>
      <c r="V115" s="14" t="s">
        <v>36</v>
      </c>
      <c r="W115" s="14" t="s">
        <v>37</v>
      </c>
      <c r="X115" s="14">
        <v>5</v>
      </c>
      <c r="Y115" s="14" t="s">
        <v>38</v>
      </c>
      <c r="Z115" s="14">
        <v>5</v>
      </c>
      <c r="AA115" s="14" t="s">
        <v>39</v>
      </c>
    </row>
    <row r="116" spans="1:27" x14ac:dyDescent="0.35">
      <c r="A116" s="14" t="s">
        <v>312</v>
      </c>
      <c r="B116" s="15">
        <v>45983</v>
      </c>
      <c r="C116" s="14" t="s">
        <v>313</v>
      </c>
      <c r="D116" s="14" t="s">
        <v>89</v>
      </c>
      <c r="E116" s="14" t="s">
        <v>29</v>
      </c>
      <c r="F116" s="14">
        <v>24</v>
      </c>
      <c r="G116" s="14" t="s">
        <v>67</v>
      </c>
      <c r="H116" s="14" t="s">
        <v>68</v>
      </c>
      <c r="I116" s="14" t="s">
        <v>67</v>
      </c>
      <c r="J116" s="14" t="s">
        <v>62</v>
      </c>
      <c r="K116" s="14">
        <v>5</v>
      </c>
      <c r="L116" s="14">
        <v>39903</v>
      </c>
      <c r="M116" s="14">
        <v>20</v>
      </c>
      <c r="N116" s="14">
        <v>39903</v>
      </c>
      <c r="O116" s="14">
        <v>28730.16</v>
      </c>
      <c r="P116" s="14">
        <v>492</v>
      </c>
      <c r="Q116" s="14">
        <f t="shared" si="1"/>
        <v>188342.16</v>
      </c>
      <c r="R116" s="14">
        <v>188834.16</v>
      </c>
      <c r="S116" s="14" t="s">
        <v>83</v>
      </c>
      <c r="T116" s="14" t="s">
        <v>63</v>
      </c>
      <c r="U116" s="14" t="s">
        <v>70</v>
      </c>
      <c r="V116" s="14" t="s">
        <v>56</v>
      </c>
      <c r="W116" s="14" t="s">
        <v>57</v>
      </c>
      <c r="X116" s="14">
        <v>2</v>
      </c>
      <c r="Y116" s="14" t="s">
        <v>47</v>
      </c>
      <c r="Z116" s="14">
        <v>5</v>
      </c>
      <c r="AA116" s="14" t="s">
        <v>47</v>
      </c>
    </row>
    <row r="117" spans="1:27" x14ac:dyDescent="0.35">
      <c r="A117" s="14" t="s">
        <v>314</v>
      </c>
      <c r="B117" s="15">
        <v>46095</v>
      </c>
      <c r="C117" s="14" t="s">
        <v>315</v>
      </c>
      <c r="D117" s="14" t="s">
        <v>50</v>
      </c>
      <c r="E117" s="14" t="s">
        <v>43</v>
      </c>
      <c r="F117" s="14">
        <v>58</v>
      </c>
      <c r="G117" s="14" t="s">
        <v>30</v>
      </c>
      <c r="H117" s="14" t="s">
        <v>31</v>
      </c>
      <c r="I117" s="14" t="s">
        <v>30</v>
      </c>
      <c r="J117" s="14" t="s">
        <v>53</v>
      </c>
      <c r="K117" s="14">
        <v>3</v>
      </c>
      <c r="L117" s="14">
        <v>22776</v>
      </c>
      <c r="M117" s="14">
        <v>0</v>
      </c>
      <c r="N117" s="14">
        <v>0</v>
      </c>
      <c r="O117" s="14">
        <v>12299.04</v>
      </c>
      <c r="P117" s="14">
        <v>94</v>
      </c>
      <c r="Q117" s="14">
        <f t="shared" si="1"/>
        <v>80627.039999999994</v>
      </c>
      <c r="R117" s="14">
        <v>80721.039999999994</v>
      </c>
      <c r="S117" s="14" t="s">
        <v>54</v>
      </c>
      <c r="T117" s="14" t="s">
        <v>63</v>
      </c>
      <c r="U117" s="14" t="s">
        <v>76</v>
      </c>
      <c r="V117" s="14" t="s">
        <v>77</v>
      </c>
      <c r="W117" s="14" t="s">
        <v>57</v>
      </c>
      <c r="X117" s="14">
        <v>6</v>
      </c>
      <c r="Y117" s="14" t="s">
        <v>38</v>
      </c>
      <c r="Z117" s="14">
        <v>1</v>
      </c>
      <c r="AA117" s="14" t="s">
        <v>39</v>
      </c>
    </row>
    <row r="118" spans="1:27" x14ac:dyDescent="0.35">
      <c r="A118" s="14" t="s">
        <v>316</v>
      </c>
      <c r="B118" s="15">
        <v>45809</v>
      </c>
      <c r="C118" s="14" t="s">
        <v>317</v>
      </c>
      <c r="D118" s="14" t="s">
        <v>111</v>
      </c>
      <c r="E118" s="14" t="s">
        <v>43</v>
      </c>
      <c r="F118" s="14">
        <v>30</v>
      </c>
      <c r="G118" s="14" t="s">
        <v>134</v>
      </c>
      <c r="H118" s="14" t="s">
        <v>31</v>
      </c>
      <c r="I118" s="14" t="s">
        <v>134</v>
      </c>
      <c r="J118" s="14" t="s">
        <v>125</v>
      </c>
      <c r="K118" s="14">
        <v>5</v>
      </c>
      <c r="L118" s="14">
        <v>18787</v>
      </c>
      <c r="M118" s="14">
        <v>20</v>
      </c>
      <c r="N118" s="14">
        <v>18787</v>
      </c>
      <c r="O118" s="14">
        <v>13526.64</v>
      </c>
      <c r="P118" s="14">
        <v>101</v>
      </c>
      <c r="Q118" s="14">
        <f t="shared" si="1"/>
        <v>88674.64</v>
      </c>
      <c r="R118" s="14">
        <v>88775.64</v>
      </c>
      <c r="S118" s="14" t="s">
        <v>83</v>
      </c>
      <c r="T118" s="14" t="s">
        <v>63</v>
      </c>
      <c r="U118" s="14" t="s">
        <v>46</v>
      </c>
      <c r="V118" s="14" t="s">
        <v>36</v>
      </c>
      <c r="W118" s="14" t="s">
        <v>37</v>
      </c>
      <c r="X118" s="14">
        <v>4</v>
      </c>
      <c r="Y118" s="14" t="s">
        <v>47</v>
      </c>
      <c r="Z118" s="14">
        <v>5</v>
      </c>
      <c r="AA118" s="14" t="s">
        <v>39</v>
      </c>
    </row>
    <row r="119" spans="1:27" x14ac:dyDescent="0.35">
      <c r="A119" s="14" t="s">
        <v>318</v>
      </c>
      <c r="B119" s="15">
        <v>45834</v>
      </c>
      <c r="C119" s="14" t="s">
        <v>319</v>
      </c>
      <c r="D119" s="14" t="s">
        <v>42</v>
      </c>
      <c r="E119" s="14" t="s">
        <v>29</v>
      </c>
      <c r="F119" s="14">
        <v>28</v>
      </c>
      <c r="G119" s="14" t="s">
        <v>30</v>
      </c>
      <c r="H119" s="14" t="s">
        <v>31</v>
      </c>
      <c r="I119" s="14" t="s">
        <v>30</v>
      </c>
      <c r="J119" s="14" t="s">
        <v>32</v>
      </c>
      <c r="K119" s="14">
        <v>1</v>
      </c>
      <c r="L119" s="14">
        <v>956</v>
      </c>
      <c r="M119" s="14">
        <v>20</v>
      </c>
      <c r="N119" s="14">
        <v>191.2</v>
      </c>
      <c r="O119" s="14">
        <v>137.66</v>
      </c>
      <c r="P119" s="14">
        <v>446</v>
      </c>
      <c r="Q119" s="14">
        <f t="shared" si="1"/>
        <v>902.46</v>
      </c>
      <c r="R119" s="14">
        <v>1348.46</v>
      </c>
      <c r="S119" s="14" t="s">
        <v>45</v>
      </c>
      <c r="T119" s="14" t="s">
        <v>63</v>
      </c>
      <c r="U119" s="14" t="s">
        <v>46</v>
      </c>
      <c r="V119" s="14" t="s">
        <v>36</v>
      </c>
      <c r="W119" s="14" t="s">
        <v>37</v>
      </c>
      <c r="X119" s="14">
        <v>3</v>
      </c>
      <c r="Y119" s="14" t="s">
        <v>47</v>
      </c>
      <c r="Z119" s="14">
        <v>2</v>
      </c>
      <c r="AA119" s="14" t="s">
        <v>47</v>
      </c>
    </row>
    <row r="120" spans="1:27" x14ac:dyDescent="0.35">
      <c r="A120" s="14" t="s">
        <v>320</v>
      </c>
      <c r="B120" s="15">
        <v>46080</v>
      </c>
      <c r="C120" s="14" t="s">
        <v>101</v>
      </c>
      <c r="D120" s="14" t="s">
        <v>108</v>
      </c>
      <c r="E120" s="14" t="s">
        <v>43</v>
      </c>
      <c r="F120" s="14">
        <v>20</v>
      </c>
      <c r="G120" s="14" t="s">
        <v>94</v>
      </c>
      <c r="H120" s="14" t="s">
        <v>31</v>
      </c>
      <c r="I120" s="14" t="s">
        <v>94</v>
      </c>
      <c r="J120" s="14" t="s">
        <v>75</v>
      </c>
      <c r="K120" s="14">
        <v>5</v>
      </c>
      <c r="L120" s="14">
        <v>28102</v>
      </c>
      <c r="M120" s="14">
        <v>5</v>
      </c>
      <c r="N120" s="14">
        <v>7025.5</v>
      </c>
      <c r="O120" s="14">
        <v>24027.21</v>
      </c>
      <c r="P120" s="14">
        <v>281</v>
      </c>
      <c r="Q120" s="14">
        <f t="shared" si="1"/>
        <v>157511.71</v>
      </c>
      <c r="R120" s="14">
        <v>157792.71</v>
      </c>
      <c r="S120" s="14" t="s">
        <v>83</v>
      </c>
      <c r="T120" s="14" t="s">
        <v>34</v>
      </c>
      <c r="U120" s="14" t="s">
        <v>70</v>
      </c>
      <c r="V120" s="14" t="s">
        <v>56</v>
      </c>
      <c r="W120" s="14" t="s">
        <v>57</v>
      </c>
      <c r="X120" s="14">
        <v>5</v>
      </c>
      <c r="Y120" s="14" t="s">
        <v>38</v>
      </c>
      <c r="Z120" s="14">
        <v>3</v>
      </c>
      <c r="AA120" s="14" t="s">
        <v>39</v>
      </c>
    </row>
    <row r="121" spans="1:27" x14ac:dyDescent="0.35">
      <c r="A121" s="14" t="s">
        <v>321</v>
      </c>
      <c r="B121" s="15">
        <v>45985</v>
      </c>
      <c r="C121" s="14" t="s">
        <v>322</v>
      </c>
      <c r="D121" s="14" t="s">
        <v>80</v>
      </c>
      <c r="E121" s="14" t="s">
        <v>29</v>
      </c>
      <c r="F121" s="14">
        <v>29</v>
      </c>
      <c r="G121" s="14" t="s">
        <v>134</v>
      </c>
      <c r="H121" s="14" t="s">
        <v>31</v>
      </c>
      <c r="I121" s="14" t="s">
        <v>134</v>
      </c>
      <c r="J121" s="14" t="s">
        <v>150</v>
      </c>
      <c r="K121" s="14">
        <v>4</v>
      </c>
      <c r="L121" s="14">
        <v>2455</v>
      </c>
      <c r="M121" s="14">
        <v>5</v>
      </c>
      <c r="N121" s="14">
        <v>491</v>
      </c>
      <c r="O121" s="14">
        <v>1679.22</v>
      </c>
      <c r="P121" s="14">
        <v>255</v>
      </c>
      <c r="Q121" s="14">
        <f t="shared" si="1"/>
        <v>11008.22</v>
      </c>
      <c r="R121" s="14">
        <v>11263.22</v>
      </c>
      <c r="S121" s="14" t="s">
        <v>54</v>
      </c>
      <c r="T121" s="14" t="s">
        <v>63</v>
      </c>
      <c r="U121" s="14" t="s">
        <v>70</v>
      </c>
      <c r="V121" s="14" t="s">
        <v>56</v>
      </c>
      <c r="W121" s="14" t="s">
        <v>57</v>
      </c>
      <c r="X121" s="14">
        <v>4</v>
      </c>
      <c r="Y121" s="14" t="s">
        <v>38</v>
      </c>
      <c r="Z121" s="14">
        <v>4</v>
      </c>
      <c r="AA121" s="14" t="s">
        <v>39</v>
      </c>
    </row>
    <row r="122" spans="1:27" x14ac:dyDescent="0.35">
      <c r="A122" s="14" t="s">
        <v>323</v>
      </c>
      <c r="B122" s="15">
        <v>46002</v>
      </c>
      <c r="C122" s="14" t="s">
        <v>324</v>
      </c>
      <c r="D122" s="14" t="s">
        <v>80</v>
      </c>
      <c r="E122" s="14" t="s">
        <v>29</v>
      </c>
      <c r="F122" s="14">
        <v>39</v>
      </c>
      <c r="G122" s="14" t="s">
        <v>67</v>
      </c>
      <c r="H122" s="14" t="s">
        <v>68</v>
      </c>
      <c r="I122" s="14" t="s">
        <v>67</v>
      </c>
      <c r="J122" s="14" t="s">
        <v>125</v>
      </c>
      <c r="K122" s="14">
        <v>2</v>
      </c>
      <c r="L122" s="14">
        <v>14902</v>
      </c>
      <c r="M122" s="14">
        <v>20</v>
      </c>
      <c r="N122" s="14">
        <v>5960.8</v>
      </c>
      <c r="O122" s="14">
        <v>4291.78</v>
      </c>
      <c r="P122" s="14">
        <v>348</v>
      </c>
      <c r="Q122" s="14">
        <f t="shared" si="1"/>
        <v>28134.98</v>
      </c>
      <c r="R122" s="14">
        <v>28482.98</v>
      </c>
      <c r="S122" s="14" t="s">
        <v>83</v>
      </c>
      <c r="T122" s="14" t="s">
        <v>63</v>
      </c>
      <c r="U122" s="14" t="s">
        <v>76</v>
      </c>
      <c r="V122" s="14" t="s">
        <v>77</v>
      </c>
      <c r="W122" s="14" t="s">
        <v>57</v>
      </c>
      <c r="X122" s="14">
        <v>8</v>
      </c>
      <c r="Y122" s="14" t="s">
        <v>38</v>
      </c>
      <c r="Z122" s="14">
        <v>1</v>
      </c>
      <c r="AA122" s="14" t="s">
        <v>58</v>
      </c>
    </row>
    <row r="123" spans="1:27" x14ac:dyDescent="0.35">
      <c r="A123" s="14" t="s">
        <v>325</v>
      </c>
      <c r="B123" s="15">
        <v>45898</v>
      </c>
      <c r="C123" s="14" t="s">
        <v>326</v>
      </c>
      <c r="D123" s="14" t="s">
        <v>89</v>
      </c>
      <c r="E123" s="14" t="s">
        <v>29</v>
      </c>
      <c r="F123" s="14">
        <v>30</v>
      </c>
      <c r="G123" s="14" t="s">
        <v>51</v>
      </c>
      <c r="H123" s="14" t="s">
        <v>52</v>
      </c>
      <c r="I123" s="14" t="s">
        <v>51</v>
      </c>
      <c r="J123" s="14" t="s">
        <v>150</v>
      </c>
      <c r="K123" s="14">
        <v>2</v>
      </c>
      <c r="L123" s="14">
        <v>13003</v>
      </c>
      <c r="M123" s="14">
        <v>5</v>
      </c>
      <c r="N123" s="14">
        <v>1300.3</v>
      </c>
      <c r="O123" s="14">
        <v>4447.03</v>
      </c>
      <c r="P123" s="14">
        <v>199</v>
      </c>
      <c r="Q123" s="14">
        <f t="shared" si="1"/>
        <v>29152.73</v>
      </c>
      <c r="R123" s="14">
        <v>29351.73</v>
      </c>
      <c r="S123" s="14" t="s">
        <v>33</v>
      </c>
      <c r="T123" s="14" t="s">
        <v>63</v>
      </c>
      <c r="U123" s="14" t="s">
        <v>46</v>
      </c>
      <c r="V123" s="14" t="s">
        <v>36</v>
      </c>
      <c r="W123" s="14" t="s">
        <v>37</v>
      </c>
      <c r="X123" s="14">
        <v>1</v>
      </c>
      <c r="Y123" s="14" t="s">
        <v>47</v>
      </c>
      <c r="Z123" s="14">
        <v>5</v>
      </c>
      <c r="AA123" s="14" t="s">
        <v>39</v>
      </c>
    </row>
    <row r="124" spans="1:27" x14ac:dyDescent="0.35">
      <c r="A124" s="14" t="s">
        <v>327</v>
      </c>
      <c r="B124" s="15">
        <v>45907</v>
      </c>
      <c r="C124" s="14" t="s">
        <v>328</v>
      </c>
      <c r="D124" s="14" t="s">
        <v>50</v>
      </c>
      <c r="E124" s="14" t="s">
        <v>43</v>
      </c>
      <c r="F124" s="14">
        <v>44</v>
      </c>
      <c r="G124" s="14" t="s">
        <v>74</v>
      </c>
      <c r="H124" s="14" t="s">
        <v>31</v>
      </c>
      <c r="I124" s="14" t="s">
        <v>74</v>
      </c>
      <c r="J124" s="14" t="s">
        <v>75</v>
      </c>
      <c r="K124" s="14">
        <v>5</v>
      </c>
      <c r="L124" s="14">
        <v>7255</v>
      </c>
      <c r="M124" s="14">
        <v>5</v>
      </c>
      <c r="N124" s="14">
        <v>1813.75</v>
      </c>
      <c r="O124" s="14">
        <v>6203.02</v>
      </c>
      <c r="P124" s="14">
        <v>388</v>
      </c>
      <c r="Q124" s="14">
        <f t="shared" si="1"/>
        <v>40664.28</v>
      </c>
      <c r="R124" s="14">
        <v>41052.28</v>
      </c>
      <c r="S124" s="14" t="s">
        <v>45</v>
      </c>
      <c r="T124" s="14" t="s">
        <v>34</v>
      </c>
      <c r="U124" s="14" t="s">
        <v>55</v>
      </c>
      <c r="V124" s="14" t="s">
        <v>56</v>
      </c>
      <c r="W124" s="14" t="s">
        <v>57</v>
      </c>
      <c r="X124" s="14">
        <v>10</v>
      </c>
      <c r="Y124" s="14" t="s">
        <v>47</v>
      </c>
      <c r="Z124" s="14">
        <v>2</v>
      </c>
      <c r="AA124" s="14" t="s">
        <v>58</v>
      </c>
    </row>
    <row r="125" spans="1:27" x14ac:dyDescent="0.35">
      <c r="A125" s="14" t="s">
        <v>329</v>
      </c>
      <c r="B125" s="15">
        <v>45897</v>
      </c>
      <c r="C125" s="14" t="s">
        <v>324</v>
      </c>
      <c r="D125" s="14" t="s">
        <v>111</v>
      </c>
      <c r="E125" s="14" t="s">
        <v>29</v>
      </c>
      <c r="F125" s="14">
        <v>39</v>
      </c>
      <c r="G125" s="14" t="s">
        <v>99</v>
      </c>
      <c r="H125" s="14" t="s">
        <v>52</v>
      </c>
      <c r="I125" s="14" t="s">
        <v>99</v>
      </c>
      <c r="J125" s="14" t="s">
        <v>112</v>
      </c>
      <c r="K125" s="14">
        <v>1</v>
      </c>
      <c r="L125" s="14">
        <v>31663</v>
      </c>
      <c r="M125" s="14">
        <v>5</v>
      </c>
      <c r="N125" s="14">
        <v>1583.15</v>
      </c>
      <c r="O125" s="14">
        <v>5414.37</v>
      </c>
      <c r="P125" s="14">
        <v>166</v>
      </c>
      <c r="Q125" s="14">
        <f t="shared" si="1"/>
        <v>35494.22</v>
      </c>
      <c r="R125" s="14">
        <v>35660.22</v>
      </c>
      <c r="S125" s="14" t="s">
        <v>83</v>
      </c>
      <c r="T125" s="14" t="s">
        <v>34</v>
      </c>
      <c r="U125" s="14" t="s">
        <v>55</v>
      </c>
      <c r="V125" s="14" t="s">
        <v>56</v>
      </c>
      <c r="W125" s="14" t="s">
        <v>57</v>
      </c>
      <c r="X125" s="14">
        <v>1</v>
      </c>
      <c r="Y125" s="14" t="s">
        <v>47</v>
      </c>
      <c r="Z125" s="14">
        <v>2</v>
      </c>
      <c r="AA125" s="14" t="s">
        <v>47</v>
      </c>
    </row>
    <row r="126" spans="1:27" x14ac:dyDescent="0.35">
      <c r="A126" s="14" t="s">
        <v>330</v>
      </c>
      <c r="B126" s="15">
        <v>45870</v>
      </c>
      <c r="C126" s="14" t="s">
        <v>331</v>
      </c>
      <c r="D126" s="14" t="s">
        <v>66</v>
      </c>
      <c r="E126" s="14" t="s">
        <v>29</v>
      </c>
      <c r="F126" s="14">
        <v>40</v>
      </c>
      <c r="G126" s="14" t="s">
        <v>99</v>
      </c>
      <c r="H126" s="14" t="s">
        <v>52</v>
      </c>
      <c r="I126" s="14" t="s">
        <v>99</v>
      </c>
      <c r="J126" s="14" t="s">
        <v>53</v>
      </c>
      <c r="K126" s="14">
        <v>2</v>
      </c>
      <c r="L126" s="14">
        <v>48930</v>
      </c>
      <c r="M126" s="14">
        <v>10</v>
      </c>
      <c r="N126" s="14">
        <v>9786</v>
      </c>
      <c r="O126" s="14">
        <v>15853.32</v>
      </c>
      <c r="P126" s="14">
        <v>400</v>
      </c>
      <c r="Q126" s="14">
        <f t="shared" si="1"/>
        <v>103927.32</v>
      </c>
      <c r="R126" s="14">
        <v>104327.32</v>
      </c>
      <c r="S126" s="14" t="s">
        <v>83</v>
      </c>
      <c r="T126" s="14" t="s">
        <v>63</v>
      </c>
      <c r="U126" s="14" t="s">
        <v>76</v>
      </c>
      <c r="V126" s="14" t="s">
        <v>77</v>
      </c>
      <c r="W126" s="14" t="s">
        <v>57</v>
      </c>
      <c r="X126" s="14">
        <v>10</v>
      </c>
      <c r="Y126" s="14" t="s">
        <v>38</v>
      </c>
      <c r="Z126" s="14">
        <v>1</v>
      </c>
      <c r="AA126" s="14" t="s">
        <v>58</v>
      </c>
    </row>
    <row r="127" spans="1:27" x14ac:dyDescent="0.35">
      <c r="A127" s="14" t="s">
        <v>332</v>
      </c>
      <c r="B127" s="15">
        <v>46079</v>
      </c>
      <c r="C127" s="14" t="s">
        <v>333</v>
      </c>
      <c r="D127" s="14" t="s">
        <v>50</v>
      </c>
      <c r="E127" s="14" t="s">
        <v>43</v>
      </c>
      <c r="F127" s="14">
        <v>42</v>
      </c>
      <c r="G127" s="14" t="s">
        <v>139</v>
      </c>
      <c r="H127" s="14" t="s">
        <v>31</v>
      </c>
      <c r="I127" s="14" t="s">
        <v>139</v>
      </c>
      <c r="J127" s="14" t="s">
        <v>125</v>
      </c>
      <c r="K127" s="14">
        <v>4</v>
      </c>
      <c r="L127" s="14">
        <v>11876</v>
      </c>
      <c r="M127" s="14">
        <v>20</v>
      </c>
      <c r="N127" s="14">
        <v>9500.7999999999993</v>
      </c>
      <c r="O127" s="14">
        <v>6840.58</v>
      </c>
      <c r="P127" s="14">
        <v>31</v>
      </c>
      <c r="Q127" s="14">
        <f t="shared" si="1"/>
        <v>44843.78</v>
      </c>
      <c r="R127" s="14">
        <v>44874.78</v>
      </c>
      <c r="S127" s="14" t="s">
        <v>83</v>
      </c>
      <c r="T127" s="14" t="s">
        <v>34</v>
      </c>
      <c r="U127" s="14" t="s">
        <v>35</v>
      </c>
      <c r="V127" s="14" t="s">
        <v>36</v>
      </c>
      <c r="W127" s="14" t="s">
        <v>37</v>
      </c>
      <c r="X127" s="14">
        <v>3</v>
      </c>
      <c r="Y127" s="14" t="s">
        <v>38</v>
      </c>
      <c r="Z127" s="14">
        <v>3</v>
      </c>
      <c r="AA127" s="14" t="s">
        <v>47</v>
      </c>
    </row>
    <row r="128" spans="1:27" x14ac:dyDescent="0.35">
      <c r="A128" s="14" t="s">
        <v>334</v>
      </c>
      <c r="B128" s="15">
        <v>46017</v>
      </c>
      <c r="C128" s="14" t="s">
        <v>335</v>
      </c>
      <c r="D128" s="14" t="s">
        <v>66</v>
      </c>
      <c r="E128" s="14" t="s">
        <v>29</v>
      </c>
      <c r="F128" s="14">
        <v>18</v>
      </c>
      <c r="G128" s="14" t="s">
        <v>51</v>
      </c>
      <c r="H128" s="14" t="s">
        <v>52</v>
      </c>
      <c r="I128" s="14" t="s">
        <v>51</v>
      </c>
      <c r="J128" s="14" t="s">
        <v>102</v>
      </c>
      <c r="K128" s="14">
        <v>3</v>
      </c>
      <c r="L128" s="14">
        <v>6898</v>
      </c>
      <c r="M128" s="14">
        <v>10</v>
      </c>
      <c r="N128" s="14">
        <v>2069.4</v>
      </c>
      <c r="O128" s="14">
        <v>3352.43</v>
      </c>
      <c r="P128" s="14">
        <v>417</v>
      </c>
      <c r="Q128" s="14">
        <f t="shared" si="1"/>
        <v>21977.03</v>
      </c>
      <c r="R128" s="14">
        <v>22394.03</v>
      </c>
      <c r="S128" s="14" t="s">
        <v>83</v>
      </c>
      <c r="T128" s="14" t="s">
        <v>34</v>
      </c>
      <c r="U128" s="14" t="s">
        <v>76</v>
      </c>
      <c r="V128" s="14" t="s">
        <v>77</v>
      </c>
      <c r="W128" s="14" t="s">
        <v>57</v>
      </c>
      <c r="X128" s="14">
        <v>4</v>
      </c>
      <c r="Y128" s="14" t="s">
        <v>38</v>
      </c>
      <c r="Z128" s="14">
        <v>2</v>
      </c>
      <c r="AA128" s="14" t="s">
        <v>39</v>
      </c>
    </row>
    <row r="129" spans="1:27" x14ac:dyDescent="0.35">
      <c r="A129" s="14" t="s">
        <v>336</v>
      </c>
      <c r="B129" s="15">
        <v>46114</v>
      </c>
      <c r="C129" s="14" t="s">
        <v>337</v>
      </c>
      <c r="D129" s="14" t="s">
        <v>50</v>
      </c>
      <c r="E129" s="14" t="s">
        <v>43</v>
      </c>
      <c r="F129" s="14">
        <v>33</v>
      </c>
      <c r="G129" s="14" t="s">
        <v>94</v>
      </c>
      <c r="H129" s="14" t="s">
        <v>31</v>
      </c>
      <c r="I129" s="14" t="s">
        <v>94</v>
      </c>
      <c r="J129" s="14" t="s">
        <v>69</v>
      </c>
      <c r="K129" s="14">
        <v>5</v>
      </c>
      <c r="L129" s="14">
        <v>27664</v>
      </c>
      <c r="M129" s="14">
        <v>0</v>
      </c>
      <c r="N129" s="14">
        <v>0</v>
      </c>
      <c r="O129" s="14">
        <v>24897.599999999999</v>
      </c>
      <c r="P129" s="14">
        <v>18</v>
      </c>
      <c r="Q129" s="14">
        <f t="shared" si="1"/>
        <v>163217.60000000001</v>
      </c>
      <c r="R129" s="14">
        <v>163235.6</v>
      </c>
      <c r="S129" s="14" t="s">
        <v>33</v>
      </c>
      <c r="T129" s="14" t="s">
        <v>63</v>
      </c>
      <c r="U129" s="14" t="s">
        <v>103</v>
      </c>
      <c r="V129" s="14" t="s">
        <v>103</v>
      </c>
      <c r="W129" s="14" t="s">
        <v>57</v>
      </c>
      <c r="X129" s="14">
        <v>10</v>
      </c>
      <c r="Y129" s="14" t="s">
        <v>47</v>
      </c>
      <c r="Z129" s="14">
        <v>3</v>
      </c>
      <c r="AA129" s="14" t="s">
        <v>47</v>
      </c>
    </row>
    <row r="130" spans="1:27" x14ac:dyDescent="0.35">
      <c r="A130" s="14" t="s">
        <v>338</v>
      </c>
      <c r="B130" s="15">
        <v>45899</v>
      </c>
      <c r="C130" s="14" t="s">
        <v>339</v>
      </c>
      <c r="D130" s="14" t="s">
        <v>28</v>
      </c>
      <c r="E130" s="14" t="s">
        <v>43</v>
      </c>
      <c r="F130" s="14">
        <v>25</v>
      </c>
      <c r="G130" s="14" t="s">
        <v>74</v>
      </c>
      <c r="H130" s="14" t="s">
        <v>31</v>
      </c>
      <c r="I130" s="14" t="s">
        <v>74</v>
      </c>
      <c r="J130" s="14" t="s">
        <v>125</v>
      </c>
      <c r="K130" s="14">
        <v>5</v>
      </c>
      <c r="L130" s="14">
        <v>31878</v>
      </c>
      <c r="M130" s="14">
        <v>5</v>
      </c>
      <c r="N130" s="14">
        <v>7969.5</v>
      </c>
      <c r="O130" s="14">
        <v>27255.69</v>
      </c>
      <c r="P130" s="14">
        <v>288</v>
      </c>
      <c r="Q130" s="14">
        <f t="shared" si="1"/>
        <v>178676.19</v>
      </c>
      <c r="R130" s="14">
        <v>178964.19</v>
      </c>
      <c r="S130" s="14" t="s">
        <v>45</v>
      </c>
      <c r="T130" s="14" t="s">
        <v>63</v>
      </c>
      <c r="U130" s="14" t="s">
        <v>95</v>
      </c>
      <c r="V130" s="14" t="s">
        <v>96</v>
      </c>
      <c r="W130" s="14" t="s">
        <v>57</v>
      </c>
      <c r="X130" s="14">
        <v>7</v>
      </c>
      <c r="Y130" s="14" t="s">
        <v>38</v>
      </c>
      <c r="Z130" s="14">
        <v>4</v>
      </c>
      <c r="AA130" s="14" t="s">
        <v>47</v>
      </c>
    </row>
    <row r="131" spans="1:27" x14ac:dyDescent="0.35">
      <c r="A131" s="14" t="s">
        <v>340</v>
      </c>
      <c r="B131" s="15">
        <v>46019</v>
      </c>
      <c r="C131" s="14" t="s">
        <v>341</v>
      </c>
      <c r="D131" s="14" t="s">
        <v>89</v>
      </c>
      <c r="E131" s="14" t="s">
        <v>29</v>
      </c>
      <c r="F131" s="14">
        <v>40</v>
      </c>
      <c r="G131" s="14" t="s">
        <v>139</v>
      </c>
      <c r="H131" s="14" t="s">
        <v>31</v>
      </c>
      <c r="I131" s="14" t="s">
        <v>139</v>
      </c>
      <c r="J131" s="14" t="s">
        <v>112</v>
      </c>
      <c r="K131" s="14">
        <v>2</v>
      </c>
      <c r="L131" s="14">
        <v>33074</v>
      </c>
      <c r="M131" s="14">
        <v>10</v>
      </c>
      <c r="N131" s="14">
        <v>6614.8</v>
      </c>
      <c r="O131" s="14">
        <v>10715.98</v>
      </c>
      <c r="P131" s="14">
        <v>377</v>
      </c>
      <c r="Q131" s="14">
        <f t="shared" ref="Q131:Q194" si="2">R131-P131</f>
        <v>70249.179999999993</v>
      </c>
      <c r="R131" s="14">
        <v>70626.179999999993</v>
      </c>
      <c r="S131" s="14" t="s">
        <v>33</v>
      </c>
      <c r="T131" s="14" t="s">
        <v>34</v>
      </c>
      <c r="U131" s="14" t="s">
        <v>103</v>
      </c>
      <c r="V131" s="14" t="s">
        <v>103</v>
      </c>
      <c r="W131" s="14" t="s">
        <v>57</v>
      </c>
      <c r="X131" s="14">
        <v>4</v>
      </c>
      <c r="Y131" s="14" t="s">
        <v>47</v>
      </c>
      <c r="Z131" s="14">
        <v>3</v>
      </c>
      <c r="AA131" s="14" t="s">
        <v>39</v>
      </c>
    </row>
    <row r="132" spans="1:27" x14ac:dyDescent="0.35">
      <c r="A132" s="14" t="s">
        <v>342</v>
      </c>
      <c r="B132" s="15">
        <v>46112</v>
      </c>
      <c r="C132" s="14" t="s">
        <v>343</v>
      </c>
      <c r="D132" s="14" t="s">
        <v>108</v>
      </c>
      <c r="E132" s="14" t="s">
        <v>29</v>
      </c>
      <c r="F132" s="14">
        <v>29</v>
      </c>
      <c r="G132" s="14" t="s">
        <v>134</v>
      </c>
      <c r="H132" s="14" t="s">
        <v>31</v>
      </c>
      <c r="I132" s="14" t="s">
        <v>134</v>
      </c>
      <c r="J132" s="14" t="s">
        <v>102</v>
      </c>
      <c r="K132" s="14">
        <v>1</v>
      </c>
      <c r="L132" s="14">
        <v>24321</v>
      </c>
      <c r="M132" s="14">
        <v>10</v>
      </c>
      <c r="N132" s="14">
        <v>2432.1</v>
      </c>
      <c r="O132" s="14">
        <v>3940</v>
      </c>
      <c r="P132" s="14">
        <v>350</v>
      </c>
      <c r="Q132" s="14">
        <f t="shared" si="2"/>
        <v>25828.9</v>
      </c>
      <c r="R132" s="14">
        <v>26178.9</v>
      </c>
      <c r="S132" s="14" t="s">
        <v>45</v>
      </c>
      <c r="T132" s="14" t="s">
        <v>63</v>
      </c>
      <c r="U132" s="14" t="s">
        <v>103</v>
      </c>
      <c r="V132" s="14" t="s">
        <v>103</v>
      </c>
      <c r="W132" s="14" t="s">
        <v>57</v>
      </c>
      <c r="X132" s="14">
        <v>3</v>
      </c>
      <c r="Y132" s="14" t="s">
        <v>47</v>
      </c>
      <c r="Z132" s="14">
        <v>5</v>
      </c>
      <c r="AA132" s="14" t="s">
        <v>39</v>
      </c>
    </row>
    <row r="133" spans="1:27" x14ac:dyDescent="0.35">
      <c r="A133" s="14" t="s">
        <v>344</v>
      </c>
      <c r="B133" s="15">
        <v>45800</v>
      </c>
      <c r="C133" s="14" t="s">
        <v>345</v>
      </c>
      <c r="D133" s="14" t="s">
        <v>108</v>
      </c>
      <c r="E133" s="14" t="s">
        <v>29</v>
      </c>
      <c r="F133" s="14">
        <v>45</v>
      </c>
      <c r="G133" s="14" t="s">
        <v>74</v>
      </c>
      <c r="H133" s="14" t="s">
        <v>31</v>
      </c>
      <c r="I133" s="14" t="s">
        <v>74</v>
      </c>
      <c r="J133" s="14" t="s">
        <v>150</v>
      </c>
      <c r="K133" s="14">
        <v>4</v>
      </c>
      <c r="L133" s="14">
        <v>42895</v>
      </c>
      <c r="M133" s="14">
        <v>15</v>
      </c>
      <c r="N133" s="14">
        <v>25737</v>
      </c>
      <c r="O133" s="14">
        <v>26251.74</v>
      </c>
      <c r="P133" s="14">
        <v>98</v>
      </c>
      <c r="Q133" s="14">
        <f t="shared" si="2"/>
        <v>172094.74</v>
      </c>
      <c r="R133" s="14">
        <v>172192.74</v>
      </c>
      <c r="S133" s="14" t="s">
        <v>83</v>
      </c>
      <c r="T133" s="14" t="s">
        <v>34</v>
      </c>
      <c r="U133" s="14" t="s">
        <v>95</v>
      </c>
      <c r="V133" s="14" t="s">
        <v>96</v>
      </c>
      <c r="W133" s="14" t="s">
        <v>57</v>
      </c>
      <c r="X133" s="14">
        <v>9</v>
      </c>
      <c r="Y133" s="14" t="s">
        <v>47</v>
      </c>
      <c r="Z133" s="14">
        <v>1</v>
      </c>
      <c r="AA133" s="14" t="s">
        <v>91</v>
      </c>
    </row>
    <row r="134" spans="1:27" x14ac:dyDescent="0.35">
      <c r="A134" s="14" t="s">
        <v>346</v>
      </c>
      <c r="B134" s="15">
        <v>46058</v>
      </c>
      <c r="C134" s="14" t="s">
        <v>347</v>
      </c>
      <c r="D134" s="14" t="s">
        <v>28</v>
      </c>
      <c r="E134" s="14" t="s">
        <v>29</v>
      </c>
      <c r="F134" s="14">
        <v>58</v>
      </c>
      <c r="G134" s="14" t="s">
        <v>44</v>
      </c>
      <c r="H134" s="14" t="s">
        <v>31</v>
      </c>
      <c r="I134" s="14" t="s">
        <v>44</v>
      </c>
      <c r="J134" s="14" t="s">
        <v>125</v>
      </c>
      <c r="K134" s="14">
        <v>5</v>
      </c>
      <c r="L134" s="14">
        <v>48980</v>
      </c>
      <c r="M134" s="14">
        <v>0</v>
      </c>
      <c r="N134" s="14">
        <v>0</v>
      </c>
      <c r="O134" s="14">
        <v>44082</v>
      </c>
      <c r="P134" s="14">
        <v>96</v>
      </c>
      <c r="Q134" s="14">
        <f t="shared" si="2"/>
        <v>288982</v>
      </c>
      <c r="R134" s="14">
        <v>289078</v>
      </c>
      <c r="S134" s="14" t="s">
        <v>83</v>
      </c>
      <c r="T134" s="14" t="s">
        <v>34</v>
      </c>
      <c r="U134" s="14" t="s">
        <v>76</v>
      </c>
      <c r="V134" s="14" t="s">
        <v>77</v>
      </c>
      <c r="W134" s="14" t="s">
        <v>57</v>
      </c>
      <c r="X134" s="14">
        <v>5</v>
      </c>
      <c r="Y134" s="14" t="s">
        <v>47</v>
      </c>
      <c r="Z134" s="14">
        <v>2</v>
      </c>
      <c r="AA134" s="14" t="s">
        <v>47</v>
      </c>
    </row>
    <row r="135" spans="1:27" x14ac:dyDescent="0.35">
      <c r="A135" s="14" t="s">
        <v>348</v>
      </c>
      <c r="B135" s="15">
        <v>45852</v>
      </c>
      <c r="C135" s="14" t="s">
        <v>226</v>
      </c>
      <c r="D135" s="14" t="s">
        <v>50</v>
      </c>
      <c r="E135" s="14" t="s">
        <v>43</v>
      </c>
      <c r="F135" s="14">
        <v>33</v>
      </c>
      <c r="G135" s="14" t="s">
        <v>134</v>
      </c>
      <c r="H135" s="14" t="s">
        <v>31</v>
      </c>
      <c r="I135" s="14" t="s">
        <v>134</v>
      </c>
      <c r="J135" s="14" t="s">
        <v>150</v>
      </c>
      <c r="K135" s="14">
        <v>1</v>
      </c>
      <c r="L135" s="14">
        <v>49527</v>
      </c>
      <c r="M135" s="14">
        <v>0</v>
      </c>
      <c r="N135" s="14">
        <v>0</v>
      </c>
      <c r="O135" s="14">
        <v>8914.86</v>
      </c>
      <c r="P135" s="14">
        <v>456</v>
      </c>
      <c r="Q135" s="14">
        <f t="shared" si="2"/>
        <v>58441.86</v>
      </c>
      <c r="R135" s="14">
        <v>58897.86</v>
      </c>
      <c r="S135" s="14" t="s">
        <v>54</v>
      </c>
      <c r="T135" s="14" t="s">
        <v>34</v>
      </c>
      <c r="U135" s="14" t="s">
        <v>46</v>
      </c>
      <c r="V135" s="14" t="s">
        <v>36</v>
      </c>
      <c r="W135" s="14" t="s">
        <v>37</v>
      </c>
      <c r="X135" s="14">
        <v>5</v>
      </c>
      <c r="Y135" s="14" t="s">
        <v>47</v>
      </c>
      <c r="Z135" s="14">
        <v>5</v>
      </c>
      <c r="AA135" s="14" t="s">
        <v>47</v>
      </c>
    </row>
    <row r="136" spans="1:27" x14ac:dyDescent="0.35">
      <c r="A136" s="14" t="s">
        <v>349</v>
      </c>
      <c r="B136" s="15">
        <v>45771</v>
      </c>
      <c r="C136" s="14" t="s">
        <v>350</v>
      </c>
      <c r="D136" s="14" t="s">
        <v>73</v>
      </c>
      <c r="E136" s="14" t="s">
        <v>29</v>
      </c>
      <c r="F136" s="14">
        <v>55</v>
      </c>
      <c r="G136" s="14" t="s">
        <v>134</v>
      </c>
      <c r="H136" s="14" t="s">
        <v>31</v>
      </c>
      <c r="I136" s="14" t="s">
        <v>134</v>
      </c>
      <c r="J136" s="14" t="s">
        <v>102</v>
      </c>
      <c r="K136" s="14">
        <v>4</v>
      </c>
      <c r="L136" s="14">
        <v>24297</v>
      </c>
      <c r="M136" s="14">
        <v>5</v>
      </c>
      <c r="N136" s="14">
        <v>4859.3999999999996</v>
      </c>
      <c r="O136" s="14">
        <v>16619.150000000001</v>
      </c>
      <c r="P136" s="14">
        <v>167</v>
      </c>
      <c r="Q136" s="14">
        <f t="shared" si="2"/>
        <v>108947.75</v>
      </c>
      <c r="R136" s="14">
        <v>109114.75</v>
      </c>
      <c r="S136" s="14" t="s">
        <v>45</v>
      </c>
      <c r="T136" s="14" t="s">
        <v>34</v>
      </c>
      <c r="U136" s="14" t="s">
        <v>95</v>
      </c>
      <c r="V136" s="14" t="s">
        <v>96</v>
      </c>
      <c r="W136" s="14" t="s">
        <v>57</v>
      </c>
      <c r="X136" s="14">
        <v>5</v>
      </c>
      <c r="Y136" s="14" t="s">
        <v>38</v>
      </c>
      <c r="Z136" s="14">
        <v>1</v>
      </c>
      <c r="AA136" s="14" t="s">
        <v>39</v>
      </c>
    </row>
    <row r="137" spans="1:27" x14ac:dyDescent="0.35">
      <c r="A137" s="14" t="s">
        <v>351</v>
      </c>
      <c r="B137" s="15">
        <v>45793</v>
      </c>
      <c r="C137" s="14" t="s">
        <v>352</v>
      </c>
      <c r="D137" s="14" t="s">
        <v>80</v>
      </c>
      <c r="E137" s="14" t="s">
        <v>43</v>
      </c>
      <c r="F137" s="14">
        <v>57</v>
      </c>
      <c r="G137" s="14" t="s">
        <v>74</v>
      </c>
      <c r="H137" s="14" t="s">
        <v>31</v>
      </c>
      <c r="I137" s="14" t="s">
        <v>74</v>
      </c>
      <c r="J137" s="14" t="s">
        <v>112</v>
      </c>
      <c r="K137" s="14">
        <v>5</v>
      </c>
      <c r="L137" s="14">
        <v>47683</v>
      </c>
      <c r="M137" s="14">
        <v>5</v>
      </c>
      <c r="N137" s="14">
        <v>11920.75</v>
      </c>
      <c r="O137" s="14">
        <v>40768.959999999999</v>
      </c>
      <c r="P137" s="14">
        <v>420</v>
      </c>
      <c r="Q137" s="14">
        <f t="shared" si="2"/>
        <v>267263.21000000002</v>
      </c>
      <c r="R137" s="14">
        <v>267683.21000000002</v>
      </c>
      <c r="S137" s="14" t="s">
        <v>33</v>
      </c>
      <c r="T137" s="14" t="s">
        <v>34</v>
      </c>
      <c r="U137" s="14" t="s">
        <v>103</v>
      </c>
      <c r="V137" s="14" t="s">
        <v>103</v>
      </c>
      <c r="W137" s="14" t="s">
        <v>57</v>
      </c>
      <c r="X137" s="14">
        <v>4</v>
      </c>
      <c r="Y137" s="14" t="s">
        <v>47</v>
      </c>
      <c r="Z137" s="14">
        <v>4</v>
      </c>
      <c r="AA137" s="14" t="s">
        <v>39</v>
      </c>
    </row>
    <row r="138" spans="1:27" x14ac:dyDescent="0.35">
      <c r="A138" s="14" t="s">
        <v>353</v>
      </c>
      <c r="B138" s="15">
        <v>45910</v>
      </c>
      <c r="C138" s="14" t="s">
        <v>354</v>
      </c>
      <c r="D138" s="14" t="s">
        <v>61</v>
      </c>
      <c r="E138" s="14" t="s">
        <v>43</v>
      </c>
      <c r="F138" s="14">
        <v>59</v>
      </c>
      <c r="G138" s="14" t="s">
        <v>44</v>
      </c>
      <c r="H138" s="14" t="s">
        <v>31</v>
      </c>
      <c r="I138" s="14" t="s">
        <v>44</v>
      </c>
      <c r="J138" s="14" t="s">
        <v>202</v>
      </c>
      <c r="K138" s="14">
        <v>3</v>
      </c>
      <c r="L138" s="14">
        <v>48486</v>
      </c>
      <c r="M138" s="14">
        <v>0</v>
      </c>
      <c r="N138" s="14">
        <v>0</v>
      </c>
      <c r="O138" s="14">
        <v>26182.44</v>
      </c>
      <c r="P138" s="14">
        <v>460</v>
      </c>
      <c r="Q138" s="14">
        <f t="shared" si="2"/>
        <v>171640.44</v>
      </c>
      <c r="R138" s="14">
        <v>172100.44</v>
      </c>
      <c r="S138" s="14" t="s">
        <v>54</v>
      </c>
      <c r="T138" s="14" t="s">
        <v>34</v>
      </c>
      <c r="U138" s="14" t="s">
        <v>84</v>
      </c>
      <c r="V138" s="14" t="s">
        <v>85</v>
      </c>
      <c r="W138" s="14" t="s">
        <v>86</v>
      </c>
      <c r="X138" s="14">
        <v>6</v>
      </c>
      <c r="Y138" s="14" t="s">
        <v>38</v>
      </c>
      <c r="Z138" s="14">
        <v>2</v>
      </c>
      <c r="AA138" s="14" t="s">
        <v>58</v>
      </c>
    </row>
    <row r="139" spans="1:27" x14ac:dyDescent="0.35">
      <c r="A139" s="14" t="s">
        <v>355</v>
      </c>
      <c r="B139" s="15">
        <v>45844</v>
      </c>
      <c r="C139" s="14" t="s">
        <v>356</v>
      </c>
      <c r="D139" s="14" t="s">
        <v>80</v>
      </c>
      <c r="E139" s="14" t="s">
        <v>43</v>
      </c>
      <c r="F139" s="14">
        <v>18</v>
      </c>
      <c r="G139" s="14" t="s">
        <v>74</v>
      </c>
      <c r="H139" s="14" t="s">
        <v>31</v>
      </c>
      <c r="I139" s="14" t="s">
        <v>74</v>
      </c>
      <c r="J139" s="14" t="s">
        <v>62</v>
      </c>
      <c r="K139" s="14">
        <v>4</v>
      </c>
      <c r="L139" s="14">
        <v>35587</v>
      </c>
      <c r="M139" s="14">
        <v>10</v>
      </c>
      <c r="N139" s="14">
        <v>14234.8</v>
      </c>
      <c r="O139" s="14">
        <v>23060.38</v>
      </c>
      <c r="P139" s="14">
        <v>243</v>
      </c>
      <c r="Q139" s="14">
        <f t="shared" si="2"/>
        <v>151173.57999999999</v>
      </c>
      <c r="R139" s="14">
        <v>151416.57999999999</v>
      </c>
      <c r="S139" s="14" t="s">
        <v>83</v>
      </c>
      <c r="T139" s="14" t="s">
        <v>34</v>
      </c>
      <c r="U139" s="14" t="s">
        <v>70</v>
      </c>
      <c r="V139" s="14" t="s">
        <v>56</v>
      </c>
      <c r="W139" s="14" t="s">
        <v>57</v>
      </c>
      <c r="X139" s="14">
        <v>3</v>
      </c>
      <c r="Y139" s="14" t="s">
        <v>38</v>
      </c>
      <c r="Z139" s="14">
        <v>4</v>
      </c>
      <c r="AA139" s="14" t="s">
        <v>91</v>
      </c>
    </row>
    <row r="140" spans="1:27" x14ac:dyDescent="0.35">
      <c r="A140" s="14" t="s">
        <v>357</v>
      </c>
      <c r="B140" s="15">
        <v>45870</v>
      </c>
      <c r="C140" s="14" t="s">
        <v>333</v>
      </c>
      <c r="D140" s="14" t="s">
        <v>28</v>
      </c>
      <c r="E140" s="14" t="s">
        <v>43</v>
      </c>
      <c r="F140" s="14">
        <v>47</v>
      </c>
      <c r="G140" s="14" t="s">
        <v>90</v>
      </c>
      <c r="H140" s="14" t="s">
        <v>31</v>
      </c>
      <c r="I140" s="14" t="s">
        <v>90</v>
      </c>
      <c r="J140" s="14" t="s">
        <v>150</v>
      </c>
      <c r="K140" s="14">
        <v>5</v>
      </c>
      <c r="L140" s="14">
        <v>38537</v>
      </c>
      <c r="M140" s="14">
        <v>20</v>
      </c>
      <c r="N140" s="14">
        <v>38537</v>
      </c>
      <c r="O140" s="14">
        <v>27746.639999999999</v>
      </c>
      <c r="P140" s="14">
        <v>428</v>
      </c>
      <c r="Q140" s="14">
        <f t="shared" si="2"/>
        <v>181894.64</v>
      </c>
      <c r="R140" s="14">
        <v>182322.64</v>
      </c>
      <c r="S140" s="14" t="s">
        <v>54</v>
      </c>
      <c r="T140" s="14" t="s">
        <v>63</v>
      </c>
      <c r="U140" s="14" t="s">
        <v>84</v>
      </c>
      <c r="V140" s="14" t="s">
        <v>85</v>
      </c>
      <c r="W140" s="14" t="s">
        <v>86</v>
      </c>
      <c r="X140" s="14">
        <v>8</v>
      </c>
      <c r="Y140" s="14" t="s">
        <v>38</v>
      </c>
      <c r="Z140" s="14">
        <v>1</v>
      </c>
      <c r="AA140" s="14" t="s">
        <v>91</v>
      </c>
    </row>
    <row r="141" spans="1:27" x14ac:dyDescent="0.35">
      <c r="A141" s="14" t="s">
        <v>358</v>
      </c>
      <c r="B141" s="15">
        <v>46021</v>
      </c>
      <c r="C141" s="14" t="s">
        <v>280</v>
      </c>
      <c r="D141" s="14" t="s">
        <v>42</v>
      </c>
      <c r="E141" s="14" t="s">
        <v>29</v>
      </c>
      <c r="F141" s="14">
        <v>18</v>
      </c>
      <c r="G141" s="14" t="s">
        <v>90</v>
      </c>
      <c r="H141" s="14" t="s">
        <v>31</v>
      </c>
      <c r="I141" s="14" t="s">
        <v>90</v>
      </c>
      <c r="J141" s="14" t="s">
        <v>125</v>
      </c>
      <c r="K141" s="14">
        <v>5</v>
      </c>
      <c r="L141" s="14">
        <v>2675</v>
      </c>
      <c r="M141" s="14">
        <v>15</v>
      </c>
      <c r="N141" s="14">
        <v>2006.25</v>
      </c>
      <c r="O141" s="14">
        <v>2046.38</v>
      </c>
      <c r="P141" s="14">
        <v>318</v>
      </c>
      <c r="Q141" s="14">
        <f t="shared" si="2"/>
        <v>13415.12</v>
      </c>
      <c r="R141" s="14">
        <v>13733.12</v>
      </c>
      <c r="S141" s="14" t="s">
        <v>33</v>
      </c>
      <c r="T141" s="14" t="s">
        <v>34</v>
      </c>
      <c r="U141" s="14" t="s">
        <v>46</v>
      </c>
      <c r="V141" s="14" t="s">
        <v>36</v>
      </c>
      <c r="W141" s="14" t="s">
        <v>37</v>
      </c>
      <c r="X141" s="14">
        <v>3</v>
      </c>
      <c r="Y141" s="14" t="s">
        <v>47</v>
      </c>
      <c r="Z141" s="14">
        <v>1</v>
      </c>
      <c r="AA141" s="14" t="s">
        <v>58</v>
      </c>
    </row>
    <row r="142" spans="1:27" x14ac:dyDescent="0.35">
      <c r="A142" s="14" t="s">
        <v>359</v>
      </c>
      <c r="B142" s="15">
        <v>45776</v>
      </c>
      <c r="C142" s="14" t="s">
        <v>360</v>
      </c>
      <c r="D142" s="14" t="s">
        <v>80</v>
      </c>
      <c r="E142" s="14" t="s">
        <v>43</v>
      </c>
      <c r="F142" s="14">
        <v>43</v>
      </c>
      <c r="G142" s="14" t="s">
        <v>67</v>
      </c>
      <c r="H142" s="14" t="s">
        <v>68</v>
      </c>
      <c r="I142" s="14" t="s">
        <v>67</v>
      </c>
      <c r="J142" s="14" t="s">
        <v>150</v>
      </c>
      <c r="K142" s="14">
        <v>3</v>
      </c>
      <c r="L142" s="14">
        <v>31905</v>
      </c>
      <c r="M142" s="14">
        <v>5</v>
      </c>
      <c r="N142" s="14">
        <v>4785.75</v>
      </c>
      <c r="O142" s="14">
        <v>16367.26</v>
      </c>
      <c r="P142" s="14">
        <v>396</v>
      </c>
      <c r="Q142" s="14">
        <f t="shared" si="2"/>
        <v>107296.51</v>
      </c>
      <c r="R142" s="14">
        <v>107692.51</v>
      </c>
      <c r="S142" s="14" t="s">
        <v>83</v>
      </c>
      <c r="T142" s="14" t="s">
        <v>63</v>
      </c>
      <c r="U142" s="14" t="s">
        <v>70</v>
      </c>
      <c r="V142" s="14" t="s">
        <v>56</v>
      </c>
      <c r="W142" s="14" t="s">
        <v>57</v>
      </c>
      <c r="X142" s="14">
        <v>2</v>
      </c>
      <c r="Y142" s="14" t="s">
        <v>47</v>
      </c>
      <c r="Z142" s="14">
        <v>5</v>
      </c>
      <c r="AA142" s="14" t="s">
        <v>58</v>
      </c>
    </row>
    <row r="143" spans="1:27" x14ac:dyDescent="0.35">
      <c r="A143" s="14" t="s">
        <v>361</v>
      </c>
      <c r="B143" s="15">
        <v>45869</v>
      </c>
      <c r="C143" s="14" t="s">
        <v>105</v>
      </c>
      <c r="D143" s="14" t="s">
        <v>28</v>
      </c>
      <c r="E143" s="14" t="s">
        <v>43</v>
      </c>
      <c r="F143" s="14">
        <v>60</v>
      </c>
      <c r="G143" s="14" t="s">
        <v>90</v>
      </c>
      <c r="H143" s="14" t="s">
        <v>31</v>
      </c>
      <c r="I143" s="14" t="s">
        <v>90</v>
      </c>
      <c r="J143" s="14" t="s">
        <v>202</v>
      </c>
      <c r="K143" s="14">
        <v>1</v>
      </c>
      <c r="L143" s="14">
        <v>37253</v>
      </c>
      <c r="M143" s="14">
        <v>5</v>
      </c>
      <c r="N143" s="14">
        <v>1862.65</v>
      </c>
      <c r="O143" s="14">
        <v>6370.26</v>
      </c>
      <c r="P143" s="14">
        <v>234</v>
      </c>
      <c r="Q143" s="14">
        <f t="shared" si="2"/>
        <v>41760.61</v>
      </c>
      <c r="R143" s="14">
        <v>41994.61</v>
      </c>
      <c r="S143" s="14" t="s">
        <v>45</v>
      </c>
      <c r="T143" s="14" t="s">
        <v>34</v>
      </c>
      <c r="U143" s="14" t="s">
        <v>76</v>
      </c>
      <c r="V143" s="14" t="s">
        <v>77</v>
      </c>
      <c r="W143" s="14" t="s">
        <v>57</v>
      </c>
      <c r="X143" s="14">
        <v>4</v>
      </c>
      <c r="Y143" s="14" t="s">
        <v>38</v>
      </c>
      <c r="Z143" s="14">
        <v>1</v>
      </c>
      <c r="AA143" s="14" t="s">
        <v>39</v>
      </c>
    </row>
    <row r="144" spans="1:27" x14ac:dyDescent="0.35">
      <c r="A144" s="14" t="s">
        <v>362</v>
      </c>
      <c r="B144" s="15">
        <v>45941</v>
      </c>
      <c r="C144" s="14" t="s">
        <v>352</v>
      </c>
      <c r="D144" s="14" t="s">
        <v>80</v>
      </c>
      <c r="E144" s="14" t="s">
        <v>29</v>
      </c>
      <c r="F144" s="14">
        <v>24</v>
      </c>
      <c r="G144" s="14" t="s">
        <v>74</v>
      </c>
      <c r="H144" s="14" t="s">
        <v>31</v>
      </c>
      <c r="I144" s="14" t="s">
        <v>74</v>
      </c>
      <c r="J144" s="14" t="s">
        <v>112</v>
      </c>
      <c r="K144" s="14">
        <v>1</v>
      </c>
      <c r="L144" s="14">
        <v>7447</v>
      </c>
      <c r="M144" s="14">
        <v>20</v>
      </c>
      <c r="N144" s="14">
        <v>1489.4</v>
      </c>
      <c r="O144" s="14">
        <v>1072.3699999999999</v>
      </c>
      <c r="P144" s="14">
        <v>383</v>
      </c>
      <c r="Q144" s="14">
        <f t="shared" si="2"/>
        <v>7029.97</v>
      </c>
      <c r="R144" s="14">
        <v>7412.97</v>
      </c>
      <c r="S144" s="14" t="s">
        <v>33</v>
      </c>
      <c r="T144" s="14" t="s">
        <v>34</v>
      </c>
      <c r="U144" s="14" t="s">
        <v>103</v>
      </c>
      <c r="V144" s="14" t="s">
        <v>103</v>
      </c>
      <c r="W144" s="14" t="s">
        <v>57</v>
      </c>
      <c r="X144" s="14">
        <v>6</v>
      </c>
      <c r="Y144" s="14" t="s">
        <v>38</v>
      </c>
      <c r="Z144" s="14">
        <v>5</v>
      </c>
      <c r="AA144" s="14" t="s">
        <v>91</v>
      </c>
    </row>
    <row r="145" spans="1:27" x14ac:dyDescent="0.35">
      <c r="A145" s="14" t="s">
        <v>363</v>
      </c>
      <c r="B145" s="15">
        <v>45831</v>
      </c>
      <c r="C145" s="14" t="s">
        <v>364</v>
      </c>
      <c r="D145" s="14" t="s">
        <v>28</v>
      </c>
      <c r="E145" s="14" t="s">
        <v>29</v>
      </c>
      <c r="F145" s="14">
        <v>27</v>
      </c>
      <c r="G145" s="14" t="s">
        <v>94</v>
      </c>
      <c r="H145" s="14" t="s">
        <v>31</v>
      </c>
      <c r="I145" s="14" t="s">
        <v>94</v>
      </c>
      <c r="J145" s="14" t="s">
        <v>112</v>
      </c>
      <c r="K145" s="14">
        <v>3</v>
      </c>
      <c r="L145" s="14">
        <v>2465</v>
      </c>
      <c r="M145" s="14">
        <v>5</v>
      </c>
      <c r="N145" s="14">
        <v>369.75</v>
      </c>
      <c r="O145" s="14">
        <v>1264.54</v>
      </c>
      <c r="P145" s="14">
        <v>407</v>
      </c>
      <c r="Q145" s="14">
        <f t="shared" si="2"/>
        <v>8289.7999999999993</v>
      </c>
      <c r="R145" s="14">
        <v>8696.7999999999993</v>
      </c>
      <c r="S145" s="14" t="s">
        <v>33</v>
      </c>
      <c r="T145" s="14" t="s">
        <v>63</v>
      </c>
      <c r="U145" s="14" t="s">
        <v>70</v>
      </c>
      <c r="V145" s="14" t="s">
        <v>56</v>
      </c>
      <c r="W145" s="14" t="s">
        <v>57</v>
      </c>
      <c r="X145" s="14">
        <v>5</v>
      </c>
      <c r="Y145" s="14" t="s">
        <v>47</v>
      </c>
      <c r="Z145" s="14">
        <v>5</v>
      </c>
      <c r="AA145" s="14" t="s">
        <v>47</v>
      </c>
    </row>
    <row r="146" spans="1:27" x14ac:dyDescent="0.35">
      <c r="A146" s="14" t="s">
        <v>365</v>
      </c>
      <c r="B146" s="15">
        <v>45857</v>
      </c>
      <c r="C146" s="14" t="s">
        <v>366</v>
      </c>
      <c r="D146" s="14" t="s">
        <v>80</v>
      </c>
      <c r="E146" s="14" t="s">
        <v>43</v>
      </c>
      <c r="F146" s="14">
        <v>52</v>
      </c>
      <c r="G146" s="14" t="s">
        <v>94</v>
      </c>
      <c r="H146" s="14" t="s">
        <v>31</v>
      </c>
      <c r="I146" s="14" t="s">
        <v>94</v>
      </c>
      <c r="J146" s="14" t="s">
        <v>75</v>
      </c>
      <c r="K146" s="14">
        <v>2</v>
      </c>
      <c r="L146" s="14">
        <v>43125</v>
      </c>
      <c r="M146" s="14">
        <v>10</v>
      </c>
      <c r="N146" s="14">
        <v>8625</v>
      </c>
      <c r="O146" s="14">
        <v>13972.5</v>
      </c>
      <c r="P146" s="14">
        <v>153</v>
      </c>
      <c r="Q146" s="14">
        <f t="shared" si="2"/>
        <v>91597.5</v>
      </c>
      <c r="R146" s="14">
        <v>91750.5</v>
      </c>
      <c r="S146" s="14" t="s">
        <v>33</v>
      </c>
      <c r="T146" s="14" t="s">
        <v>63</v>
      </c>
      <c r="U146" s="14" t="s">
        <v>95</v>
      </c>
      <c r="V146" s="14" t="s">
        <v>96</v>
      </c>
      <c r="W146" s="14" t="s">
        <v>57</v>
      </c>
      <c r="X146" s="14">
        <v>5</v>
      </c>
      <c r="Y146" s="14" t="s">
        <v>47</v>
      </c>
      <c r="Z146" s="14">
        <v>2</v>
      </c>
      <c r="AA146" s="14" t="s">
        <v>47</v>
      </c>
    </row>
    <row r="147" spans="1:27" x14ac:dyDescent="0.35">
      <c r="A147" s="14" t="s">
        <v>367</v>
      </c>
      <c r="B147" s="15">
        <v>45786</v>
      </c>
      <c r="C147" s="14" t="s">
        <v>368</v>
      </c>
      <c r="D147" s="14" t="s">
        <v>73</v>
      </c>
      <c r="E147" s="14" t="s">
        <v>43</v>
      </c>
      <c r="F147" s="14">
        <v>48</v>
      </c>
      <c r="G147" s="14" t="s">
        <v>90</v>
      </c>
      <c r="H147" s="14" t="s">
        <v>31</v>
      </c>
      <c r="I147" s="14" t="s">
        <v>90</v>
      </c>
      <c r="J147" s="14" t="s">
        <v>125</v>
      </c>
      <c r="K147" s="14">
        <v>2</v>
      </c>
      <c r="L147" s="14">
        <v>25854</v>
      </c>
      <c r="M147" s="14">
        <v>15</v>
      </c>
      <c r="N147" s="14">
        <v>7756.2</v>
      </c>
      <c r="O147" s="14">
        <v>7911.32</v>
      </c>
      <c r="P147" s="14">
        <v>26</v>
      </c>
      <c r="Q147" s="14">
        <f t="shared" si="2"/>
        <v>51863.12</v>
      </c>
      <c r="R147" s="14">
        <v>51889.120000000003</v>
      </c>
      <c r="S147" s="14" t="s">
        <v>54</v>
      </c>
      <c r="T147" s="14" t="s">
        <v>63</v>
      </c>
      <c r="U147" s="14" t="s">
        <v>70</v>
      </c>
      <c r="V147" s="14" t="s">
        <v>56</v>
      </c>
      <c r="W147" s="14" t="s">
        <v>57</v>
      </c>
      <c r="X147" s="14">
        <v>1</v>
      </c>
      <c r="Y147" s="14" t="s">
        <v>47</v>
      </c>
      <c r="Z147" s="14">
        <v>5</v>
      </c>
      <c r="AA147" s="14" t="s">
        <v>58</v>
      </c>
    </row>
    <row r="148" spans="1:27" x14ac:dyDescent="0.35">
      <c r="A148" s="14" t="s">
        <v>369</v>
      </c>
      <c r="B148" s="15">
        <v>45939</v>
      </c>
      <c r="C148" s="14" t="s">
        <v>370</v>
      </c>
      <c r="D148" s="14" t="s">
        <v>80</v>
      </c>
      <c r="E148" s="14" t="s">
        <v>43</v>
      </c>
      <c r="F148" s="14">
        <v>24</v>
      </c>
      <c r="G148" s="14" t="s">
        <v>44</v>
      </c>
      <c r="H148" s="14" t="s">
        <v>31</v>
      </c>
      <c r="I148" s="14" t="s">
        <v>44</v>
      </c>
      <c r="J148" s="14" t="s">
        <v>53</v>
      </c>
      <c r="K148" s="14">
        <v>4</v>
      </c>
      <c r="L148" s="14">
        <v>24413</v>
      </c>
      <c r="M148" s="14">
        <v>0</v>
      </c>
      <c r="N148" s="14">
        <v>0</v>
      </c>
      <c r="O148" s="14">
        <v>17577.36</v>
      </c>
      <c r="P148" s="14">
        <v>0</v>
      </c>
      <c r="Q148" s="14">
        <f t="shared" si="2"/>
        <v>115229.36</v>
      </c>
      <c r="R148" s="14">
        <v>115229.36</v>
      </c>
      <c r="S148" s="14" t="s">
        <v>54</v>
      </c>
      <c r="T148" s="14" t="s">
        <v>63</v>
      </c>
      <c r="U148" s="14" t="s">
        <v>35</v>
      </c>
      <c r="V148" s="14" t="s">
        <v>36</v>
      </c>
      <c r="W148" s="14" t="s">
        <v>37</v>
      </c>
      <c r="X148" s="14">
        <v>2</v>
      </c>
      <c r="Y148" s="14" t="s">
        <v>38</v>
      </c>
      <c r="Z148" s="14">
        <v>1</v>
      </c>
      <c r="AA148" s="14" t="s">
        <v>91</v>
      </c>
    </row>
    <row r="149" spans="1:27" x14ac:dyDescent="0.35">
      <c r="A149" s="14" t="s">
        <v>371</v>
      </c>
      <c r="B149" s="15">
        <v>45947</v>
      </c>
      <c r="C149" s="14" t="s">
        <v>372</v>
      </c>
      <c r="D149" s="14" t="s">
        <v>111</v>
      </c>
      <c r="E149" s="14" t="s">
        <v>43</v>
      </c>
      <c r="F149" s="14">
        <v>59</v>
      </c>
      <c r="G149" s="14" t="s">
        <v>139</v>
      </c>
      <c r="H149" s="14" t="s">
        <v>31</v>
      </c>
      <c r="I149" s="14" t="s">
        <v>139</v>
      </c>
      <c r="J149" s="14" t="s">
        <v>69</v>
      </c>
      <c r="K149" s="14">
        <v>2</v>
      </c>
      <c r="L149" s="14">
        <v>8194</v>
      </c>
      <c r="M149" s="14">
        <v>5</v>
      </c>
      <c r="N149" s="14">
        <v>819.4</v>
      </c>
      <c r="O149" s="14">
        <v>2802.35</v>
      </c>
      <c r="P149" s="14">
        <v>178</v>
      </c>
      <c r="Q149" s="14">
        <f t="shared" si="2"/>
        <v>18370.95</v>
      </c>
      <c r="R149" s="14">
        <v>18548.95</v>
      </c>
      <c r="S149" s="14" t="s">
        <v>33</v>
      </c>
      <c r="T149" s="14" t="s">
        <v>63</v>
      </c>
      <c r="U149" s="14" t="s">
        <v>103</v>
      </c>
      <c r="V149" s="14" t="s">
        <v>103</v>
      </c>
      <c r="W149" s="14" t="s">
        <v>57</v>
      </c>
      <c r="X149" s="14">
        <v>2</v>
      </c>
      <c r="Y149" s="14" t="s">
        <v>47</v>
      </c>
      <c r="Z149" s="14">
        <v>3</v>
      </c>
      <c r="AA149" s="14" t="s">
        <v>58</v>
      </c>
    </row>
    <row r="150" spans="1:27" x14ac:dyDescent="0.35">
      <c r="A150" s="14" t="s">
        <v>373</v>
      </c>
      <c r="B150" s="15">
        <v>45810</v>
      </c>
      <c r="C150" s="14" t="s">
        <v>374</v>
      </c>
      <c r="D150" s="14" t="s">
        <v>42</v>
      </c>
      <c r="E150" s="14" t="s">
        <v>43</v>
      </c>
      <c r="F150" s="14">
        <v>31</v>
      </c>
      <c r="G150" s="14" t="s">
        <v>94</v>
      </c>
      <c r="H150" s="14" t="s">
        <v>31</v>
      </c>
      <c r="I150" s="14" t="s">
        <v>94</v>
      </c>
      <c r="J150" s="14" t="s">
        <v>75</v>
      </c>
      <c r="K150" s="14">
        <v>2</v>
      </c>
      <c r="L150" s="14">
        <v>23798</v>
      </c>
      <c r="M150" s="14">
        <v>5</v>
      </c>
      <c r="N150" s="14">
        <v>2379.8000000000002</v>
      </c>
      <c r="O150" s="14">
        <v>8138.92</v>
      </c>
      <c r="P150" s="14">
        <v>62</v>
      </c>
      <c r="Q150" s="14">
        <f t="shared" si="2"/>
        <v>53355.12</v>
      </c>
      <c r="R150" s="14">
        <v>53417.120000000003</v>
      </c>
      <c r="S150" s="14" t="s">
        <v>45</v>
      </c>
      <c r="T150" s="14" t="s">
        <v>63</v>
      </c>
      <c r="U150" s="14" t="s">
        <v>46</v>
      </c>
      <c r="V150" s="14" t="s">
        <v>36</v>
      </c>
      <c r="W150" s="14" t="s">
        <v>37</v>
      </c>
      <c r="X150" s="14">
        <v>2</v>
      </c>
      <c r="Y150" s="14" t="s">
        <v>47</v>
      </c>
      <c r="Z150" s="14">
        <v>5</v>
      </c>
      <c r="AA150" s="14" t="s">
        <v>58</v>
      </c>
    </row>
    <row r="151" spans="1:27" x14ac:dyDescent="0.35">
      <c r="A151" s="14" t="s">
        <v>375</v>
      </c>
      <c r="B151" s="15">
        <v>45903</v>
      </c>
      <c r="C151" s="14" t="s">
        <v>376</v>
      </c>
      <c r="D151" s="14" t="s">
        <v>61</v>
      </c>
      <c r="E151" s="14" t="s">
        <v>29</v>
      </c>
      <c r="F151" s="14">
        <v>50</v>
      </c>
      <c r="G151" s="14" t="s">
        <v>51</v>
      </c>
      <c r="H151" s="14" t="s">
        <v>52</v>
      </c>
      <c r="I151" s="14" t="s">
        <v>51</v>
      </c>
      <c r="J151" s="14" t="s">
        <v>62</v>
      </c>
      <c r="K151" s="14">
        <v>1</v>
      </c>
      <c r="L151" s="14">
        <v>26351</v>
      </c>
      <c r="M151" s="14">
        <v>5</v>
      </c>
      <c r="N151" s="14">
        <v>1317.55</v>
      </c>
      <c r="O151" s="14">
        <v>4506.0200000000004</v>
      </c>
      <c r="P151" s="14">
        <v>205</v>
      </c>
      <c r="Q151" s="14">
        <f t="shared" si="2"/>
        <v>29539.47</v>
      </c>
      <c r="R151" s="14">
        <v>29744.47</v>
      </c>
      <c r="S151" s="14" t="s">
        <v>45</v>
      </c>
      <c r="T151" s="14" t="s">
        <v>63</v>
      </c>
      <c r="U151" s="14" t="s">
        <v>103</v>
      </c>
      <c r="V151" s="14" t="s">
        <v>103</v>
      </c>
      <c r="W151" s="14" t="s">
        <v>57</v>
      </c>
      <c r="X151" s="14">
        <v>9</v>
      </c>
      <c r="Y151" s="14" t="s">
        <v>47</v>
      </c>
      <c r="Z151" s="14">
        <v>1</v>
      </c>
      <c r="AA151" s="14" t="s">
        <v>39</v>
      </c>
    </row>
    <row r="152" spans="1:27" x14ac:dyDescent="0.35">
      <c r="A152" s="14" t="s">
        <v>377</v>
      </c>
      <c r="B152" s="15">
        <v>45890</v>
      </c>
      <c r="C152" s="14" t="s">
        <v>378</v>
      </c>
      <c r="D152" s="14" t="s">
        <v>42</v>
      </c>
      <c r="E152" s="14" t="s">
        <v>29</v>
      </c>
      <c r="F152" s="14">
        <v>40</v>
      </c>
      <c r="G152" s="14" t="s">
        <v>134</v>
      </c>
      <c r="H152" s="14" t="s">
        <v>31</v>
      </c>
      <c r="I152" s="14" t="s">
        <v>134</v>
      </c>
      <c r="J152" s="14" t="s">
        <v>75</v>
      </c>
      <c r="K152" s="14">
        <v>2</v>
      </c>
      <c r="L152" s="14">
        <v>32644</v>
      </c>
      <c r="M152" s="14">
        <v>0</v>
      </c>
      <c r="N152" s="14">
        <v>0</v>
      </c>
      <c r="O152" s="14">
        <v>11751.84</v>
      </c>
      <c r="P152" s="14">
        <v>413</v>
      </c>
      <c r="Q152" s="14">
        <f t="shared" si="2"/>
        <v>77039.839999999997</v>
      </c>
      <c r="R152" s="14">
        <v>77452.84</v>
      </c>
      <c r="S152" s="14" t="s">
        <v>83</v>
      </c>
      <c r="T152" s="14" t="s">
        <v>34</v>
      </c>
      <c r="U152" s="14" t="s">
        <v>46</v>
      </c>
      <c r="V152" s="14" t="s">
        <v>36</v>
      </c>
      <c r="W152" s="14" t="s">
        <v>37</v>
      </c>
      <c r="X152" s="14">
        <v>7</v>
      </c>
      <c r="Y152" s="14" t="s">
        <v>38</v>
      </c>
      <c r="Z152" s="14">
        <v>4</v>
      </c>
      <c r="AA152" s="14" t="s">
        <v>58</v>
      </c>
    </row>
    <row r="153" spans="1:27" x14ac:dyDescent="0.35">
      <c r="A153" s="14" t="s">
        <v>379</v>
      </c>
      <c r="B153" s="15">
        <v>45772</v>
      </c>
      <c r="C153" s="14" t="s">
        <v>380</v>
      </c>
      <c r="D153" s="14" t="s">
        <v>66</v>
      </c>
      <c r="E153" s="14" t="s">
        <v>29</v>
      </c>
      <c r="F153" s="14">
        <v>34</v>
      </c>
      <c r="G153" s="14" t="s">
        <v>134</v>
      </c>
      <c r="H153" s="14" t="s">
        <v>31</v>
      </c>
      <c r="I153" s="14" t="s">
        <v>134</v>
      </c>
      <c r="J153" s="14" t="s">
        <v>32</v>
      </c>
      <c r="K153" s="14">
        <v>5</v>
      </c>
      <c r="L153" s="14">
        <v>13792</v>
      </c>
      <c r="M153" s="14">
        <v>0</v>
      </c>
      <c r="N153" s="14">
        <v>0</v>
      </c>
      <c r="O153" s="14">
        <v>12412.8</v>
      </c>
      <c r="P153" s="14">
        <v>437</v>
      </c>
      <c r="Q153" s="14">
        <f t="shared" si="2"/>
        <v>81372.800000000003</v>
      </c>
      <c r="R153" s="14">
        <v>81809.8</v>
      </c>
      <c r="S153" s="14" t="s">
        <v>54</v>
      </c>
      <c r="T153" s="14" t="s">
        <v>63</v>
      </c>
      <c r="U153" s="14" t="s">
        <v>95</v>
      </c>
      <c r="V153" s="14" t="s">
        <v>96</v>
      </c>
      <c r="W153" s="14" t="s">
        <v>57</v>
      </c>
      <c r="X153" s="14">
        <v>1</v>
      </c>
      <c r="Y153" s="14" t="s">
        <v>38</v>
      </c>
      <c r="Z153" s="14">
        <v>4</v>
      </c>
      <c r="AA153" s="14" t="s">
        <v>39</v>
      </c>
    </row>
    <row r="154" spans="1:27" x14ac:dyDescent="0.35">
      <c r="A154" s="14" t="s">
        <v>381</v>
      </c>
      <c r="B154" s="15">
        <v>45828</v>
      </c>
      <c r="C154" s="14" t="s">
        <v>258</v>
      </c>
      <c r="D154" s="14" t="s">
        <v>89</v>
      </c>
      <c r="E154" s="14" t="s">
        <v>43</v>
      </c>
      <c r="F154" s="14">
        <v>31</v>
      </c>
      <c r="G154" s="14" t="s">
        <v>74</v>
      </c>
      <c r="H154" s="14" t="s">
        <v>31</v>
      </c>
      <c r="I154" s="14" t="s">
        <v>74</v>
      </c>
      <c r="J154" s="14" t="s">
        <v>125</v>
      </c>
      <c r="K154" s="14">
        <v>5</v>
      </c>
      <c r="L154" s="14">
        <v>12497</v>
      </c>
      <c r="M154" s="14">
        <v>15</v>
      </c>
      <c r="N154" s="14">
        <v>9372.75</v>
      </c>
      <c r="O154" s="14">
        <v>9560.2000000000007</v>
      </c>
      <c r="P154" s="14">
        <v>71</v>
      </c>
      <c r="Q154" s="14">
        <f t="shared" si="2"/>
        <v>62672.46</v>
      </c>
      <c r="R154" s="14">
        <v>62743.46</v>
      </c>
      <c r="S154" s="14" t="s">
        <v>33</v>
      </c>
      <c r="T154" s="14" t="s">
        <v>63</v>
      </c>
      <c r="U154" s="14" t="s">
        <v>95</v>
      </c>
      <c r="V154" s="14" t="s">
        <v>96</v>
      </c>
      <c r="W154" s="14" t="s">
        <v>57</v>
      </c>
      <c r="X154" s="14">
        <v>10</v>
      </c>
      <c r="Y154" s="14" t="s">
        <v>47</v>
      </c>
      <c r="Z154" s="14">
        <v>5</v>
      </c>
      <c r="AA154" s="14" t="s">
        <v>39</v>
      </c>
    </row>
    <row r="155" spans="1:27" x14ac:dyDescent="0.35">
      <c r="A155" s="14" t="s">
        <v>382</v>
      </c>
      <c r="B155" s="15">
        <v>45939</v>
      </c>
      <c r="C155" s="14" t="s">
        <v>383</v>
      </c>
      <c r="D155" s="14" t="s">
        <v>108</v>
      </c>
      <c r="E155" s="14" t="s">
        <v>29</v>
      </c>
      <c r="F155" s="14">
        <v>51</v>
      </c>
      <c r="G155" s="14" t="s">
        <v>51</v>
      </c>
      <c r="H155" s="14" t="s">
        <v>52</v>
      </c>
      <c r="I155" s="14" t="s">
        <v>51</v>
      </c>
      <c r="J155" s="14" t="s">
        <v>53</v>
      </c>
      <c r="K155" s="14">
        <v>5</v>
      </c>
      <c r="L155" s="14">
        <v>46090</v>
      </c>
      <c r="M155" s="14">
        <v>5</v>
      </c>
      <c r="N155" s="14">
        <v>11522.5</v>
      </c>
      <c r="O155" s="14">
        <v>39406.949999999997</v>
      </c>
      <c r="P155" s="14">
        <v>212</v>
      </c>
      <c r="Q155" s="14">
        <f t="shared" si="2"/>
        <v>258334.45</v>
      </c>
      <c r="R155" s="14">
        <v>258546.45</v>
      </c>
      <c r="S155" s="14" t="s">
        <v>54</v>
      </c>
      <c r="T155" s="14" t="s">
        <v>63</v>
      </c>
      <c r="U155" s="14" t="s">
        <v>84</v>
      </c>
      <c r="V155" s="14" t="s">
        <v>85</v>
      </c>
      <c r="W155" s="14" t="s">
        <v>86</v>
      </c>
      <c r="X155" s="14">
        <v>6</v>
      </c>
      <c r="Y155" s="14" t="s">
        <v>38</v>
      </c>
      <c r="Z155" s="14">
        <v>2</v>
      </c>
      <c r="AA155" s="14" t="s">
        <v>58</v>
      </c>
    </row>
    <row r="156" spans="1:27" x14ac:dyDescent="0.35">
      <c r="A156" s="14" t="s">
        <v>384</v>
      </c>
      <c r="B156" s="15">
        <v>45974</v>
      </c>
      <c r="C156" s="14" t="s">
        <v>385</v>
      </c>
      <c r="D156" s="14" t="s">
        <v>42</v>
      </c>
      <c r="E156" s="14" t="s">
        <v>29</v>
      </c>
      <c r="F156" s="14">
        <v>34</v>
      </c>
      <c r="G156" s="14" t="s">
        <v>94</v>
      </c>
      <c r="H156" s="14" t="s">
        <v>31</v>
      </c>
      <c r="I156" s="14" t="s">
        <v>94</v>
      </c>
      <c r="J156" s="14" t="s">
        <v>202</v>
      </c>
      <c r="K156" s="14">
        <v>5</v>
      </c>
      <c r="L156" s="14">
        <v>5689</v>
      </c>
      <c r="M156" s="14">
        <v>10</v>
      </c>
      <c r="N156" s="14">
        <v>2844.5</v>
      </c>
      <c r="O156" s="14">
        <v>4608.09</v>
      </c>
      <c r="P156" s="14">
        <v>96</v>
      </c>
      <c r="Q156" s="14">
        <f t="shared" si="2"/>
        <v>30208.59</v>
      </c>
      <c r="R156" s="14">
        <v>30304.59</v>
      </c>
      <c r="S156" s="14" t="s">
        <v>54</v>
      </c>
      <c r="T156" s="14" t="s">
        <v>34</v>
      </c>
      <c r="U156" s="14" t="s">
        <v>70</v>
      </c>
      <c r="V156" s="14" t="s">
        <v>56</v>
      </c>
      <c r="W156" s="14" t="s">
        <v>57</v>
      </c>
      <c r="X156" s="14">
        <v>6</v>
      </c>
      <c r="Y156" s="14" t="s">
        <v>47</v>
      </c>
      <c r="Z156" s="14">
        <v>1</v>
      </c>
      <c r="AA156" s="14" t="s">
        <v>58</v>
      </c>
    </row>
    <row r="157" spans="1:27" x14ac:dyDescent="0.35">
      <c r="A157" s="14" t="s">
        <v>386</v>
      </c>
      <c r="B157" s="15">
        <v>46120</v>
      </c>
      <c r="C157" s="14" t="s">
        <v>387</v>
      </c>
      <c r="D157" s="14" t="s">
        <v>73</v>
      </c>
      <c r="E157" s="14" t="s">
        <v>29</v>
      </c>
      <c r="F157" s="14">
        <v>39</v>
      </c>
      <c r="G157" s="14" t="s">
        <v>51</v>
      </c>
      <c r="H157" s="14" t="s">
        <v>52</v>
      </c>
      <c r="I157" s="14" t="s">
        <v>51</v>
      </c>
      <c r="J157" s="14" t="s">
        <v>75</v>
      </c>
      <c r="K157" s="14">
        <v>1</v>
      </c>
      <c r="L157" s="14">
        <v>37843</v>
      </c>
      <c r="M157" s="14">
        <v>0</v>
      </c>
      <c r="N157" s="14">
        <v>0</v>
      </c>
      <c r="O157" s="14">
        <v>6811.74</v>
      </c>
      <c r="P157" s="14">
        <v>134</v>
      </c>
      <c r="Q157" s="14">
        <f t="shared" si="2"/>
        <v>44654.74</v>
      </c>
      <c r="R157" s="14">
        <v>44788.74</v>
      </c>
      <c r="S157" s="14" t="s">
        <v>45</v>
      </c>
      <c r="T157" s="14" t="s">
        <v>34</v>
      </c>
      <c r="U157" s="14" t="s">
        <v>84</v>
      </c>
      <c r="V157" s="14" t="s">
        <v>85</v>
      </c>
      <c r="W157" s="14" t="s">
        <v>86</v>
      </c>
      <c r="X157" s="14">
        <v>8</v>
      </c>
      <c r="Y157" s="14" t="s">
        <v>38</v>
      </c>
      <c r="Z157" s="14">
        <v>3</v>
      </c>
      <c r="AA157" s="14" t="s">
        <v>91</v>
      </c>
    </row>
    <row r="158" spans="1:27" x14ac:dyDescent="0.35">
      <c r="A158" s="14" t="s">
        <v>388</v>
      </c>
      <c r="B158" s="15">
        <v>46064</v>
      </c>
      <c r="C158" s="14" t="s">
        <v>389</v>
      </c>
      <c r="D158" s="14" t="s">
        <v>42</v>
      </c>
      <c r="E158" s="14" t="s">
        <v>43</v>
      </c>
      <c r="F158" s="14">
        <v>26</v>
      </c>
      <c r="G158" s="14" t="s">
        <v>139</v>
      </c>
      <c r="H158" s="14" t="s">
        <v>31</v>
      </c>
      <c r="I158" s="14" t="s">
        <v>139</v>
      </c>
      <c r="J158" s="14" t="s">
        <v>53</v>
      </c>
      <c r="K158" s="14">
        <v>2</v>
      </c>
      <c r="L158" s="14">
        <v>11265</v>
      </c>
      <c r="M158" s="14">
        <v>20</v>
      </c>
      <c r="N158" s="14">
        <v>4506</v>
      </c>
      <c r="O158" s="14">
        <v>3244.32</v>
      </c>
      <c r="P158" s="14">
        <v>220</v>
      </c>
      <c r="Q158" s="14">
        <f t="shared" si="2"/>
        <v>21268.32</v>
      </c>
      <c r="R158" s="14">
        <v>21488.32</v>
      </c>
      <c r="S158" s="14" t="s">
        <v>54</v>
      </c>
      <c r="T158" s="14" t="s">
        <v>63</v>
      </c>
      <c r="U158" s="14" t="s">
        <v>84</v>
      </c>
      <c r="V158" s="14" t="s">
        <v>85</v>
      </c>
      <c r="W158" s="14" t="s">
        <v>86</v>
      </c>
      <c r="X158" s="14">
        <v>4</v>
      </c>
      <c r="Y158" s="14" t="s">
        <v>47</v>
      </c>
      <c r="Z158" s="14">
        <v>2</v>
      </c>
      <c r="AA158" s="14" t="s">
        <v>58</v>
      </c>
    </row>
    <row r="159" spans="1:27" x14ac:dyDescent="0.35">
      <c r="A159" s="14" t="s">
        <v>390</v>
      </c>
      <c r="B159" s="15">
        <v>45853</v>
      </c>
      <c r="C159" s="14" t="s">
        <v>391</v>
      </c>
      <c r="D159" s="14" t="s">
        <v>42</v>
      </c>
      <c r="E159" s="14" t="s">
        <v>29</v>
      </c>
      <c r="F159" s="14">
        <v>28</v>
      </c>
      <c r="G159" s="14" t="s">
        <v>74</v>
      </c>
      <c r="H159" s="14" t="s">
        <v>31</v>
      </c>
      <c r="I159" s="14" t="s">
        <v>74</v>
      </c>
      <c r="J159" s="14" t="s">
        <v>75</v>
      </c>
      <c r="K159" s="14">
        <v>2</v>
      </c>
      <c r="L159" s="14">
        <v>3628</v>
      </c>
      <c r="M159" s="14">
        <v>20</v>
      </c>
      <c r="N159" s="14">
        <v>1451.2</v>
      </c>
      <c r="O159" s="14">
        <v>1044.8599999999999</v>
      </c>
      <c r="P159" s="14">
        <v>45</v>
      </c>
      <c r="Q159" s="14">
        <f t="shared" si="2"/>
        <v>6849.66</v>
      </c>
      <c r="R159" s="14">
        <v>6894.66</v>
      </c>
      <c r="S159" s="14" t="s">
        <v>83</v>
      </c>
      <c r="T159" s="14" t="s">
        <v>34</v>
      </c>
      <c r="U159" s="14" t="s">
        <v>103</v>
      </c>
      <c r="V159" s="14" t="s">
        <v>103</v>
      </c>
      <c r="W159" s="14" t="s">
        <v>57</v>
      </c>
      <c r="X159" s="14">
        <v>2</v>
      </c>
      <c r="Y159" s="14" t="s">
        <v>47</v>
      </c>
      <c r="Z159" s="14">
        <v>1</v>
      </c>
      <c r="AA159" s="14" t="s">
        <v>39</v>
      </c>
    </row>
    <row r="160" spans="1:27" x14ac:dyDescent="0.35">
      <c r="A160" s="14" t="s">
        <v>392</v>
      </c>
      <c r="B160" s="15">
        <v>46043</v>
      </c>
      <c r="C160" s="14" t="s">
        <v>393</v>
      </c>
      <c r="D160" s="14" t="s">
        <v>80</v>
      </c>
      <c r="E160" s="14" t="s">
        <v>43</v>
      </c>
      <c r="F160" s="14">
        <v>35</v>
      </c>
      <c r="G160" s="14" t="s">
        <v>74</v>
      </c>
      <c r="H160" s="14" t="s">
        <v>31</v>
      </c>
      <c r="I160" s="14" t="s">
        <v>74</v>
      </c>
      <c r="J160" s="14" t="s">
        <v>62</v>
      </c>
      <c r="K160" s="14">
        <v>2</v>
      </c>
      <c r="L160" s="14">
        <v>7118</v>
      </c>
      <c r="M160" s="14">
        <v>10</v>
      </c>
      <c r="N160" s="14">
        <v>1423.6</v>
      </c>
      <c r="O160" s="14">
        <v>2306.23</v>
      </c>
      <c r="P160" s="14">
        <v>140</v>
      </c>
      <c r="Q160" s="14">
        <f t="shared" si="2"/>
        <v>15118.63</v>
      </c>
      <c r="R160" s="14">
        <v>15258.63</v>
      </c>
      <c r="S160" s="14" t="s">
        <v>83</v>
      </c>
      <c r="T160" s="14" t="s">
        <v>63</v>
      </c>
      <c r="U160" s="14" t="s">
        <v>46</v>
      </c>
      <c r="V160" s="14" t="s">
        <v>36</v>
      </c>
      <c r="W160" s="14" t="s">
        <v>37</v>
      </c>
      <c r="X160" s="14">
        <v>10</v>
      </c>
      <c r="Y160" s="14" t="s">
        <v>38</v>
      </c>
      <c r="Z160" s="14">
        <v>3</v>
      </c>
      <c r="AA160" s="14" t="s">
        <v>91</v>
      </c>
    </row>
    <row r="161" spans="1:27" x14ac:dyDescent="0.35">
      <c r="A161" s="14" t="s">
        <v>394</v>
      </c>
      <c r="B161" s="15">
        <v>45812</v>
      </c>
      <c r="C161" s="14" t="s">
        <v>127</v>
      </c>
      <c r="D161" s="14" t="s">
        <v>108</v>
      </c>
      <c r="E161" s="14" t="s">
        <v>43</v>
      </c>
      <c r="F161" s="14">
        <v>48</v>
      </c>
      <c r="G161" s="14" t="s">
        <v>94</v>
      </c>
      <c r="H161" s="14" t="s">
        <v>31</v>
      </c>
      <c r="I161" s="14" t="s">
        <v>94</v>
      </c>
      <c r="J161" s="14" t="s">
        <v>62</v>
      </c>
      <c r="K161" s="14">
        <v>2</v>
      </c>
      <c r="L161" s="14">
        <v>31726</v>
      </c>
      <c r="M161" s="14">
        <v>15</v>
      </c>
      <c r="N161" s="14">
        <v>9517.7999999999993</v>
      </c>
      <c r="O161" s="14">
        <v>9708.16</v>
      </c>
      <c r="P161" s="14">
        <v>13</v>
      </c>
      <c r="Q161" s="14">
        <f t="shared" si="2"/>
        <v>63642.36</v>
      </c>
      <c r="R161" s="14">
        <v>63655.360000000001</v>
      </c>
      <c r="S161" s="14" t="s">
        <v>83</v>
      </c>
      <c r="T161" s="14" t="s">
        <v>63</v>
      </c>
      <c r="U161" s="14" t="s">
        <v>35</v>
      </c>
      <c r="V161" s="14" t="s">
        <v>36</v>
      </c>
      <c r="W161" s="14" t="s">
        <v>37</v>
      </c>
      <c r="X161" s="14">
        <v>1</v>
      </c>
      <c r="Y161" s="14" t="s">
        <v>38</v>
      </c>
      <c r="Z161" s="14">
        <v>5</v>
      </c>
      <c r="AA161" s="14" t="s">
        <v>58</v>
      </c>
    </row>
    <row r="162" spans="1:27" x14ac:dyDescent="0.35">
      <c r="A162" s="14" t="s">
        <v>395</v>
      </c>
      <c r="B162" s="15">
        <v>45935</v>
      </c>
      <c r="C162" s="14" t="s">
        <v>396</v>
      </c>
      <c r="D162" s="14" t="s">
        <v>89</v>
      </c>
      <c r="E162" s="14" t="s">
        <v>29</v>
      </c>
      <c r="F162" s="14">
        <v>24</v>
      </c>
      <c r="G162" s="14" t="s">
        <v>139</v>
      </c>
      <c r="H162" s="14" t="s">
        <v>31</v>
      </c>
      <c r="I162" s="14" t="s">
        <v>139</v>
      </c>
      <c r="J162" s="14" t="s">
        <v>69</v>
      </c>
      <c r="K162" s="14">
        <v>4</v>
      </c>
      <c r="L162" s="14">
        <v>42298</v>
      </c>
      <c r="M162" s="14">
        <v>20</v>
      </c>
      <c r="N162" s="14">
        <v>33838.400000000001</v>
      </c>
      <c r="O162" s="14">
        <v>24363.65</v>
      </c>
      <c r="P162" s="14">
        <v>262</v>
      </c>
      <c r="Q162" s="14">
        <f t="shared" si="2"/>
        <v>159717.25</v>
      </c>
      <c r="R162" s="14">
        <v>159979.25</v>
      </c>
      <c r="S162" s="14" t="s">
        <v>45</v>
      </c>
      <c r="T162" s="14" t="s">
        <v>63</v>
      </c>
      <c r="U162" s="14" t="s">
        <v>70</v>
      </c>
      <c r="V162" s="14" t="s">
        <v>56</v>
      </c>
      <c r="W162" s="14" t="s">
        <v>57</v>
      </c>
      <c r="X162" s="14">
        <v>8</v>
      </c>
      <c r="Y162" s="14" t="s">
        <v>38</v>
      </c>
      <c r="Z162" s="14">
        <v>5</v>
      </c>
      <c r="AA162" s="14" t="s">
        <v>39</v>
      </c>
    </row>
    <row r="163" spans="1:27" x14ac:dyDescent="0.35">
      <c r="A163" s="14" t="s">
        <v>397</v>
      </c>
      <c r="B163" s="15">
        <v>45949</v>
      </c>
      <c r="C163" s="14" t="s">
        <v>398</v>
      </c>
      <c r="D163" s="14" t="s">
        <v>61</v>
      </c>
      <c r="E163" s="14" t="s">
        <v>43</v>
      </c>
      <c r="F163" s="14">
        <v>30</v>
      </c>
      <c r="G163" s="14" t="s">
        <v>44</v>
      </c>
      <c r="H163" s="14" t="s">
        <v>31</v>
      </c>
      <c r="I163" s="14" t="s">
        <v>44</v>
      </c>
      <c r="J163" s="14" t="s">
        <v>112</v>
      </c>
      <c r="K163" s="14">
        <v>4</v>
      </c>
      <c r="L163" s="14">
        <v>43897</v>
      </c>
      <c r="M163" s="14">
        <v>15</v>
      </c>
      <c r="N163" s="14">
        <v>26338.2</v>
      </c>
      <c r="O163" s="14">
        <v>26864.959999999999</v>
      </c>
      <c r="P163" s="14">
        <v>108</v>
      </c>
      <c r="Q163" s="14">
        <f t="shared" si="2"/>
        <v>176114.76</v>
      </c>
      <c r="R163" s="14">
        <v>176222.76</v>
      </c>
      <c r="S163" s="14" t="s">
        <v>45</v>
      </c>
      <c r="T163" s="14" t="s">
        <v>63</v>
      </c>
      <c r="U163" s="14" t="s">
        <v>70</v>
      </c>
      <c r="V163" s="14" t="s">
        <v>56</v>
      </c>
      <c r="W163" s="14" t="s">
        <v>57</v>
      </c>
      <c r="X163" s="14">
        <v>8</v>
      </c>
      <c r="Y163" s="14" t="s">
        <v>38</v>
      </c>
      <c r="Z163" s="14">
        <v>3</v>
      </c>
      <c r="AA163" s="14" t="s">
        <v>58</v>
      </c>
    </row>
    <row r="164" spans="1:27" x14ac:dyDescent="0.35">
      <c r="A164" s="14" t="s">
        <v>399</v>
      </c>
      <c r="B164" s="15">
        <v>45923</v>
      </c>
      <c r="C164" s="14" t="s">
        <v>352</v>
      </c>
      <c r="D164" s="14" t="s">
        <v>28</v>
      </c>
      <c r="E164" s="14" t="s">
        <v>29</v>
      </c>
      <c r="F164" s="14">
        <v>19</v>
      </c>
      <c r="G164" s="14" t="s">
        <v>99</v>
      </c>
      <c r="H164" s="14" t="s">
        <v>52</v>
      </c>
      <c r="I164" s="14" t="s">
        <v>99</v>
      </c>
      <c r="J164" s="14" t="s">
        <v>112</v>
      </c>
      <c r="K164" s="14">
        <v>2</v>
      </c>
      <c r="L164" s="14">
        <v>48486</v>
      </c>
      <c r="M164" s="14">
        <v>0</v>
      </c>
      <c r="N164" s="14">
        <v>0</v>
      </c>
      <c r="O164" s="14">
        <v>17454.96</v>
      </c>
      <c r="P164" s="14">
        <v>267</v>
      </c>
      <c r="Q164" s="14">
        <f t="shared" si="2"/>
        <v>114426.96</v>
      </c>
      <c r="R164" s="14">
        <v>114693.96</v>
      </c>
      <c r="S164" s="14" t="s">
        <v>45</v>
      </c>
      <c r="T164" s="14" t="s">
        <v>34</v>
      </c>
      <c r="U164" s="14" t="s">
        <v>84</v>
      </c>
      <c r="V164" s="14" t="s">
        <v>85</v>
      </c>
      <c r="W164" s="14" t="s">
        <v>86</v>
      </c>
      <c r="X164" s="14">
        <v>1</v>
      </c>
      <c r="Y164" s="14" t="s">
        <v>38</v>
      </c>
      <c r="Z164" s="14">
        <v>5</v>
      </c>
      <c r="AA164" s="14" t="s">
        <v>39</v>
      </c>
    </row>
    <row r="165" spans="1:27" x14ac:dyDescent="0.35">
      <c r="A165" s="14" t="s">
        <v>400</v>
      </c>
      <c r="B165" s="15">
        <v>45860</v>
      </c>
      <c r="C165" s="14" t="s">
        <v>118</v>
      </c>
      <c r="D165" s="14" t="s">
        <v>80</v>
      </c>
      <c r="E165" s="14" t="s">
        <v>29</v>
      </c>
      <c r="F165" s="14">
        <v>37</v>
      </c>
      <c r="G165" s="14" t="s">
        <v>99</v>
      </c>
      <c r="H165" s="14" t="s">
        <v>52</v>
      </c>
      <c r="I165" s="14" t="s">
        <v>99</v>
      </c>
      <c r="J165" s="14" t="s">
        <v>75</v>
      </c>
      <c r="K165" s="14">
        <v>3</v>
      </c>
      <c r="L165" s="14">
        <v>11761</v>
      </c>
      <c r="M165" s="14">
        <v>15</v>
      </c>
      <c r="N165" s="14">
        <v>5292.45</v>
      </c>
      <c r="O165" s="14">
        <v>5398.3</v>
      </c>
      <c r="P165" s="14">
        <v>14</v>
      </c>
      <c r="Q165" s="14">
        <f t="shared" si="2"/>
        <v>35388.85</v>
      </c>
      <c r="R165" s="14">
        <v>35402.85</v>
      </c>
      <c r="S165" s="14" t="s">
        <v>33</v>
      </c>
      <c r="T165" s="14" t="s">
        <v>63</v>
      </c>
      <c r="U165" s="14" t="s">
        <v>55</v>
      </c>
      <c r="V165" s="14" t="s">
        <v>56</v>
      </c>
      <c r="W165" s="14" t="s">
        <v>57</v>
      </c>
      <c r="X165" s="14">
        <v>5</v>
      </c>
      <c r="Y165" s="14" t="s">
        <v>38</v>
      </c>
      <c r="Z165" s="14">
        <v>1</v>
      </c>
      <c r="AA165" s="14" t="s">
        <v>39</v>
      </c>
    </row>
    <row r="166" spans="1:27" x14ac:dyDescent="0.35">
      <c r="A166" s="14" t="s">
        <v>401</v>
      </c>
      <c r="B166" s="15">
        <v>46001</v>
      </c>
      <c r="C166" s="14" t="s">
        <v>402</v>
      </c>
      <c r="D166" s="14" t="s">
        <v>73</v>
      </c>
      <c r="E166" s="14" t="s">
        <v>43</v>
      </c>
      <c r="F166" s="14">
        <v>19</v>
      </c>
      <c r="G166" s="14" t="s">
        <v>90</v>
      </c>
      <c r="H166" s="14" t="s">
        <v>31</v>
      </c>
      <c r="I166" s="14" t="s">
        <v>90</v>
      </c>
      <c r="J166" s="14" t="s">
        <v>102</v>
      </c>
      <c r="K166" s="14">
        <v>1</v>
      </c>
      <c r="L166" s="14">
        <v>34466</v>
      </c>
      <c r="M166" s="14">
        <v>5</v>
      </c>
      <c r="N166" s="14">
        <v>1723.3</v>
      </c>
      <c r="O166" s="14">
        <v>5893.69</v>
      </c>
      <c r="P166" s="14">
        <v>50</v>
      </c>
      <c r="Q166" s="14">
        <f t="shared" si="2"/>
        <v>38636.39</v>
      </c>
      <c r="R166" s="14">
        <v>38686.39</v>
      </c>
      <c r="S166" s="14" t="s">
        <v>83</v>
      </c>
      <c r="T166" s="14" t="s">
        <v>34</v>
      </c>
      <c r="U166" s="14" t="s">
        <v>95</v>
      </c>
      <c r="V166" s="14" t="s">
        <v>96</v>
      </c>
      <c r="W166" s="14" t="s">
        <v>57</v>
      </c>
      <c r="X166" s="14">
        <v>1</v>
      </c>
      <c r="Y166" s="14" t="s">
        <v>38</v>
      </c>
      <c r="Z166" s="14">
        <v>3</v>
      </c>
      <c r="AA166" s="14" t="s">
        <v>39</v>
      </c>
    </row>
    <row r="167" spans="1:27" x14ac:dyDescent="0.35">
      <c r="A167" s="14" t="s">
        <v>403</v>
      </c>
      <c r="B167" s="15">
        <v>45947</v>
      </c>
      <c r="C167" s="14" t="s">
        <v>385</v>
      </c>
      <c r="D167" s="14" t="s">
        <v>66</v>
      </c>
      <c r="E167" s="14" t="s">
        <v>29</v>
      </c>
      <c r="F167" s="14">
        <v>57</v>
      </c>
      <c r="G167" s="14" t="s">
        <v>99</v>
      </c>
      <c r="H167" s="14" t="s">
        <v>52</v>
      </c>
      <c r="I167" s="14" t="s">
        <v>99</v>
      </c>
      <c r="J167" s="14" t="s">
        <v>32</v>
      </c>
      <c r="K167" s="14">
        <v>3</v>
      </c>
      <c r="L167" s="14">
        <v>42623</v>
      </c>
      <c r="M167" s="14">
        <v>20</v>
      </c>
      <c r="N167" s="14">
        <v>25573.8</v>
      </c>
      <c r="O167" s="14">
        <v>18413.14</v>
      </c>
      <c r="P167" s="14">
        <v>20</v>
      </c>
      <c r="Q167" s="14">
        <f t="shared" si="2"/>
        <v>120708.34</v>
      </c>
      <c r="R167" s="14">
        <v>120728.34</v>
      </c>
      <c r="S167" s="14" t="s">
        <v>45</v>
      </c>
      <c r="T167" s="14" t="s">
        <v>63</v>
      </c>
      <c r="U167" s="14" t="s">
        <v>95</v>
      </c>
      <c r="V167" s="14" t="s">
        <v>96</v>
      </c>
      <c r="W167" s="14" t="s">
        <v>57</v>
      </c>
      <c r="X167" s="14">
        <v>1</v>
      </c>
      <c r="Y167" s="14" t="s">
        <v>47</v>
      </c>
      <c r="Z167" s="14">
        <v>1</v>
      </c>
      <c r="AA167" s="14" t="s">
        <v>91</v>
      </c>
    </row>
    <row r="168" spans="1:27" x14ac:dyDescent="0.35">
      <c r="A168" s="14" t="s">
        <v>404</v>
      </c>
      <c r="B168" s="15">
        <v>46059</v>
      </c>
      <c r="C168" s="14" t="s">
        <v>405</v>
      </c>
      <c r="D168" s="14" t="s">
        <v>89</v>
      </c>
      <c r="E168" s="14" t="s">
        <v>29</v>
      </c>
      <c r="F168" s="14">
        <v>45</v>
      </c>
      <c r="G168" s="14" t="s">
        <v>51</v>
      </c>
      <c r="H168" s="14" t="s">
        <v>52</v>
      </c>
      <c r="I168" s="14" t="s">
        <v>51</v>
      </c>
      <c r="J168" s="14" t="s">
        <v>150</v>
      </c>
      <c r="K168" s="14">
        <v>2</v>
      </c>
      <c r="L168" s="14">
        <v>35830</v>
      </c>
      <c r="M168" s="14">
        <v>10</v>
      </c>
      <c r="N168" s="14">
        <v>7166</v>
      </c>
      <c r="O168" s="14">
        <v>11608.92</v>
      </c>
      <c r="P168" s="14">
        <v>133</v>
      </c>
      <c r="Q168" s="14">
        <f t="shared" si="2"/>
        <v>76102.92</v>
      </c>
      <c r="R168" s="14">
        <v>76235.92</v>
      </c>
      <c r="S168" s="14" t="s">
        <v>54</v>
      </c>
      <c r="T168" s="14" t="s">
        <v>34</v>
      </c>
      <c r="U168" s="14" t="s">
        <v>55</v>
      </c>
      <c r="V168" s="14" t="s">
        <v>56</v>
      </c>
      <c r="W168" s="14" t="s">
        <v>57</v>
      </c>
      <c r="X168" s="14">
        <v>8</v>
      </c>
      <c r="Y168" s="14" t="s">
        <v>47</v>
      </c>
      <c r="Z168" s="14">
        <v>1</v>
      </c>
      <c r="AA168" s="14" t="s">
        <v>39</v>
      </c>
    </row>
    <row r="169" spans="1:27" x14ac:dyDescent="0.35">
      <c r="A169" s="14" t="s">
        <v>406</v>
      </c>
      <c r="B169" s="15">
        <v>45837</v>
      </c>
      <c r="C169" s="14" t="s">
        <v>407</v>
      </c>
      <c r="D169" s="14" t="s">
        <v>108</v>
      </c>
      <c r="E169" s="14" t="s">
        <v>29</v>
      </c>
      <c r="F169" s="14">
        <v>37</v>
      </c>
      <c r="G169" s="14" t="s">
        <v>99</v>
      </c>
      <c r="H169" s="14" t="s">
        <v>52</v>
      </c>
      <c r="I169" s="14" t="s">
        <v>99</v>
      </c>
      <c r="J169" s="14" t="s">
        <v>32</v>
      </c>
      <c r="K169" s="14">
        <v>1</v>
      </c>
      <c r="L169" s="14">
        <v>40523</v>
      </c>
      <c r="M169" s="14">
        <v>0</v>
      </c>
      <c r="N169" s="14">
        <v>0</v>
      </c>
      <c r="O169" s="14">
        <v>7294.14</v>
      </c>
      <c r="P169" s="14">
        <v>302</v>
      </c>
      <c r="Q169" s="14">
        <f t="shared" si="2"/>
        <v>47817.14</v>
      </c>
      <c r="R169" s="14">
        <v>48119.14</v>
      </c>
      <c r="S169" s="14" t="s">
        <v>83</v>
      </c>
      <c r="T169" s="14" t="s">
        <v>63</v>
      </c>
      <c r="U169" s="14" t="s">
        <v>70</v>
      </c>
      <c r="V169" s="14" t="s">
        <v>56</v>
      </c>
      <c r="W169" s="14" t="s">
        <v>57</v>
      </c>
      <c r="X169" s="14">
        <v>9</v>
      </c>
      <c r="Y169" s="14" t="s">
        <v>38</v>
      </c>
      <c r="Z169" s="14">
        <v>5</v>
      </c>
      <c r="AA169" s="14" t="s">
        <v>47</v>
      </c>
    </row>
    <row r="170" spans="1:27" x14ac:dyDescent="0.35">
      <c r="A170" s="14" t="s">
        <v>408</v>
      </c>
      <c r="B170" s="15">
        <v>46085</v>
      </c>
      <c r="C170" s="14" t="s">
        <v>409</v>
      </c>
      <c r="D170" s="14" t="s">
        <v>80</v>
      </c>
      <c r="E170" s="14" t="s">
        <v>43</v>
      </c>
      <c r="F170" s="14">
        <v>24</v>
      </c>
      <c r="G170" s="14" t="s">
        <v>44</v>
      </c>
      <c r="H170" s="14" t="s">
        <v>31</v>
      </c>
      <c r="I170" s="14" t="s">
        <v>44</v>
      </c>
      <c r="J170" s="14" t="s">
        <v>202</v>
      </c>
      <c r="K170" s="14">
        <v>4</v>
      </c>
      <c r="L170" s="14">
        <v>11352</v>
      </c>
      <c r="M170" s="14">
        <v>0</v>
      </c>
      <c r="N170" s="14">
        <v>0</v>
      </c>
      <c r="O170" s="14">
        <v>8173.44</v>
      </c>
      <c r="P170" s="14">
        <v>161</v>
      </c>
      <c r="Q170" s="14">
        <f t="shared" si="2"/>
        <v>53581.440000000002</v>
      </c>
      <c r="R170" s="14">
        <v>53742.44</v>
      </c>
      <c r="S170" s="14" t="s">
        <v>45</v>
      </c>
      <c r="T170" s="14" t="s">
        <v>34</v>
      </c>
      <c r="U170" s="14" t="s">
        <v>35</v>
      </c>
      <c r="V170" s="14" t="s">
        <v>36</v>
      </c>
      <c r="W170" s="14" t="s">
        <v>37</v>
      </c>
      <c r="X170" s="14">
        <v>6</v>
      </c>
      <c r="Y170" s="14" t="s">
        <v>38</v>
      </c>
      <c r="Z170" s="14">
        <v>1</v>
      </c>
      <c r="AA170" s="14" t="s">
        <v>58</v>
      </c>
    </row>
    <row r="171" spans="1:27" x14ac:dyDescent="0.35">
      <c r="A171" s="14" t="s">
        <v>410</v>
      </c>
      <c r="B171" s="15">
        <v>45956</v>
      </c>
      <c r="C171" s="14" t="s">
        <v>411</v>
      </c>
      <c r="D171" s="14" t="s">
        <v>28</v>
      </c>
      <c r="E171" s="14" t="s">
        <v>43</v>
      </c>
      <c r="F171" s="14">
        <v>18</v>
      </c>
      <c r="G171" s="14" t="s">
        <v>67</v>
      </c>
      <c r="H171" s="14" t="s">
        <v>68</v>
      </c>
      <c r="I171" s="14" t="s">
        <v>67</v>
      </c>
      <c r="J171" s="14" t="s">
        <v>32</v>
      </c>
      <c r="K171" s="14">
        <v>4</v>
      </c>
      <c r="L171" s="14">
        <v>42955</v>
      </c>
      <c r="M171" s="14">
        <v>0</v>
      </c>
      <c r="N171" s="14">
        <v>0</v>
      </c>
      <c r="O171" s="14">
        <v>30927.599999999999</v>
      </c>
      <c r="P171" s="14">
        <v>41</v>
      </c>
      <c r="Q171" s="14">
        <f t="shared" si="2"/>
        <v>202747.6</v>
      </c>
      <c r="R171" s="14">
        <v>202788.6</v>
      </c>
      <c r="S171" s="14" t="s">
        <v>45</v>
      </c>
      <c r="T171" s="14" t="s">
        <v>63</v>
      </c>
      <c r="U171" s="14" t="s">
        <v>46</v>
      </c>
      <c r="V171" s="14" t="s">
        <v>36</v>
      </c>
      <c r="W171" s="14" t="s">
        <v>37</v>
      </c>
      <c r="X171" s="14">
        <v>9</v>
      </c>
      <c r="Y171" s="14" t="s">
        <v>38</v>
      </c>
      <c r="Z171" s="14">
        <v>3</v>
      </c>
      <c r="AA171" s="14" t="s">
        <v>47</v>
      </c>
    </row>
    <row r="172" spans="1:27" x14ac:dyDescent="0.35">
      <c r="A172" s="14" t="s">
        <v>412</v>
      </c>
      <c r="B172" s="15">
        <v>45931</v>
      </c>
      <c r="C172" s="14" t="s">
        <v>413</v>
      </c>
      <c r="D172" s="14" t="s">
        <v>108</v>
      </c>
      <c r="E172" s="14" t="s">
        <v>29</v>
      </c>
      <c r="F172" s="14">
        <v>59</v>
      </c>
      <c r="G172" s="14" t="s">
        <v>51</v>
      </c>
      <c r="H172" s="14" t="s">
        <v>52</v>
      </c>
      <c r="I172" s="14" t="s">
        <v>51</v>
      </c>
      <c r="J172" s="14" t="s">
        <v>112</v>
      </c>
      <c r="K172" s="14">
        <v>3</v>
      </c>
      <c r="L172" s="14">
        <v>40789</v>
      </c>
      <c r="M172" s="14">
        <v>10</v>
      </c>
      <c r="N172" s="14">
        <v>12236.7</v>
      </c>
      <c r="O172" s="14">
        <v>19823.45</v>
      </c>
      <c r="P172" s="14">
        <v>488</v>
      </c>
      <c r="Q172" s="14">
        <f t="shared" si="2"/>
        <v>129953.75</v>
      </c>
      <c r="R172" s="14">
        <v>130441.75</v>
      </c>
      <c r="S172" s="14" t="s">
        <v>83</v>
      </c>
      <c r="T172" s="14" t="s">
        <v>34</v>
      </c>
      <c r="U172" s="14" t="s">
        <v>55</v>
      </c>
      <c r="V172" s="14" t="s">
        <v>56</v>
      </c>
      <c r="W172" s="14" t="s">
        <v>57</v>
      </c>
      <c r="X172" s="14">
        <v>3</v>
      </c>
      <c r="Y172" s="14" t="s">
        <v>38</v>
      </c>
      <c r="Z172" s="14">
        <v>1</v>
      </c>
      <c r="AA172" s="14" t="s">
        <v>47</v>
      </c>
    </row>
    <row r="173" spans="1:27" x14ac:dyDescent="0.35">
      <c r="A173" s="14" t="s">
        <v>414</v>
      </c>
      <c r="B173" s="15">
        <v>45865</v>
      </c>
      <c r="C173" s="14" t="s">
        <v>415</v>
      </c>
      <c r="D173" s="14" t="s">
        <v>66</v>
      </c>
      <c r="E173" s="14" t="s">
        <v>29</v>
      </c>
      <c r="F173" s="14">
        <v>56</v>
      </c>
      <c r="G173" s="14" t="s">
        <v>30</v>
      </c>
      <c r="H173" s="14" t="s">
        <v>31</v>
      </c>
      <c r="I173" s="14" t="s">
        <v>30</v>
      </c>
      <c r="J173" s="14" t="s">
        <v>32</v>
      </c>
      <c r="K173" s="14">
        <v>5</v>
      </c>
      <c r="L173" s="14">
        <v>39991</v>
      </c>
      <c r="M173" s="14">
        <v>5</v>
      </c>
      <c r="N173" s="14">
        <v>9997.75</v>
      </c>
      <c r="O173" s="14">
        <v>34192.31</v>
      </c>
      <c r="P173" s="14">
        <v>328</v>
      </c>
      <c r="Q173" s="14">
        <f t="shared" si="2"/>
        <v>224149.55</v>
      </c>
      <c r="R173" s="14">
        <v>224477.55</v>
      </c>
      <c r="S173" s="14" t="s">
        <v>33</v>
      </c>
      <c r="T173" s="14" t="s">
        <v>63</v>
      </c>
      <c r="U173" s="14" t="s">
        <v>103</v>
      </c>
      <c r="V173" s="14" t="s">
        <v>103</v>
      </c>
      <c r="W173" s="14" t="s">
        <v>57</v>
      </c>
      <c r="X173" s="14">
        <v>10</v>
      </c>
      <c r="Y173" s="14" t="s">
        <v>47</v>
      </c>
      <c r="Z173" s="14">
        <v>4</v>
      </c>
      <c r="AA173" s="14" t="s">
        <v>58</v>
      </c>
    </row>
    <row r="174" spans="1:27" x14ac:dyDescent="0.35">
      <c r="A174" s="14" t="s">
        <v>416</v>
      </c>
      <c r="B174" s="15">
        <v>46009</v>
      </c>
      <c r="C174" s="14" t="s">
        <v>267</v>
      </c>
      <c r="D174" s="14" t="s">
        <v>89</v>
      </c>
      <c r="E174" s="14" t="s">
        <v>43</v>
      </c>
      <c r="F174" s="14">
        <v>41</v>
      </c>
      <c r="G174" s="14" t="s">
        <v>44</v>
      </c>
      <c r="H174" s="14" t="s">
        <v>31</v>
      </c>
      <c r="I174" s="14" t="s">
        <v>44</v>
      </c>
      <c r="J174" s="14" t="s">
        <v>202</v>
      </c>
      <c r="K174" s="14">
        <v>3</v>
      </c>
      <c r="L174" s="14">
        <v>22410</v>
      </c>
      <c r="M174" s="14">
        <v>10</v>
      </c>
      <c r="N174" s="14">
        <v>6723</v>
      </c>
      <c r="O174" s="14">
        <v>10891.26</v>
      </c>
      <c r="P174" s="14">
        <v>365</v>
      </c>
      <c r="Q174" s="14">
        <f t="shared" si="2"/>
        <v>71398.259999999995</v>
      </c>
      <c r="R174" s="14">
        <v>71763.259999999995</v>
      </c>
      <c r="S174" s="14" t="s">
        <v>45</v>
      </c>
      <c r="T174" s="14" t="s">
        <v>63</v>
      </c>
      <c r="U174" s="14" t="s">
        <v>103</v>
      </c>
      <c r="V174" s="14" t="s">
        <v>103</v>
      </c>
      <c r="W174" s="14" t="s">
        <v>57</v>
      </c>
      <c r="X174" s="14">
        <v>1</v>
      </c>
      <c r="Y174" s="14" t="s">
        <v>47</v>
      </c>
      <c r="Z174" s="14">
        <v>1</v>
      </c>
      <c r="AA174" s="14" t="s">
        <v>47</v>
      </c>
    </row>
    <row r="175" spans="1:27" x14ac:dyDescent="0.35">
      <c r="A175" s="14" t="s">
        <v>417</v>
      </c>
      <c r="B175" s="15">
        <v>45938</v>
      </c>
      <c r="C175" s="14" t="s">
        <v>418</v>
      </c>
      <c r="D175" s="14" t="s">
        <v>80</v>
      </c>
      <c r="E175" s="14" t="s">
        <v>29</v>
      </c>
      <c r="F175" s="14">
        <v>18</v>
      </c>
      <c r="G175" s="14" t="s">
        <v>94</v>
      </c>
      <c r="H175" s="14" t="s">
        <v>31</v>
      </c>
      <c r="I175" s="14" t="s">
        <v>94</v>
      </c>
      <c r="J175" s="14" t="s">
        <v>53</v>
      </c>
      <c r="K175" s="14">
        <v>4</v>
      </c>
      <c r="L175" s="14">
        <v>3086</v>
      </c>
      <c r="M175" s="14">
        <v>10</v>
      </c>
      <c r="N175" s="14">
        <v>1234.4000000000001</v>
      </c>
      <c r="O175" s="14">
        <v>1999.73</v>
      </c>
      <c r="P175" s="14">
        <v>247</v>
      </c>
      <c r="Q175" s="14">
        <f t="shared" si="2"/>
        <v>13109.33</v>
      </c>
      <c r="R175" s="14">
        <v>13356.33</v>
      </c>
      <c r="S175" s="14" t="s">
        <v>33</v>
      </c>
      <c r="T175" s="14" t="s">
        <v>63</v>
      </c>
      <c r="U175" s="14" t="s">
        <v>35</v>
      </c>
      <c r="V175" s="14" t="s">
        <v>36</v>
      </c>
      <c r="W175" s="14" t="s">
        <v>37</v>
      </c>
      <c r="X175" s="14">
        <v>4</v>
      </c>
      <c r="Y175" s="14" t="s">
        <v>47</v>
      </c>
      <c r="Z175" s="14">
        <v>5</v>
      </c>
      <c r="AA175" s="14" t="s">
        <v>58</v>
      </c>
    </row>
    <row r="176" spans="1:27" x14ac:dyDescent="0.35">
      <c r="A176" s="14" t="s">
        <v>419</v>
      </c>
      <c r="B176" s="15">
        <v>45868</v>
      </c>
      <c r="C176" s="14" t="s">
        <v>420</v>
      </c>
      <c r="D176" s="14" t="s">
        <v>50</v>
      </c>
      <c r="E176" s="14" t="s">
        <v>43</v>
      </c>
      <c r="F176" s="14">
        <v>53</v>
      </c>
      <c r="G176" s="14" t="s">
        <v>30</v>
      </c>
      <c r="H176" s="14" t="s">
        <v>31</v>
      </c>
      <c r="I176" s="14" t="s">
        <v>30</v>
      </c>
      <c r="J176" s="14" t="s">
        <v>62</v>
      </c>
      <c r="K176" s="14">
        <v>3</v>
      </c>
      <c r="L176" s="14">
        <v>39476</v>
      </c>
      <c r="M176" s="14">
        <v>20</v>
      </c>
      <c r="N176" s="14">
        <v>23685.599999999999</v>
      </c>
      <c r="O176" s="14">
        <v>17053.63</v>
      </c>
      <c r="P176" s="14">
        <v>78</v>
      </c>
      <c r="Q176" s="14">
        <f t="shared" si="2"/>
        <v>111796.03</v>
      </c>
      <c r="R176" s="14">
        <v>111874.03</v>
      </c>
      <c r="S176" s="14" t="s">
        <v>83</v>
      </c>
      <c r="T176" s="14" t="s">
        <v>63</v>
      </c>
      <c r="U176" s="14" t="s">
        <v>103</v>
      </c>
      <c r="V176" s="14" t="s">
        <v>103</v>
      </c>
      <c r="W176" s="14" t="s">
        <v>57</v>
      </c>
      <c r="X176" s="14">
        <v>5</v>
      </c>
      <c r="Y176" s="14" t="s">
        <v>47</v>
      </c>
      <c r="Z176" s="14">
        <v>2</v>
      </c>
      <c r="AA176" s="14" t="s">
        <v>47</v>
      </c>
    </row>
    <row r="177" spans="1:27" x14ac:dyDescent="0.35">
      <c r="A177" s="14" t="s">
        <v>421</v>
      </c>
      <c r="B177" s="15">
        <v>45925</v>
      </c>
      <c r="C177" s="14" t="s">
        <v>422</v>
      </c>
      <c r="D177" s="14" t="s">
        <v>50</v>
      </c>
      <c r="E177" s="14" t="s">
        <v>29</v>
      </c>
      <c r="F177" s="14">
        <v>31</v>
      </c>
      <c r="G177" s="14" t="s">
        <v>44</v>
      </c>
      <c r="H177" s="14" t="s">
        <v>31</v>
      </c>
      <c r="I177" s="14" t="s">
        <v>44</v>
      </c>
      <c r="J177" s="14" t="s">
        <v>53</v>
      </c>
      <c r="K177" s="14">
        <v>1</v>
      </c>
      <c r="L177" s="14">
        <v>31021</v>
      </c>
      <c r="M177" s="14">
        <v>15</v>
      </c>
      <c r="N177" s="14">
        <v>4653.1499999999996</v>
      </c>
      <c r="O177" s="14">
        <v>4746.21</v>
      </c>
      <c r="P177" s="14">
        <v>39</v>
      </c>
      <c r="Q177" s="14">
        <f t="shared" si="2"/>
        <v>31114.06</v>
      </c>
      <c r="R177" s="14">
        <v>31153.06</v>
      </c>
      <c r="S177" s="14" t="s">
        <v>83</v>
      </c>
      <c r="T177" s="14" t="s">
        <v>34</v>
      </c>
      <c r="U177" s="14" t="s">
        <v>70</v>
      </c>
      <c r="V177" s="14" t="s">
        <v>56</v>
      </c>
      <c r="W177" s="14" t="s">
        <v>57</v>
      </c>
      <c r="X177" s="14">
        <v>8</v>
      </c>
      <c r="Y177" s="14" t="s">
        <v>47</v>
      </c>
      <c r="Z177" s="14">
        <v>4</v>
      </c>
      <c r="AA177" s="14" t="s">
        <v>39</v>
      </c>
    </row>
    <row r="178" spans="1:27" x14ac:dyDescent="0.35">
      <c r="A178" s="14" t="s">
        <v>423</v>
      </c>
      <c r="B178" s="15">
        <v>45842</v>
      </c>
      <c r="C178" s="14" t="s">
        <v>424</v>
      </c>
      <c r="D178" s="14" t="s">
        <v>73</v>
      </c>
      <c r="E178" s="14" t="s">
        <v>43</v>
      </c>
      <c r="F178" s="14">
        <v>46</v>
      </c>
      <c r="G178" s="14" t="s">
        <v>74</v>
      </c>
      <c r="H178" s="14" t="s">
        <v>31</v>
      </c>
      <c r="I178" s="14" t="s">
        <v>74</v>
      </c>
      <c r="J178" s="14" t="s">
        <v>202</v>
      </c>
      <c r="K178" s="14">
        <v>1</v>
      </c>
      <c r="L178" s="14">
        <v>581</v>
      </c>
      <c r="M178" s="14">
        <v>0</v>
      </c>
      <c r="N178" s="14">
        <v>0</v>
      </c>
      <c r="O178" s="14">
        <v>104.58</v>
      </c>
      <c r="P178" s="14">
        <v>19</v>
      </c>
      <c r="Q178" s="14">
        <f t="shared" si="2"/>
        <v>685.58</v>
      </c>
      <c r="R178" s="14">
        <v>704.58</v>
      </c>
      <c r="S178" s="14" t="s">
        <v>83</v>
      </c>
      <c r="T178" s="14" t="s">
        <v>34</v>
      </c>
      <c r="U178" s="14" t="s">
        <v>103</v>
      </c>
      <c r="V178" s="14" t="s">
        <v>103</v>
      </c>
      <c r="W178" s="14" t="s">
        <v>57</v>
      </c>
      <c r="X178" s="14">
        <v>4</v>
      </c>
      <c r="Y178" s="14" t="s">
        <v>47</v>
      </c>
      <c r="Z178" s="14">
        <v>2</v>
      </c>
      <c r="AA178" s="14" t="s">
        <v>91</v>
      </c>
    </row>
    <row r="179" spans="1:27" x14ac:dyDescent="0.35">
      <c r="A179" s="14" t="s">
        <v>425</v>
      </c>
      <c r="B179" s="15">
        <v>46058</v>
      </c>
      <c r="C179" s="14" t="s">
        <v>426</v>
      </c>
      <c r="D179" s="14" t="s">
        <v>111</v>
      </c>
      <c r="E179" s="14" t="s">
        <v>29</v>
      </c>
      <c r="F179" s="14">
        <v>23</v>
      </c>
      <c r="G179" s="14" t="s">
        <v>134</v>
      </c>
      <c r="H179" s="14" t="s">
        <v>31</v>
      </c>
      <c r="I179" s="14" t="s">
        <v>134</v>
      </c>
      <c r="J179" s="14" t="s">
        <v>102</v>
      </c>
      <c r="K179" s="14">
        <v>3</v>
      </c>
      <c r="L179" s="14">
        <v>36753</v>
      </c>
      <c r="M179" s="14">
        <v>10</v>
      </c>
      <c r="N179" s="14">
        <v>11025.9</v>
      </c>
      <c r="O179" s="14">
        <v>17861.96</v>
      </c>
      <c r="P179" s="14">
        <v>200</v>
      </c>
      <c r="Q179" s="14">
        <f t="shared" si="2"/>
        <v>117095.06</v>
      </c>
      <c r="R179" s="14">
        <v>117295.06</v>
      </c>
      <c r="S179" s="14" t="s">
        <v>54</v>
      </c>
      <c r="T179" s="14" t="s">
        <v>34</v>
      </c>
      <c r="U179" s="14" t="s">
        <v>95</v>
      </c>
      <c r="V179" s="14" t="s">
        <v>96</v>
      </c>
      <c r="W179" s="14" t="s">
        <v>57</v>
      </c>
      <c r="X179" s="14">
        <v>9</v>
      </c>
      <c r="Y179" s="14" t="s">
        <v>38</v>
      </c>
      <c r="Z179" s="14">
        <v>3</v>
      </c>
      <c r="AA179" s="14" t="s">
        <v>58</v>
      </c>
    </row>
    <row r="180" spans="1:27" x14ac:dyDescent="0.35">
      <c r="A180" s="14" t="s">
        <v>427</v>
      </c>
      <c r="B180" s="15">
        <v>46011</v>
      </c>
      <c r="C180" s="14" t="s">
        <v>428</v>
      </c>
      <c r="D180" s="14" t="s">
        <v>28</v>
      </c>
      <c r="E180" s="14" t="s">
        <v>43</v>
      </c>
      <c r="F180" s="14">
        <v>30</v>
      </c>
      <c r="G180" s="14" t="s">
        <v>139</v>
      </c>
      <c r="H180" s="14" t="s">
        <v>31</v>
      </c>
      <c r="I180" s="14" t="s">
        <v>139</v>
      </c>
      <c r="J180" s="14" t="s">
        <v>75</v>
      </c>
      <c r="K180" s="14">
        <v>3</v>
      </c>
      <c r="L180" s="14">
        <v>34859</v>
      </c>
      <c r="M180" s="14">
        <v>5</v>
      </c>
      <c r="N180" s="14">
        <v>5228.8500000000004</v>
      </c>
      <c r="O180" s="14">
        <v>17882.669999999998</v>
      </c>
      <c r="P180" s="14">
        <v>482</v>
      </c>
      <c r="Q180" s="14">
        <f t="shared" si="2"/>
        <v>117230.82</v>
      </c>
      <c r="R180" s="14">
        <v>117712.82</v>
      </c>
      <c r="S180" s="14" t="s">
        <v>54</v>
      </c>
      <c r="T180" s="14" t="s">
        <v>34</v>
      </c>
      <c r="U180" s="14" t="s">
        <v>70</v>
      </c>
      <c r="V180" s="14" t="s">
        <v>56</v>
      </c>
      <c r="W180" s="14" t="s">
        <v>57</v>
      </c>
      <c r="X180" s="14">
        <v>6</v>
      </c>
      <c r="Y180" s="14" t="s">
        <v>47</v>
      </c>
      <c r="Z180" s="14">
        <v>1</v>
      </c>
      <c r="AA180" s="14" t="s">
        <v>47</v>
      </c>
    </row>
    <row r="181" spans="1:27" x14ac:dyDescent="0.35">
      <c r="A181" s="14" t="s">
        <v>429</v>
      </c>
      <c r="B181" s="15">
        <v>46101</v>
      </c>
      <c r="C181" s="14" t="s">
        <v>172</v>
      </c>
      <c r="D181" s="14" t="s">
        <v>108</v>
      </c>
      <c r="E181" s="14" t="s">
        <v>43</v>
      </c>
      <c r="F181" s="14">
        <v>38</v>
      </c>
      <c r="G181" s="14" t="s">
        <v>67</v>
      </c>
      <c r="H181" s="14" t="s">
        <v>68</v>
      </c>
      <c r="I181" s="14" t="s">
        <v>67</v>
      </c>
      <c r="J181" s="14" t="s">
        <v>150</v>
      </c>
      <c r="K181" s="14">
        <v>3</v>
      </c>
      <c r="L181" s="14">
        <v>27908</v>
      </c>
      <c r="M181" s="14">
        <v>15</v>
      </c>
      <c r="N181" s="14">
        <v>12558.6</v>
      </c>
      <c r="O181" s="14">
        <v>12809.77</v>
      </c>
      <c r="P181" s="14">
        <v>250</v>
      </c>
      <c r="Q181" s="14">
        <f t="shared" si="2"/>
        <v>83975.17</v>
      </c>
      <c r="R181" s="14">
        <v>84225.17</v>
      </c>
      <c r="S181" s="14" t="s">
        <v>45</v>
      </c>
      <c r="T181" s="14" t="s">
        <v>34</v>
      </c>
      <c r="U181" s="14" t="s">
        <v>70</v>
      </c>
      <c r="V181" s="14" t="s">
        <v>56</v>
      </c>
      <c r="W181" s="14" t="s">
        <v>57</v>
      </c>
      <c r="X181" s="14">
        <v>9</v>
      </c>
      <c r="Y181" s="14" t="s">
        <v>47</v>
      </c>
      <c r="Z181" s="14">
        <v>5</v>
      </c>
      <c r="AA181" s="14" t="s">
        <v>39</v>
      </c>
    </row>
    <row r="182" spans="1:27" x14ac:dyDescent="0.35">
      <c r="A182" s="14" t="s">
        <v>430</v>
      </c>
      <c r="B182" s="15">
        <v>46028</v>
      </c>
      <c r="C182" s="14" t="s">
        <v>302</v>
      </c>
      <c r="D182" s="14" t="s">
        <v>108</v>
      </c>
      <c r="E182" s="14" t="s">
        <v>43</v>
      </c>
      <c r="F182" s="14">
        <v>29</v>
      </c>
      <c r="G182" s="14" t="s">
        <v>139</v>
      </c>
      <c r="H182" s="14" t="s">
        <v>31</v>
      </c>
      <c r="I182" s="14" t="s">
        <v>139</v>
      </c>
      <c r="J182" s="14" t="s">
        <v>69</v>
      </c>
      <c r="K182" s="14">
        <v>3</v>
      </c>
      <c r="L182" s="14">
        <v>47658</v>
      </c>
      <c r="M182" s="14">
        <v>0</v>
      </c>
      <c r="N182" s="14">
        <v>0</v>
      </c>
      <c r="O182" s="14">
        <v>25735.32</v>
      </c>
      <c r="P182" s="14">
        <v>240</v>
      </c>
      <c r="Q182" s="14">
        <f t="shared" si="2"/>
        <v>168709.32</v>
      </c>
      <c r="R182" s="14">
        <v>168949.32</v>
      </c>
      <c r="S182" s="14" t="s">
        <v>45</v>
      </c>
      <c r="T182" s="14" t="s">
        <v>34</v>
      </c>
      <c r="U182" s="14" t="s">
        <v>70</v>
      </c>
      <c r="V182" s="14" t="s">
        <v>56</v>
      </c>
      <c r="W182" s="14" t="s">
        <v>57</v>
      </c>
      <c r="X182" s="14">
        <v>4</v>
      </c>
      <c r="Y182" s="14" t="s">
        <v>38</v>
      </c>
      <c r="Z182" s="14">
        <v>2</v>
      </c>
      <c r="AA182" s="14" t="s">
        <v>58</v>
      </c>
    </row>
    <row r="183" spans="1:27" x14ac:dyDescent="0.35">
      <c r="A183" s="14" t="s">
        <v>431</v>
      </c>
      <c r="B183" s="15">
        <v>45954</v>
      </c>
      <c r="C183" s="14" t="s">
        <v>432</v>
      </c>
      <c r="D183" s="14" t="s">
        <v>89</v>
      </c>
      <c r="E183" s="14" t="s">
        <v>43</v>
      </c>
      <c r="F183" s="14">
        <v>56</v>
      </c>
      <c r="G183" s="14" t="s">
        <v>30</v>
      </c>
      <c r="H183" s="14" t="s">
        <v>31</v>
      </c>
      <c r="I183" s="14" t="s">
        <v>30</v>
      </c>
      <c r="J183" s="14" t="s">
        <v>62</v>
      </c>
      <c r="K183" s="14">
        <v>4</v>
      </c>
      <c r="L183" s="14">
        <v>2329</v>
      </c>
      <c r="M183" s="14">
        <v>0</v>
      </c>
      <c r="N183" s="14">
        <v>0</v>
      </c>
      <c r="O183" s="14">
        <v>1676.88</v>
      </c>
      <c r="P183" s="14">
        <v>348</v>
      </c>
      <c r="Q183" s="14">
        <f t="shared" si="2"/>
        <v>10992.88</v>
      </c>
      <c r="R183" s="14">
        <v>11340.88</v>
      </c>
      <c r="S183" s="14" t="s">
        <v>54</v>
      </c>
      <c r="T183" s="14" t="s">
        <v>34</v>
      </c>
      <c r="U183" s="14" t="s">
        <v>55</v>
      </c>
      <c r="V183" s="14" t="s">
        <v>56</v>
      </c>
      <c r="W183" s="14" t="s">
        <v>57</v>
      </c>
      <c r="X183" s="14">
        <v>1</v>
      </c>
      <c r="Y183" s="14" t="s">
        <v>38</v>
      </c>
      <c r="Z183" s="14">
        <v>2</v>
      </c>
      <c r="AA183" s="14" t="s">
        <v>39</v>
      </c>
    </row>
    <row r="184" spans="1:27" x14ac:dyDescent="0.35">
      <c r="A184" s="14" t="s">
        <v>433</v>
      </c>
      <c r="B184" s="15">
        <v>45975</v>
      </c>
      <c r="C184" s="14" t="s">
        <v>434</v>
      </c>
      <c r="D184" s="14" t="s">
        <v>89</v>
      </c>
      <c r="E184" s="14" t="s">
        <v>43</v>
      </c>
      <c r="F184" s="14">
        <v>42</v>
      </c>
      <c r="G184" s="14" t="s">
        <v>30</v>
      </c>
      <c r="H184" s="14" t="s">
        <v>31</v>
      </c>
      <c r="I184" s="14" t="s">
        <v>30</v>
      </c>
      <c r="J184" s="14" t="s">
        <v>202</v>
      </c>
      <c r="K184" s="14">
        <v>2</v>
      </c>
      <c r="L184" s="14">
        <v>10674</v>
      </c>
      <c r="M184" s="14">
        <v>20</v>
      </c>
      <c r="N184" s="14">
        <v>4269.6000000000004</v>
      </c>
      <c r="O184" s="14">
        <v>3074.11</v>
      </c>
      <c r="P184" s="14">
        <v>316</v>
      </c>
      <c r="Q184" s="14">
        <f t="shared" si="2"/>
        <v>20152.509999999998</v>
      </c>
      <c r="R184" s="14">
        <v>20468.509999999998</v>
      </c>
      <c r="S184" s="14" t="s">
        <v>33</v>
      </c>
      <c r="T184" s="14" t="s">
        <v>34</v>
      </c>
      <c r="U184" s="14" t="s">
        <v>46</v>
      </c>
      <c r="V184" s="14" t="s">
        <v>36</v>
      </c>
      <c r="W184" s="14" t="s">
        <v>37</v>
      </c>
      <c r="X184" s="14">
        <v>5</v>
      </c>
      <c r="Y184" s="14" t="s">
        <v>38</v>
      </c>
      <c r="Z184" s="14">
        <v>1</v>
      </c>
      <c r="AA184" s="14" t="s">
        <v>91</v>
      </c>
    </row>
    <row r="185" spans="1:27" x14ac:dyDescent="0.35">
      <c r="A185" s="14" t="s">
        <v>435</v>
      </c>
      <c r="B185" s="15">
        <v>45910</v>
      </c>
      <c r="C185" s="14" t="s">
        <v>436</v>
      </c>
      <c r="D185" s="14" t="s">
        <v>108</v>
      </c>
      <c r="E185" s="14" t="s">
        <v>29</v>
      </c>
      <c r="F185" s="14">
        <v>37</v>
      </c>
      <c r="G185" s="14" t="s">
        <v>139</v>
      </c>
      <c r="H185" s="14" t="s">
        <v>31</v>
      </c>
      <c r="I185" s="14" t="s">
        <v>139</v>
      </c>
      <c r="J185" s="14" t="s">
        <v>62</v>
      </c>
      <c r="K185" s="14">
        <v>4</v>
      </c>
      <c r="L185" s="14">
        <v>9797</v>
      </c>
      <c r="M185" s="14">
        <v>15</v>
      </c>
      <c r="N185" s="14">
        <v>5878.2</v>
      </c>
      <c r="O185" s="14">
        <v>5995.76</v>
      </c>
      <c r="P185" s="14">
        <v>457</v>
      </c>
      <c r="Q185" s="14">
        <f t="shared" si="2"/>
        <v>39305.56</v>
      </c>
      <c r="R185" s="14">
        <v>39762.559999999998</v>
      </c>
      <c r="S185" s="14" t="s">
        <v>83</v>
      </c>
      <c r="T185" s="14" t="s">
        <v>34</v>
      </c>
      <c r="U185" s="14" t="s">
        <v>55</v>
      </c>
      <c r="V185" s="14" t="s">
        <v>56</v>
      </c>
      <c r="W185" s="14" t="s">
        <v>57</v>
      </c>
      <c r="X185" s="14">
        <v>3</v>
      </c>
      <c r="Y185" s="14" t="s">
        <v>47</v>
      </c>
      <c r="Z185" s="14">
        <v>5</v>
      </c>
      <c r="AA185" s="14" t="s">
        <v>91</v>
      </c>
    </row>
    <row r="186" spans="1:27" x14ac:dyDescent="0.35">
      <c r="A186" s="14" t="s">
        <v>437</v>
      </c>
      <c r="B186" s="15">
        <v>45990</v>
      </c>
      <c r="C186" s="14" t="s">
        <v>300</v>
      </c>
      <c r="D186" s="14" t="s">
        <v>80</v>
      </c>
      <c r="E186" s="14" t="s">
        <v>43</v>
      </c>
      <c r="F186" s="14">
        <v>46</v>
      </c>
      <c r="G186" s="14" t="s">
        <v>74</v>
      </c>
      <c r="H186" s="14" t="s">
        <v>31</v>
      </c>
      <c r="I186" s="14" t="s">
        <v>74</v>
      </c>
      <c r="J186" s="14" t="s">
        <v>32</v>
      </c>
      <c r="K186" s="14">
        <v>3</v>
      </c>
      <c r="L186" s="14">
        <v>44724</v>
      </c>
      <c r="M186" s="14">
        <v>5</v>
      </c>
      <c r="N186" s="14">
        <v>6708.6</v>
      </c>
      <c r="O186" s="14">
        <v>22943.41</v>
      </c>
      <c r="P186" s="14">
        <v>76</v>
      </c>
      <c r="Q186" s="14">
        <f t="shared" si="2"/>
        <v>150406.81</v>
      </c>
      <c r="R186" s="14">
        <v>150482.81</v>
      </c>
      <c r="S186" s="14" t="s">
        <v>83</v>
      </c>
      <c r="T186" s="14" t="s">
        <v>34</v>
      </c>
      <c r="U186" s="14" t="s">
        <v>103</v>
      </c>
      <c r="V186" s="14" t="s">
        <v>103</v>
      </c>
      <c r="W186" s="14" t="s">
        <v>57</v>
      </c>
      <c r="X186" s="14">
        <v>7</v>
      </c>
      <c r="Y186" s="14" t="s">
        <v>47</v>
      </c>
      <c r="Z186" s="14">
        <v>2</v>
      </c>
      <c r="AA186" s="14" t="s">
        <v>91</v>
      </c>
    </row>
    <row r="187" spans="1:27" x14ac:dyDescent="0.35">
      <c r="A187" s="14" t="s">
        <v>438</v>
      </c>
      <c r="B187" s="15">
        <v>46075</v>
      </c>
      <c r="C187" s="14" t="s">
        <v>439</v>
      </c>
      <c r="D187" s="14" t="s">
        <v>80</v>
      </c>
      <c r="E187" s="14" t="s">
        <v>29</v>
      </c>
      <c r="F187" s="14">
        <v>33</v>
      </c>
      <c r="G187" s="14" t="s">
        <v>44</v>
      </c>
      <c r="H187" s="14" t="s">
        <v>31</v>
      </c>
      <c r="I187" s="14" t="s">
        <v>44</v>
      </c>
      <c r="J187" s="14" t="s">
        <v>150</v>
      </c>
      <c r="K187" s="14">
        <v>2</v>
      </c>
      <c r="L187" s="14">
        <v>41199</v>
      </c>
      <c r="M187" s="14">
        <v>20</v>
      </c>
      <c r="N187" s="14">
        <v>16479.599999999999</v>
      </c>
      <c r="O187" s="14">
        <v>11865.31</v>
      </c>
      <c r="P187" s="14">
        <v>317</v>
      </c>
      <c r="Q187" s="14">
        <f t="shared" si="2"/>
        <v>77783.710000000006</v>
      </c>
      <c r="R187" s="14">
        <v>78100.710000000006</v>
      </c>
      <c r="S187" s="14" t="s">
        <v>54</v>
      </c>
      <c r="T187" s="14" t="s">
        <v>63</v>
      </c>
      <c r="U187" s="14" t="s">
        <v>46</v>
      </c>
      <c r="V187" s="14" t="s">
        <v>36</v>
      </c>
      <c r="W187" s="14" t="s">
        <v>37</v>
      </c>
      <c r="X187" s="14">
        <v>2</v>
      </c>
      <c r="Y187" s="14" t="s">
        <v>38</v>
      </c>
      <c r="Z187" s="14">
        <v>3</v>
      </c>
      <c r="AA187" s="14" t="s">
        <v>39</v>
      </c>
    </row>
    <row r="188" spans="1:27" x14ac:dyDescent="0.35">
      <c r="A188" s="14" t="s">
        <v>440</v>
      </c>
      <c r="B188" s="15">
        <v>45849</v>
      </c>
      <c r="C188" s="14" t="s">
        <v>376</v>
      </c>
      <c r="D188" s="14" t="s">
        <v>73</v>
      </c>
      <c r="E188" s="14" t="s">
        <v>43</v>
      </c>
      <c r="F188" s="14">
        <v>37</v>
      </c>
      <c r="G188" s="14" t="s">
        <v>94</v>
      </c>
      <c r="H188" s="14" t="s">
        <v>31</v>
      </c>
      <c r="I188" s="14" t="s">
        <v>94</v>
      </c>
      <c r="J188" s="14" t="s">
        <v>75</v>
      </c>
      <c r="K188" s="14">
        <v>5</v>
      </c>
      <c r="L188" s="14">
        <v>41589</v>
      </c>
      <c r="M188" s="14">
        <v>0</v>
      </c>
      <c r="N188" s="14">
        <v>0</v>
      </c>
      <c r="O188" s="14">
        <v>37430.1</v>
      </c>
      <c r="P188" s="14">
        <v>194</v>
      </c>
      <c r="Q188" s="14">
        <f t="shared" si="2"/>
        <v>245375.1</v>
      </c>
      <c r="R188" s="14">
        <v>245569.1</v>
      </c>
      <c r="S188" s="14" t="s">
        <v>33</v>
      </c>
      <c r="T188" s="14" t="s">
        <v>63</v>
      </c>
      <c r="U188" s="14" t="s">
        <v>70</v>
      </c>
      <c r="V188" s="14" t="s">
        <v>56</v>
      </c>
      <c r="W188" s="14" t="s">
        <v>57</v>
      </c>
      <c r="X188" s="14">
        <v>10</v>
      </c>
      <c r="Y188" s="14" t="s">
        <v>38</v>
      </c>
      <c r="Z188" s="14">
        <v>1</v>
      </c>
      <c r="AA188" s="14" t="s">
        <v>39</v>
      </c>
    </row>
    <row r="189" spans="1:27" x14ac:dyDescent="0.35">
      <c r="A189" s="14" t="s">
        <v>441</v>
      </c>
      <c r="B189" s="15">
        <v>46068</v>
      </c>
      <c r="C189" s="14" t="s">
        <v>442</v>
      </c>
      <c r="D189" s="14" t="s">
        <v>42</v>
      </c>
      <c r="E189" s="14" t="s">
        <v>43</v>
      </c>
      <c r="F189" s="14">
        <v>50</v>
      </c>
      <c r="G189" s="14" t="s">
        <v>139</v>
      </c>
      <c r="H189" s="14" t="s">
        <v>31</v>
      </c>
      <c r="I189" s="14" t="s">
        <v>139</v>
      </c>
      <c r="J189" s="14" t="s">
        <v>150</v>
      </c>
      <c r="K189" s="14">
        <v>3</v>
      </c>
      <c r="L189" s="14">
        <v>38807</v>
      </c>
      <c r="M189" s="14">
        <v>5</v>
      </c>
      <c r="N189" s="14">
        <v>5821.05</v>
      </c>
      <c r="O189" s="14">
        <v>19907.990000000002</v>
      </c>
      <c r="P189" s="14">
        <v>361</v>
      </c>
      <c r="Q189" s="14">
        <f t="shared" si="2"/>
        <v>130507.94</v>
      </c>
      <c r="R189" s="14">
        <v>130868.94</v>
      </c>
      <c r="S189" s="14" t="s">
        <v>45</v>
      </c>
      <c r="T189" s="14" t="s">
        <v>34</v>
      </c>
      <c r="U189" s="14" t="s">
        <v>46</v>
      </c>
      <c r="V189" s="14" t="s">
        <v>36</v>
      </c>
      <c r="W189" s="14" t="s">
        <v>37</v>
      </c>
      <c r="X189" s="14">
        <v>10</v>
      </c>
      <c r="Y189" s="14" t="s">
        <v>47</v>
      </c>
      <c r="Z189" s="14">
        <v>5</v>
      </c>
      <c r="AA189" s="14" t="s">
        <v>47</v>
      </c>
    </row>
    <row r="190" spans="1:27" x14ac:dyDescent="0.35">
      <c r="A190" s="14" t="s">
        <v>443</v>
      </c>
      <c r="B190" s="15">
        <v>45840</v>
      </c>
      <c r="C190" s="14" t="s">
        <v>444</v>
      </c>
      <c r="D190" s="14" t="s">
        <v>61</v>
      </c>
      <c r="E190" s="14" t="s">
        <v>43</v>
      </c>
      <c r="F190" s="14">
        <v>32</v>
      </c>
      <c r="G190" s="14" t="s">
        <v>30</v>
      </c>
      <c r="H190" s="14" t="s">
        <v>31</v>
      </c>
      <c r="I190" s="14" t="s">
        <v>30</v>
      </c>
      <c r="J190" s="14" t="s">
        <v>69</v>
      </c>
      <c r="K190" s="14">
        <v>1</v>
      </c>
      <c r="L190" s="14">
        <v>6099</v>
      </c>
      <c r="M190" s="14">
        <v>0</v>
      </c>
      <c r="N190" s="14">
        <v>0</v>
      </c>
      <c r="O190" s="14">
        <v>1097.82</v>
      </c>
      <c r="P190" s="14">
        <v>238</v>
      </c>
      <c r="Q190" s="14">
        <f t="shared" si="2"/>
        <v>7196.82</v>
      </c>
      <c r="R190" s="14">
        <v>7434.82</v>
      </c>
      <c r="S190" s="14" t="s">
        <v>45</v>
      </c>
      <c r="T190" s="14" t="s">
        <v>63</v>
      </c>
      <c r="U190" s="14" t="s">
        <v>95</v>
      </c>
      <c r="V190" s="14" t="s">
        <v>96</v>
      </c>
      <c r="W190" s="14" t="s">
        <v>57</v>
      </c>
      <c r="X190" s="14">
        <v>10</v>
      </c>
      <c r="Y190" s="14" t="s">
        <v>38</v>
      </c>
      <c r="Z190" s="14">
        <v>2</v>
      </c>
      <c r="AA190" s="14" t="s">
        <v>39</v>
      </c>
    </row>
    <row r="191" spans="1:27" x14ac:dyDescent="0.35">
      <c r="A191" s="14" t="s">
        <v>445</v>
      </c>
      <c r="B191" s="15">
        <v>45929</v>
      </c>
      <c r="C191" s="14" t="s">
        <v>446</v>
      </c>
      <c r="D191" s="14" t="s">
        <v>108</v>
      </c>
      <c r="E191" s="14" t="s">
        <v>29</v>
      </c>
      <c r="F191" s="14">
        <v>25</v>
      </c>
      <c r="G191" s="14" t="s">
        <v>51</v>
      </c>
      <c r="H191" s="14" t="s">
        <v>52</v>
      </c>
      <c r="I191" s="14" t="s">
        <v>51</v>
      </c>
      <c r="J191" s="14" t="s">
        <v>202</v>
      </c>
      <c r="K191" s="14">
        <v>1</v>
      </c>
      <c r="L191" s="14">
        <v>22901</v>
      </c>
      <c r="M191" s="14">
        <v>0</v>
      </c>
      <c r="N191" s="14">
        <v>0</v>
      </c>
      <c r="O191" s="14">
        <v>4122.18</v>
      </c>
      <c r="P191" s="14">
        <v>141</v>
      </c>
      <c r="Q191" s="14">
        <f t="shared" si="2"/>
        <v>27023.18</v>
      </c>
      <c r="R191" s="14">
        <v>27164.18</v>
      </c>
      <c r="S191" s="14" t="s">
        <v>54</v>
      </c>
      <c r="T191" s="14" t="s">
        <v>34</v>
      </c>
      <c r="U191" s="14" t="s">
        <v>95</v>
      </c>
      <c r="V191" s="14" t="s">
        <v>96</v>
      </c>
      <c r="W191" s="14" t="s">
        <v>57</v>
      </c>
      <c r="X191" s="14">
        <v>4</v>
      </c>
      <c r="Y191" s="14" t="s">
        <v>47</v>
      </c>
      <c r="Z191" s="14">
        <v>3</v>
      </c>
      <c r="AA191" s="14" t="s">
        <v>39</v>
      </c>
    </row>
    <row r="192" spans="1:27" x14ac:dyDescent="0.35">
      <c r="A192" s="14" t="s">
        <v>447</v>
      </c>
      <c r="B192" s="15">
        <v>45994</v>
      </c>
      <c r="C192" s="14" t="s">
        <v>448</v>
      </c>
      <c r="D192" s="14" t="s">
        <v>61</v>
      </c>
      <c r="E192" s="14" t="s">
        <v>29</v>
      </c>
      <c r="F192" s="14">
        <v>58</v>
      </c>
      <c r="G192" s="14" t="s">
        <v>44</v>
      </c>
      <c r="H192" s="14" t="s">
        <v>31</v>
      </c>
      <c r="I192" s="14" t="s">
        <v>44</v>
      </c>
      <c r="J192" s="14" t="s">
        <v>53</v>
      </c>
      <c r="K192" s="14">
        <v>2</v>
      </c>
      <c r="L192" s="14">
        <v>15512</v>
      </c>
      <c r="M192" s="14">
        <v>20</v>
      </c>
      <c r="N192" s="14">
        <v>6204.8</v>
      </c>
      <c r="O192" s="14">
        <v>4467.46</v>
      </c>
      <c r="P192" s="14">
        <v>484</v>
      </c>
      <c r="Q192" s="14">
        <f t="shared" si="2"/>
        <v>29286.66</v>
      </c>
      <c r="R192" s="14">
        <v>29770.66</v>
      </c>
      <c r="S192" s="14" t="s">
        <v>83</v>
      </c>
      <c r="T192" s="14" t="s">
        <v>63</v>
      </c>
      <c r="U192" s="14" t="s">
        <v>35</v>
      </c>
      <c r="V192" s="14" t="s">
        <v>36</v>
      </c>
      <c r="W192" s="14" t="s">
        <v>37</v>
      </c>
      <c r="X192" s="14">
        <v>8</v>
      </c>
      <c r="Y192" s="14" t="s">
        <v>47</v>
      </c>
      <c r="Z192" s="14">
        <v>1</v>
      </c>
      <c r="AA192" s="14" t="s">
        <v>47</v>
      </c>
    </row>
    <row r="193" spans="1:27" x14ac:dyDescent="0.35">
      <c r="A193" s="14" t="s">
        <v>449</v>
      </c>
      <c r="B193" s="15">
        <v>45778</v>
      </c>
      <c r="C193" s="14" t="s">
        <v>450</v>
      </c>
      <c r="D193" s="14" t="s">
        <v>28</v>
      </c>
      <c r="E193" s="14" t="s">
        <v>43</v>
      </c>
      <c r="F193" s="14">
        <v>58</v>
      </c>
      <c r="G193" s="14" t="s">
        <v>94</v>
      </c>
      <c r="H193" s="14" t="s">
        <v>31</v>
      </c>
      <c r="I193" s="14" t="s">
        <v>94</v>
      </c>
      <c r="J193" s="14" t="s">
        <v>62</v>
      </c>
      <c r="K193" s="14">
        <v>3</v>
      </c>
      <c r="L193" s="14">
        <v>15329</v>
      </c>
      <c r="M193" s="14">
        <v>15</v>
      </c>
      <c r="N193" s="14">
        <v>6898.05</v>
      </c>
      <c r="O193" s="14">
        <v>7036.01</v>
      </c>
      <c r="P193" s="14">
        <v>288</v>
      </c>
      <c r="Q193" s="14">
        <f t="shared" si="2"/>
        <v>46124.959999999999</v>
      </c>
      <c r="R193" s="14">
        <v>46412.959999999999</v>
      </c>
      <c r="S193" s="14" t="s">
        <v>45</v>
      </c>
      <c r="T193" s="14" t="s">
        <v>63</v>
      </c>
      <c r="U193" s="14" t="s">
        <v>76</v>
      </c>
      <c r="V193" s="14" t="s">
        <v>77</v>
      </c>
      <c r="W193" s="14" t="s">
        <v>57</v>
      </c>
      <c r="X193" s="14">
        <v>4</v>
      </c>
      <c r="Y193" s="14" t="s">
        <v>38</v>
      </c>
      <c r="Z193" s="14">
        <v>5</v>
      </c>
      <c r="AA193" s="14" t="s">
        <v>91</v>
      </c>
    </row>
    <row r="194" spans="1:27" x14ac:dyDescent="0.35">
      <c r="A194" s="14" t="s">
        <v>451</v>
      </c>
      <c r="B194" s="15">
        <v>45814</v>
      </c>
      <c r="C194" s="14" t="s">
        <v>452</v>
      </c>
      <c r="D194" s="14" t="s">
        <v>28</v>
      </c>
      <c r="E194" s="14" t="s">
        <v>43</v>
      </c>
      <c r="F194" s="14">
        <v>57</v>
      </c>
      <c r="G194" s="14" t="s">
        <v>51</v>
      </c>
      <c r="H194" s="14" t="s">
        <v>52</v>
      </c>
      <c r="I194" s="14" t="s">
        <v>51</v>
      </c>
      <c r="J194" s="14" t="s">
        <v>32</v>
      </c>
      <c r="K194" s="14">
        <v>1</v>
      </c>
      <c r="L194" s="14">
        <v>10386</v>
      </c>
      <c r="M194" s="14">
        <v>10</v>
      </c>
      <c r="N194" s="14">
        <v>1038.5999999999999</v>
      </c>
      <c r="O194" s="14">
        <v>1682.53</v>
      </c>
      <c r="P194" s="14">
        <v>35</v>
      </c>
      <c r="Q194" s="14">
        <f t="shared" si="2"/>
        <v>11029.93</v>
      </c>
      <c r="R194" s="14">
        <v>11064.93</v>
      </c>
      <c r="S194" s="14" t="s">
        <v>83</v>
      </c>
      <c r="T194" s="14" t="s">
        <v>63</v>
      </c>
      <c r="U194" s="14" t="s">
        <v>70</v>
      </c>
      <c r="V194" s="14" t="s">
        <v>56</v>
      </c>
      <c r="W194" s="14" t="s">
        <v>57</v>
      </c>
      <c r="X194" s="14">
        <v>10</v>
      </c>
      <c r="Y194" s="14" t="s">
        <v>47</v>
      </c>
      <c r="Z194" s="14">
        <v>4</v>
      </c>
      <c r="AA194" s="14" t="s">
        <v>39</v>
      </c>
    </row>
    <row r="195" spans="1:27" x14ac:dyDescent="0.35">
      <c r="A195" s="14" t="s">
        <v>453</v>
      </c>
      <c r="B195" s="15">
        <v>45802</v>
      </c>
      <c r="C195" s="14" t="s">
        <v>454</v>
      </c>
      <c r="D195" s="14" t="s">
        <v>111</v>
      </c>
      <c r="E195" s="14" t="s">
        <v>43</v>
      </c>
      <c r="F195" s="14">
        <v>24</v>
      </c>
      <c r="G195" s="14" t="s">
        <v>90</v>
      </c>
      <c r="H195" s="14" t="s">
        <v>31</v>
      </c>
      <c r="I195" s="14" t="s">
        <v>90</v>
      </c>
      <c r="J195" s="14" t="s">
        <v>125</v>
      </c>
      <c r="K195" s="14">
        <v>1</v>
      </c>
      <c r="L195" s="14">
        <v>35438</v>
      </c>
      <c r="M195" s="14">
        <v>20</v>
      </c>
      <c r="N195" s="14">
        <v>7087.6</v>
      </c>
      <c r="O195" s="14">
        <v>5103.07</v>
      </c>
      <c r="P195" s="14">
        <v>457</v>
      </c>
      <c r="Q195" s="14">
        <f t="shared" ref="Q195:Q258" si="3">R195-P195</f>
        <v>33453.47</v>
      </c>
      <c r="R195" s="14">
        <v>33910.47</v>
      </c>
      <c r="S195" s="14" t="s">
        <v>33</v>
      </c>
      <c r="T195" s="14" t="s">
        <v>34</v>
      </c>
      <c r="U195" s="14" t="s">
        <v>55</v>
      </c>
      <c r="V195" s="14" t="s">
        <v>56</v>
      </c>
      <c r="W195" s="14" t="s">
        <v>57</v>
      </c>
      <c r="X195" s="14">
        <v>10</v>
      </c>
      <c r="Y195" s="14" t="s">
        <v>38</v>
      </c>
      <c r="Z195" s="14">
        <v>1</v>
      </c>
      <c r="AA195" s="14" t="s">
        <v>47</v>
      </c>
    </row>
    <row r="196" spans="1:27" x14ac:dyDescent="0.35">
      <c r="A196" s="14" t="s">
        <v>455</v>
      </c>
      <c r="B196" s="15">
        <v>46007</v>
      </c>
      <c r="C196" s="14" t="s">
        <v>456</v>
      </c>
      <c r="D196" s="14" t="s">
        <v>28</v>
      </c>
      <c r="E196" s="14" t="s">
        <v>29</v>
      </c>
      <c r="F196" s="14">
        <v>56</v>
      </c>
      <c r="G196" s="14" t="s">
        <v>51</v>
      </c>
      <c r="H196" s="14" t="s">
        <v>52</v>
      </c>
      <c r="I196" s="14" t="s">
        <v>51</v>
      </c>
      <c r="J196" s="14" t="s">
        <v>62</v>
      </c>
      <c r="K196" s="14">
        <v>2</v>
      </c>
      <c r="L196" s="14">
        <v>44534</v>
      </c>
      <c r="M196" s="14">
        <v>15</v>
      </c>
      <c r="N196" s="14">
        <v>13360.2</v>
      </c>
      <c r="O196" s="14">
        <v>13627.4</v>
      </c>
      <c r="P196" s="14">
        <v>3</v>
      </c>
      <c r="Q196" s="14">
        <f t="shared" si="3"/>
        <v>89335.2</v>
      </c>
      <c r="R196" s="14">
        <v>89338.2</v>
      </c>
      <c r="S196" s="14" t="s">
        <v>45</v>
      </c>
      <c r="T196" s="14" t="s">
        <v>34</v>
      </c>
      <c r="U196" s="14" t="s">
        <v>103</v>
      </c>
      <c r="V196" s="14" t="s">
        <v>103</v>
      </c>
      <c r="W196" s="14" t="s">
        <v>57</v>
      </c>
      <c r="X196" s="14">
        <v>5</v>
      </c>
      <c r="Y196" s="14" t="s">
        <v>38</v>
      </c>
      <c r="Z196" s="14">
        <v>2</v>
      </c>
      <c r="AA196" s="14" t="s">
        <v>47</v>
      </c>
    </row>
    <row r="197" spans="1:27" x14ac:dyDescent="0.35">
      <c r="A197" s="14" t="s">
        <v>457</v>
      </c>
      <c r="B197" s="15">
        <v>46005</v>
      </c>
      <c r="C197" s="14" t="s">
        <v>458</v>
      </c>
      <c r="D197" s="14" t="s">
        <v>111</v>
      </c>
      <c r="E197" s="14" t="s">
        <v>29</v>
      </c>
      <c r="F197" s="14">
        <v>50</v>
      </c>
      <c r="G197" s="14" t="s">
        <v>139</v>
      </c>
      <c r="H197" s="14" t="s">
        <v>31</v>
      </c>
      <c r="I197" s="14" t="s">
        <v>139</v>
      </c>
      <c r="J197" s="14" t="s">
        <v>62</v>
      </c>
      <c r="K197" s="14">
        <v>3</v>
      </c>
      <c r="L197" s="14">
        <v>34485</v>
      </c>
      <c r="M197" s="14">
        <v>20</v>
      </c>
      <c r="N197" s="14">
        <v>20691</v>
      </c>
      <c r="O197" s="14">
        <v>14897.52</v>
      </c>
      <c r="P197" s="14">
        <v>283</v>
      </c>
      <c r="Q197" s="14">
        <f t="shared" si="3"/>
        <v>97661.52</v>
      </c>
      <c r="R197" s="14">
        <v>97944.52</v>
      </c>
      <c r="S197" s="14" t="s">
        <v>45</v>
      </c>
      <c r="T197" s="14" t="s">
        <v>63</v>
      </c>
      <c r="U197" s="14" t="s">
        <v>76</v>
      </c>
      <c r="V197" s="14" t="s">
        <v>77</v>
      </c>
      <c r="W197" s="14" t="s">
        <v>57</v>
      </c>
      <c r="X197" s="14">
        <v>6</v>
      </c>
      <c r="Y197" s="14" t="s">
        <v>38</v>
      </c>
      <c r="Z197" s="14">
        <v>5</v>
      </c>
      <c r="AA197" s="14" t="s">
        <v>58</v>
      </c>
    </row>
    <row r="198" spans="1:27" x14ac:dyDescent="0.35">
      <c r="A198" s="14" t="s">
        <v>459</v>
      </c>
      <c r="B198" s="15">
        <v>46099</v>
      </c>
      <c r="C198" s="14" t="s">
        <v>460</v>
      </c>
      <c r="D198" s="14" t="s">
        <v>28</v>
      </c>
      <c r="E198" s="14" t="s">
        <v>29</v>
      </c>
      <c r="F198" s="14">
        <v>29</v>
      </c>
      <c r="G198" s="14" t="s">
        <v>134</v>
      </c>
      <c r="H198" s="14" t="s">
        <v>31</v>
      </c>
      <c r="I198" s="14" t="s">
        <v>134</v>
      </c>
      <c r="J198" s="14" t="s">
        <v>112</v>
      </c>
      <c r="K198" s="14">
        <v>5</v>
      </c>
      <c r="L198" s="14">
        <v>2512</v>
      </c>
      <c r="M198" s="14">
        <v>5</v>
      </c>
      <c r="N198" s="14">
        <v>628</v>
      </c>
      <c r="O198" s="14">
        <v>2147.7600000000002</v>
      </c>
      <c r="P198" s="14">
        <v>234</v>
      </c>
      <c r="Q198" s="14">
        <f t="shared" si="3"/>
        <v>14079.76</v>
      </c>
      <c r="R198" s="14">
        <v>14313.76</v>
      </c>
      <c r="S198" s="14" t="s">
        <v>54</v>
      </c>
      <c r="T198" s="14" t="s">
        <v>34</v>
      </c>
      <c r="U198" s="14" t="s">
        <v>35</v>
      </c>
      <c r="V198" s="14" t="s">
        <v>36</v>
      </c>
      <c r="W198" s="14" t="s">
        <v>37</v>
      </c>
      <c r="X198" s="14">
        <v>5</v>
      </c>
      <c r="Y198" s="14" t="s">
        <v>38</v>
      </c>
      <c r="Z198" s="14">
        <v>2</v>
      </c>
      <c r="AA198" s="14" t="s">
        <v>39</v>
      </c>
    </row>
    <row r="199" spans="1:27" x14ac:dyDescent="0.35">
      <c r="A199" s="14" t="s">
        <v>461</v>
      </c>
      <c r="B199" s="15">
        <v>45809</v>
      </c>
      <c r="C199" s="14" t="s">
        <v>462</v>
      </c>
      <c r="D199" s="14" t="s">
        <v>73</v>
      </c>
      <c r="E199" s="14" t="s">
        <v>43</v>
      </c>
      <c r="F199" s="14">
        <v>33</v>
      </c>
      <c r="G199" s="14" t="s">
        <v>74</v>
      </c>
      <c r="H199" s="14" t="s">
        <v>31</v>
      </c>
      <c r="I199" s="14" t="s">
        <v>74</v>
      </c>
      <c r="J199" s="14" t="s">
        <v>102</v>
      </c>
      <c r="K199" s="14">
        <v>5</v>
      </c>
      <c r="L199" s="14">
        <v>17388</v>
      </c>
      <c r="M199" s="14">
        <v>0</v>
      </c>
      <c r="N199" s="14">
        <v>0</v>
      </c>
      <c r="O199" s="14">
        <v>15649.2</v>
      </c>
      <c r="P199" s="14">
        <v>308</v>
      </c>
      <c r="Q199" s="14">
        <f t="shared" si="3"/>
        <v>102589.2</v>
      </c>
      <c r="R199" s="14">
        <v>102897.2</v>
      </c>
      <c r="S199" s="14" t="s">
        <v>54</v>
      </c>
      <c r="T199" s="14" t="s">
        <v>63</v>
      </c>
      <c r="U199" s="14" t="s">
        <v>84</v>
      </c>
      <c r="V199" s="14" t="s">
        <v>85</v>
      </c>
      <c r="W199" s="14" t="s">
        <v>86</v>
      </c>
      <c r="X199" s="14">
        <v>7</v>
      </c>
      <c r="Y199" s="14" t="s">
        <v>47</v>
      </c>
      <c r="Z199" s="14">
        <v>5</v>
      </c>
      <c r="AA199" s="14" t="s">
        <v>39</v>
      </c>
    </row>
    <row r="200" spans="1:27" x14ac:dyDescent="0.35">
      <c r="A200" s="14" t="s">
        <v>463</v>
      </c>
      <c r="B200" s="15">
        <v>45948</v>
      </c>
      <c r="C200" s="14" t="s">
        <v>420</v>
      </c>
      <c r="D200" s="14" t="s">
        <v>50</v>
      </c>
      <c r="E200" s="14" t="s">
        <v>43</v>
      </c>
      <c r="F200" s="14">
        <v>57</v>
      </c>
      <c r="G200" s="14" t="s">
        <v>139</v>
      </c>
      <c r="H200" s="14" t="s">
        <v>31</v>
      </c>
      <c r="I200" s="14" t="s">
        <v>139</v>
      </c>
      <c r="J200" s="14" t="s">
        <v>53</v>
      </c>
      <c r="K200" s="14">
        <v>2</v>
      </c>
      <c r="L200" s="14">
        <v>2519</v>
      </c>
      <c r="M200" s="14">
        <v>0</v>
      </c>
      <c r="N200" s="14">
        <v>0</v>
      </c>
      <c r="O200" s="14">
        <v>906.84</v>
      </c>
      <c r="P200" s="14">
        <v>204</v>
      </c>
      <c r="Q200" s="14">
        <f t="shared" si="3"/>
        <v>5944.84</v>
      </c>
      <c r="R200" s="14">
        <v>6148.84</v>
      </c>
      <c r="S200" s="14" t="s">
        <v>83</v>
      </c>
      <c r="T200" s="14" t="s">
        <v>34</v>
      </c>
      <c r="U200" s="14" t="s">
        <v>84</v>
      </c>
      <c r="V200" s="14" t="s">
        <v>85</v>
      </c>
      <c r="W200" s="14" t="s">
        <v>86</v>
      </c>
      <c r="X200" s="14">
        <v>8</v>
      </c>
      <c r="Y200" s="14" t="s">
        <v>38</v>
      </c>
      <c r="Z200" s="14">
        <v>3</v>
      </c>
      <c r="AA200" s="14" t="s">
        <v>91</v>
      </c>
    </row>
    <row r="201" spans="1:27" x14ac:dyDescent="0.35">
      <c r="A201" s="14" t="s">
        <v>464</v>
      </c>
      <c r="B201" s="15">
        <v>45873</v>
      </c>
      <c r="C201" s="14" t="s">
        <v>465</v>
      </c>
      <c r="D201" s="14" t="s">
        <v>28</v>
      </c>
      <c r="E201" s="14" t="s">
        <v>43</v>
      </c>
      <c r="F201" s="14">
        <v>51</v>
      </c>
      <c r="G201" s="14" t="s">
        <v>30</v>
      </c>
      <c r="H201" s="14" t="s">
        <v>31</v>
      </c>
      <c r="I201" s="14" t="s">
        <v>30</v>
      </c>
      <c r="J201" s="14" t="s">
        <v>202</v>
      </c>
      <c r="K201" s="14">
        <v>3</v>
      </c>
      <c r="L201" s="14">
        <v>16183</v>
      </c>
      <c r="M201" s="14">
        <v>10</v>
      </c>
      <c r="N201" s="14">
        <v>4854.8999999999996</v>
      </c>
      <c r="O201" s="14">
        <v>7864.94</v>
      </c>
      <c r="P201" s="14">
        <v>2</v>
      </c>
      <c r="Q201" s="14">
        <f t="shared" si="3"/>
        <v>51559.040000000001</v>
      </c>
      <c r="R201" s="14">
        <v>51561.04</v>
      </c>
      <c r="S201" s="14" t="s">
        <v>33</v>
      </c>
      <c r="T201" s="14" t="s">
        <v>63</v>
      </c>
      <c r="U201" s="14" t="s">
        <v>35</v>
      </c>
      <c r="V201" s="14" t="s">
        <v>36</v>
      </c>
      <c r="W201" s="14" t="s">
        <v>37</v>
      </c>
      <c r="X201" s="14">
        <v>6</v>
      </c>
      <c r="Y201" s="14" t="s">
        <v>47</v>
      </c>
      <c r="Z201" s="14">
        <v>2</v>
      </c>
      <c r="AA201" s="14" t="s">
        <v>47</v>
      </c>
    </row>
    <row r="202" spans="1:27" x14ac:dyDescent="0.35">
      <c r="A202" s="14" t="s">
        <v>466</v>
      </c>
      <c r="B202" s="15">
        <v>45862</v>
      </c>
      <c r="C202" s="14" t="s">
        <v>450</v>
      </c>
      <c r="D202" s="14" t="s">
        <v>42</v>
      </c>
      <c r="E202" s="14" t="s">
        <v>29</v>
      </c>
      <c r="F202" s="14">
        <v>18</v>
      </c>
      <c r="G202" s="14" t="s">
        <v>139</v>
      </c>
      <c r="H202" s="14" t="s">
        <v>31</v>
      </c>
      <c r="I202" s="14" t="s">
        <v>139</v>
      </c>
      <c r="J202" s="14" t="s">
        <v>53</v>
      </c>
      <c r="K202" s="14">
        <v>1</v>
      </c>
      <c r="L202" s="14">
        <v>10602</v>
      </c>
      <c r="M202" s="14">
        <v>5</v>
      </c>
      <c r="N202" s="14">
        <v>530.1</v>
      </c>
      <c r="O202" s="14">
        <v>1812.94</v>
      </c>
      <c r="P202" s="14">
        <v>367</v>
      </c>
      <c r="Q202" s="14">
        <f t="shared" si="3"/>
        <v>11884.84</v>
      </c>
      <c r="R202" s="14">
        <v>12251.84</v>
      </c>
      <c r="S202" s="14" t="s">
        <v>33</v>
      </c>
      <c r="T202" s="14" t="s">
        <v>34</v>
      </c>
      <c r="U202" s="14" t="s">
        <v>95</v>
      </c>
      <c r="V202" s="14" t="s">
        <v>96</v>
      </c>
      <c r="W202" s="14" t="s">
        <v>57</v>
      </c>
      <c r="X202" s="14">
        <v>2</v>
      </c>
      <c r="Y202" s="14" t="s">
        <v>38</v>
      </c>
      <c r="Z202" s="14">
        <v>1</v>
      </c>
      <c r="AA202" s="14" t="s">
        <v>58</v>
      </c>
    </row>
    <row r="203" spans="1:27" x14ac:dyDescent="0.35">
      <c r="A203" s="14" t="s">
        <v>467</v>
      </c>
      <c r="B203" s="15">
        <v>45911</v>
      </c>
      <c r="C203" s="14" t="s">
        <v>468</v>
      </c>
      <c r="D203" s="14" t="s">
        <v>66</v>
      </c>
      <c r="E203" s="14" t="s">
        <v>29</v>
      </c>
      <c r="F203" s="14">
        <v>21</v>
      </c>
      <c r="G203" s="14" t="s">
        <v>139</v>
      </c>
      <c r="H203" s="14" t="s">
        <v>31</v>
      </c>
      <c r="I203" s="14" t="s">
        <v>139</v>
      </c>
      <c r="J203" s="14" t="s">
        <v>125</v>
      </c>
      <c r="K203" s="14">
        <v>4</v>
      </c>
      <c r="L203" s="14">
        <v>7961</v>
      </c>
      <c r="M203" s="14">
        <v>10</v>
      </c>
      <c r="N203" s="14">
        <v>3184.4</v>
      </c>
      <c r="O203" s="14">
        <v>5158.7299999999996</v>
      </c>
      <c r="P203" s="14">
        <v>317</v>
      </c>
      <c r="Q203" s="14">
        <f t="shared" si="3"/>
        <v>33818.33</v>
      </c>
      <c r="R203" s="14">
        <v>34135.33</v>
      </c>
      <c r="S203" s="14" t="s">
        <v>33</v>
      </c>
      <c r="T203" s="14" t="s">
        <v>34</v>
      </c>
      <c r="U203" s="14" t="s">
        <v>46</v>
      </c>
      <c r="V203" s="14" t="s">
        <v>36</v>
      </c>
      <c r="W203" s="14" t="s">
        <v>37</v>
      </c>
      <c r="X203" s="14">
        <v>4</v>
      </c>
      <c r="Y203" s="14" t="s">
        <v>47</v>
      </c>
      <c r="Z203" s="14">
        <v>5</v>
      </c>
      <c r="AA203" s="14" t="s">
        <v>91</v>
      </c>
    </row>
    <row r="204" spans="1:27" x14ac:dyDescent="0.35">
      <c r="A204" s="14" t="s">
        <v>469</v>
      </c>
      <c r="B204" s="15">
        <v>46072</v>
      </c>
      <c r="C204" s="14" t="s">
        <v>470</v>
      </c>
      <c r="D204" s="14" t="s">
        <v>66</v>
      </c>
      <c r="E204" s="14" t="s">
        <v>29</v>
      </c>
      <c r="F204" s="14">
        <v>19</v>
      </c>
      <c r="G204" s="14" t="s">
        <v>51</v>
      </c>
      <c r="H204" s="14" t="s">
        <v>52</v>
      </c>
      <c r="I204" s="14" t="s">
        <v>51</v>
      </c>
      <c r="J204" s="14" t="s">
        <v>32</v>
      </c>
      <c r="K204" s="14">
        <v>1</v>
      </c>
      <c r="L204" s="14">
        <v>12794</v>
      </c>
      <c r="M204" s="14">
        <v>0</v>
      </c>
      <c r="N204" s="14">
        <v>0</v>
      </c>
      <c r="O204" s="14">
        <v>2302.92</v>
      </c>
      <c r="P204" s="14">
        <v>244</v>
      </c>
      <c r="Q204" s="14">
        <f t="shared" si="3"/>
        <v>15096.92</v>
      </c>
      <c r="R204" s="14">
        <v>15340.92</v>
      </c>
      <c r="S204" s="14" t="s">
        <v>33</v>
      </c>
      <c r="T204" s="14" t="s">
        <v>63</v>
      </c>
      <c r="U204" s="14" t="s">
        <v>35</v>
      </c>
      <c r="V204" s="14" t="s">
        <v>36</v>
      </c>
      <c r="W204" s="14" t="s">
        <v>37</v>
      </c>
      <c r="X204" s="14">
        <v>6</v>
      </c>
      <c r="Y204" s="14" t="s">
        <v>38</v>
      </c>
      <c r="Z204" s="14">
        <v>3</v>
      </c>
      <c r="AA204" s="14" t="s">
        <v>91</v>
      </c>
    </row>
    <row r="205" spans="1:27" x14ac:dyDescent="0.35">
      <c r="A205" s="14" t="s">
        <v>471</v>
      </c>
      <c r="B205" s="15">
        <v>45806</v>
      </c>
      <c r="C205" s="14" t="s">
        <v>472</v>
      </c>
      <c r="D205" s="14" t="s">
        <v>111</v>
      </c>
      <c r="E205" s="14" t="s">
        <v>29</v>
      </c>
      <c r="F205" s="14">
        <v>35</v>
      </c>
      <c r="G205" s="14" t="s">
        <v>90</v>
      </c>
      <c r="H205" s="14" t="s">
        <v>31</v>
      </c>
      <c r="I205" s="14" t="s">
        <v>90</v>
      </c>
      <c r="J205" s="14" t="s">
        <v>125</v>
      </c>
      <c r="K205" s="14">
        <v>4</v>
      </c>
      <c r="L205" s="14">
        <v>22668</v>
      </c>
      <c r="M205" s="14">
        <v>5</v>
      </c>
      <c r="N205" s="14">
        <v>4533.6000000000004</v>
      </c>
      <c r="O205" s="14">
        <v>15504.91</v>
      </c>
      <c r="P205" s="14">
        <v>15</v>
      </c>
      <c r="Q205" s="14">
        <f t="shared" si="3"/>
        <v>101643.31</v>
      </c>
      <c r="R205" s="14">
        <v>101658.31</v>
      </c>
      <c r="S205" s="14" t="s">
        <v>83</v>
      </c>
      <c r="T205" s="14" t="s">
        <v>63</v>
      </c>
      <c r="U205" s="14" t="s">
        <v>103</v>
      </c>
      <c r="V205" s="14" t="s">
        <v>103</v>
      </c>
      <c r="W205" s="14" t="s">
        <v>57</v>
      </c>
      <c r="X205" s="14">
        <v>8</v>
      </c>
      <c r="Y205" s="14" t="s">
        <v>38</v>
      </c>
      <c r="Z205" s="14">
        <v>5</v>
      </c>
      <c r="AA205" s="14" t="s">
        <v>47</v>
      </c>
    </row>
    <row r="206" spans="1:27" x14ac:dyDescent="0.35">
      <c r="A206" s="14" t="s">
        <v>473</v>
      </c>
      <c r="B206" s="15">
        <v>46031</v>
      </c>
      <c r="C206" s="14" t="s">
        <v>474</v>
      </c>
      <c r="D206" s="14" t="s">
        <v>61</v>
      </c>
      <c r="E206" s="14" t="s">
        <v>29</v>
      </c>
      <c r="F206" s="14">
        <v>41</v>
      </c>
      <c r="G206" s="14" t="s">
        <v>30</v>
      </c>
      <c r="H206" s="14" t="s">
        <v>31</v>
      </c>
      <c r="I206" s="14" t="s">
        <v>30</v>
      </c>
      <c r="J206" s="14" t="s">
        <v>112</v>
      </c>
      <c r="K206" s="14">
        <v>3</v>
      </c>
      <c r="L206" s="14">
        <v>5734</v>
      </c>
      <c r="M206" s="14">
        <v>20</v>
      </c>
      <c r="N206" s="14">
        <v>3440.4</v>
      </c>
      <c r="O206" s="14">
        <v>2477.09</v>
      </c>
      <c r="P206" s="14">
        <v>0</v>
      </c>
      <c r="Q206" s="14">
        <f t="shared" si="3"/>
        <v>16238.69</v>
      </c>
      <c r="R206" s="14">
        <v>16238.69</v>
      </c>
      <c r="S206" s="14" t="s">
        <v>83</v>
      </c>
      <c r="T206" s="14" t="s">
        <v>63</v>
      </c>
      <c r="U206" s="14" t="s">
        <v>70</v>
      </c>
      <c r="V206" s="14" t="s">
        <v>56</v>
      </c>
      <c r="W206" s="14" t="s">
        <v>57</v>
      </c>
      <c r="X206" s="14">
        <v>5</v>
      </c>
      <c r="Y206" s="14" t="s">
        <v>47</v>
      </c>
      <c r="Z206" s="14">
        <v>3</v>
      </c>
      <c r="AA206" s="14" t="s">
        <v>58</v>
      </c>
    </row>
    <row r="207" spans="1:27" x14ac:dyDescent="0.35">
      <c r="A207" s="14" t="s">
        <v>475</v>
      </c>
      <c r="B207" s="15">
        <v>45926</v>
      </c>
      <c r="C207" s="14" t="s">
        <v>476</v>
      </c>
      <c r="D207" s="14" t="s">
        <v>50</v>
      </c>
      <c r="E207" s="14" t="s">
        <v>29</v>
      </c>
      <c r="F207" s="14">
        <v>59</v>
      </c>
      <c r="G207" s="14" t="s">
        <v>139</v>
      </c>
      <c r="H207" s="14" t="s">
        <v>31</v>
      </c>
      <c r="I207" s="14" t="s">
        <v>139</v>
      </c>
      <c r="J207" s="14" t="s">
        <v>102</v>
      </c>
      <c r="K207" s="14">
        <v>4</v>
      </c>
      <c r="L207" s="14">
        <v>30869</v>
      </c>
      <c r="M207" s="14">
        <v>0</v>
      </c>
      <c r="N207" s="14">
        <v>0</v>
      </c>
      <c r="O207" s="14">
        <v>22225.68</v>
      </c>
      <c r="P207" s="14">
        <v>282</v>
      </c>
      <c r="Q207" s="14">
        <f t="shared" si="3"/>
        <v>145701.68</v>
      </c>
      <c r="R207" s="14">
        <v>145983.67999999999</v>
      </c>
      <c r="S207" s="14" t="s">
        <v>83</v>
      </c>
      <c r="T207" s="14" t="s">
        <v>34</v>
      </c>
      <c r="U207" s="14" t="s">
        <v>84</v>
      </c>
      <c r="V207" s="14" t="s">
        <v>85</v>
      </c>
      <c r="W207" s="14" t="s">
        <v>86</v>
      </c>
      <c r="X207" s="14">
        <v>7</v>
      </c>
      <c r="Y207" s="14" t="s">
        <v>38</v>
      </c>
      <c r="Z207" s="14">
        <v>4</v>
      </c>
      <c r="AA207" s="14" t="s">
        <v>91</v>
      </c>
    </row>
    <row r="208" spans="1:27" x14ac:dyDescent="0.35">
      <c r="A208" s="14" t="s">
        <v>477</v>
      </c>
      <c r="B208" s="15">
        <v>45797</v>
      </c>
      <c r="C208" s="14" t="s">
        <v>478</v>
      </c>
      <c r="D208" s="14" t="s">
        <v>66</v>
      </c>
      <c r="E208" s="14" t="s">
        <v>29</v>
      </c>
      <c r="F208" s="14">
        <v>49</v>
      </c>
      <c r="G208" s="14" t="s">
        <v>67</v>
      </c>
      <c r="H208" s="14" t="s">
        <v>68</v>
      </c>
      <c r="I208" s="14" t="s">
        <v>67</v>
      </c>
      <c r="J208" s="14" t="s">
        <v>32</v>
      </c>
      <c r="K208" s="14">
        <v>1</v>
      </c>
      <c r="L208" s="14">
        <v>7798</v>
      </c>
      <c r="M208" s="14">
        <v>10</v>
      </c>
      <c r="N208" s="14">
        <v>779.8</v>
      </c>
      <c r="O208" s="14">
        <v>1263.28</v>
      </c>
      <c r="P208" s="14">
        <v>371</v>
      </c>
      <c r="Q208" s="14">
        <f t="shared" si="3"/>
        <v>8281.48</v>
      </c>
      <c r="R208" s="14">
        <v>8652.48</v>
      </c>
      <c r="S208" s="14" t="s">
        <v>83</v>
      </c>
      <c r="T208" s="14" t="s">
        <v>63</v>
      </c>
      <c r="U208" s="14" t="s">
        <v>70</v>
      </c>
      <c r="V208" s="14" t="s">
        <v>56</v>
      </c>
      <c r="W208" s="14" t="s">
        <v>57</v>
      </c>
      <c r="X208" s="14">
        <v>6</v>
      </c>
      <c r="Y208" s="14" t="s">
        <v>38</v>
      </c>
      <c r="Z208" s="14">
        <v>3</v>
      </c>
      <c r="AA208" s="14" t="s">
        <v>58</v>
      </c>
    </row>
    <row r="209" spans="1:27" x14ac:dyDescent="0.35">
      <c r="A209" s="14" t="s">
        <v>479</v>
      </c>
      <c r="B209" s="15">
        <v>45912</v>
      </c>
      <c r="C209" s="14" t="s">
        <v>480</v>
      </c>
      <c r="D209" s="14" t="s">
        <v>80</v>
      </c>
      <c r="E209" s="14" t="s">
        <v>43</v>
      </c>
      <c r="F209" s="14">
        <v>49</v>
      </c>
      <c r="G209" s="14" t="s">
        <v>139</v>
      </c>
      <c r="H209" s="14" t="s">
        <v>31</v>
      </c>
      <c r="I209" s="14" t="s">
        <v>139</v>
      </c>
      <c r="J209" s="14" t="s">
        <v>102</v>
      </c>
      <c r="K209" s="14">
        <v>2</v>
      </c>
      <c r="L209" s="14">
        <v>41986</v>
      </c>
      <c r="M209" s="14">
        <v>5</v>
      </c>
      <c r="N209" s="14">
        <v>4198.6000000000004</v>
      </c>
      <c r="O209" s="14">
        <v>14359.21</v>
      </c>
      <c r="P209" s="14">
        <v>169</v>
      </c>
      <c r="Q209" s="14">
        <f t="shared" si="3"/>
        <v>94132.61</v>
      </c>
      <c r="R209" s="14">
        <v>94301.61</v>
      </c>
      <c r="S209" s="14" t="s">
        <v>83</v>
      </c>
      <c r="T209" s="14" t="s">
        <v>63</v>
      </c>
      <c r="U209" s="14" t="s">
        <v>70</v>
      </c>
      <c r="V209" s="14" t="s">
        <v>56</v>
      </c>
      <c r="W209" s="14" t="s">
        <v>57</v>
      </c>
      <c r="X209" s="14">
        <v>6</v>
      </c>
      <c r="Y209" s="14" t="s">
        <v>47</v>
      </c>
      <c r="Z209" s="14">
        <v>5</v>
      </c>
      <c r="AA209" s="14" t="s">
        <v>91</v>
      </c>
    </row>
    <row r="210" spans="1:27" x14ac:dyDescent="0.35">
      <c r="A210" s="14" t="s">
        <v>481</v>
      </c>
      <c r="B210" s="15">
        <v>46020</v>
      </c>
      <c r="C210" s="14" t="s">
        <v>482</v>
      </c>
      <c r="D210" s="14" t="s">
        <v>66</v>
      </c>
      <c r="E210" s="14" t="s">
        <v>29</v>
      </c>
      <c r="F210" s="14">
        <v>26</v>
      </c>
      <c r="G210" s="14" t="s">
        <v>134</v>
      </c>
      <c r="H210" s="14" t="s">
        <v>31</v>
      </c>
      <c r="I210" s="14" t="s">
        <v>134</v>
      </c>
      <c r="J210" s="14" t="s">
        <v>125</v>
      </c>
      <c r="K210" s="14">
        <v>1</v>
      </c>
      <c r="L210" s="14">
        <v>31155</v>
      </c>
      <c r="M210" s="14">
        <v>5</v>
      </c>
      <c r="N210" s="14">
        <v>1557.75</v>
      </c>
      <c r="O210" s="14">
        <v>5327.51</v>
      </c>
      <c r="P210" s="14">
        <v>11</v>
      </c>
      <c r="Q210" s="14">
        <f t="shared" si="3"/>
        <v>34924.75</v>
      </c>
      <c r="R210" s="14">
        <v>34935.75</v>
      </c>
      <c r="S210" s="14" t="s">
        <v>54</v>
      </c>
      <c r="T210" s="14" t="s">
        <v>34</v>
      </c>
      <c r="U210" s="14" t="s">
        <v>95</v>
      </c>
      <c r="V210" s="14" t="s">
        <v>96</v>
      </c>
      <c r="W210" s="14" t="s">
        <v>57</v>
      </c>
      <c r="X210" s="14">
        <v>1</v>
      </c>
      <c r="Y210" s="14" t="s">
        <v>47</v>
      </c>
      <c r="Z210" s="14">
        <v>5</v>
      </c>
      <c r="AA210" s="14" t="s">
        <v>39</v>
      </c>
    </row>
    <row r="211" spans="1:27" x14ac:dyDescent="0.35">
      <c r="A211" s="14" t="s">
        <v>483</v>
      </c>
      <c r="B211" s="15">
        <v>45836</v>
      </c>
      <c r="C211" s="14" t="s">
        <v>250</v>
      </c>
      <c r="D211" s="14" t="s">
        <v>66</v>
      </c>
      <c r="E211" s="14" t="s">
        <v>43</v>
      </c>
      <c r="F211" s="14">
        <v>53</v>
      </c>
      <c r="G211" s="14" t="s">
        <v>90</v>
      </c>
      <c r="H211" s="14" t="s">
        <v>31</v>
      </c>
      <c r="I211" s="14" t="s">
        <v>90</v>
      </c>
      <c r="J211" s="14" t="s">
        <v>150</v>
      </c>
      <c r="K211" s="14">
        <v>4</v>
      </c>
      <c r="L211" s="14">
        <v>41074</v>
      </c>
      <c r="M211" s="14">
        <v>20</v>
      </c>
      <c r="N211" s="14">
        <v>32859.199999999997</v>
      </c>
      <c r="O211" s="14">
        <v>23658.62</v>
      </c>
      <c r="P211" s="14">
        <v>115</v>
      </c>
      <c r="Q211" s="14">
        <f t="shared" si="3"/>
        <v>155095.42000000001</v>
      </c>
      <c r="R211" s="14">
        <v>155210.42000000001</v>
      </c>
      <c r="S211" s="14" t="s">
        <v>45</v>
      </c>
      <c r="T211" s="14" t="s">
        <v>34</v>
      </c>
      <c r="U211" s="14" t="s">
        <v>103</v>
      </c>
      <c r="V211" s="14" t="s">
        <v>103</v>
      </c>
      <c r="W211" s="14" t="s">
        <v>57</v>
      </c>
      <c r="X211" s="14">
        <v>1</v>
      </c>
      <c r="Y211" s="14" t="s">
        <v>38</v>
      </c>
      <c r="Z211" s="14">
        <v>1</v>
      </c>
      <c r="AA211" s="14" t="s">
        <v>47</v>
      </c>
    </row>
    <row r="212" spans="1:27" x14ac:dyDescent="0.35">
      <c r="A212" s="14" t="s">
        <v>484</v>
      </c>
      <c r="B212" s="15">
        <v>46013</v>
      </c>
      <c r="C212" s="14" t="s">
        <v>485</v>
      </c>
      <c r="D212" s="14" t="s">
        <v>73</v>
      </c>
      <c r="E212" s="14" t="s">
        <v>29</v>
      </c>
      <c r="F212" s="14">
        <v>50</v>
      </c>
      <c r="G212" s="14" t="s">
        <v>90</v>
      </c>
      <c r="H212" s="14" t="s">
        <v>31</v>
      </c>
      <c r="I212" s="14" t="s">
        <v>90</v>
      </c>
      <c r="J212" s="14" t="s">
        <v>150</v>
      </c>
      <c r="K212" s="14">
        <v>1</v>
      </c>
      <c r="L212" s="14">
        <v>47164</v>
      </c>
      <c r="M212" s="14">
        <v>20</v>
      </c>
      <c r="N212" s="14">
        <v>9432.7999999999993</v>
      </c>
      <c r="O212" s="14">
        <v>6791.62</v>
      </c>
      <c r="P212" s="14">
        <v>27</v>
      </c>
      <c r="Q212" s="14">
        <f t="shared" si="3"/>
        <v>44522.82</v>
      </c>
      <c r="R212" s="14">
        <v>44549.82</v>
      </c>
      <c r="S212" s="14" t="s">
        <v>33</v>
      </c>
      <c r="T212" s="14" t="s">
        <v>63</v>
      </c>
      <c r="U212" s="14" t="s">
        <v>35</v>
      </c>
      <c r="V212" s="14" t="s">
        <v>36</v>
      </c>
      <c r="W212" s="14" t="s">
        <v>37</v>
      </c>
      <c r="X212" s="14">
        <v>3</v>
      </c>
      <c r="Y212" s="14" t="s">
        <v>47</v>
      </c>
      <c r="Z212" s="14">
        <v>3</v>
      </c>
      <c r="AA212" s="14" t="s">
        <v>91</v>
      </c>
    </row>
    <row r="213" spans="1:27" x14ac:dyDescent="0.35">
      <c r="A213" s="14" t="s">
        <v>486</v>
      </c>
      <c r="B213" s="15">
        <v>46001</v>
      </c>
      <c r="C213" s="14" t="s">
        <v>487</v>
      </c>
      <c r="D213" s="14" t="s">
        <v>73</v>
      </c>
      <c r="E213" s="14" t="s">
        <v>29</v>
      </c>
      <c r="F213" s="14">
        <v>35</v>
      </c>
      <c r="G213" s="14" t="s">
        <v>51</v>
      </c>
      <c r="H213" s="14" t="s">
        <v>52</v>
      </c>
      <c r="I213" s="14" t="s">
        <v>51</v>
      </c>
      <c r="J213" s="14" t="s">
        <v>75</v>
      </c>
      <c r="K213" s="14">
        <v>4</v>
      </c>
      <c r="L213" s="14">
        <v>12596</v>
      </c>
      <c r="M213" s="14">
        <v>15</v>
      </c>
      <c r="N213" s="14">
        <v>7557.6</v>
      </c>
      <c r="O213" s="14">
        <v>7708.75</v>
      </c>
      <c r="P213" s="14">
        <v>445</v>
      </c>
      <c r="Q213" s="14">
        <f t="shared" si="3"/>
        <v>50535.15</v>
      </c>
      <c r="R213" s="14">
        <v>50980.15</v>
      </c>
      <c r="S213" s="14" t="s">
        <v>45</v>
      </c>
      <c r="T213" s="14" t="s">
        <v>34</v>
      </c>
      <c r="U213" s="14" t="s">
        <v>55</v>
      </c>
      <c r="V213" s="14" t="s">
        <v>56</v>
      </c>
      <c r="W213" s="14" t="s">
        <v>57</v>
      </c>
      <c r="X213" s="14">
        <v>8</v>
      </c>
      <c r="Y213" s="14" t="s">
        <v>38</v>
      </c>
      <c r="Z213" s="14">
        <v>3</v>
      </c>
      <c r="AA213" s="14" t="s">
        <v>58</v>
      </c>
    </row>
    <row r="214" spans="1:27" x14ac:dyDescent="0.35">
      <c r="A214" s="14" t="s">
        <v>488</v>
      </c>
      <c r="B214" s="15">
        <v>46086</v>
      </c>
      <c r="C214" s="14" t="s">
        <v>489</v>
      </c>
      <c r="D214" s="14" t="s">
        <v>42</v>
      </c>
      <c r="E214" s="14" t="s">
        <v>43</v>
      </c>
      <c r="F214" s="14">
        <v>35</v>
      </c>
      <c r="G214" s="14" t="s">
        <v>134</v>
      </c>
      <c r="H214" s="14" t="s">
        <v>31</v>
      </c>
      <c r="I214" s="14" t="s">
        <v>134</v>
      </c>
      <c r="J214" s="14" t="s">
        <v>62</v>
      </c>
      <c r="K214" s="14">
        <v>3</v>
      </c>
      <c r="L214" s="14">
        <v>17489</v>
      </c>
      <c r="M214" s="14">
        <v>20</v>
      </c>
      <c r="N214" s="14">
        <v>10493.4</v>
      </c>
      <c r="O214" s="14">
        <v>7555.25</v>
      </c>
      <c r="P214" s="14">
        <v>241</v>
      </c>
      <c r="Q214" s="14">
        <f t="shared" si="3"/>
        <v>49528.85</v>
      </c>
      <c r="R214" s="14">
        <v>49769.85</v>
      </c>
      <c r="S214" s="14" t="s">
        <v>83</v>
      </c>
      <c r="T214" s="14" t="s">
        <v>34</v>
      </c>
      <c r="U214" s="14" t="s">
        <v>84</v>
      </c>
      <c r="V214" s="14" t="s">
        <v>85</v>
      </c>
      <c r="W214" s="14" t="s">
        <v>86</v>
      </c>
      <c r="X214" s="14">
        <v>8</v>
      </c>
      <c r="Y214" s="14" t="s">
        <v>47</v>
      </c>
      <c r="Z214" s="14">
        <v>4</v>
      </c>
      <c r="AA214" s="14" t="s">
        <v>91</v>
      </c>
    </row>
    <row r="215" spans="1:27" x14ac:dyDescent="0.35">
      <c r="A215" s="14" t="s">
        <v>490</v>
      </c>
      <c r="B215" s="15">
        <v>46056</v>
      </c>
      <c r="C215" s="14" t="s">
        <v>424</v>
      </c>
      <c r="D215" s="14" t="s">
        <v>50</v>
      </c>
      <c r="E215" s="14" t="s">
        <v>43</v>
      </c>
      <c r="F215" s="14">
        <v>54</v>
      </c>
      <c r="G215" s="14" t="s">
        <v>44</v>
      </c>
      <c r="H215" s="14" t="s">
        <v>31</v>
      </c>
      <c r="I215" s="14" t="s">
        <v>44</v>
      </c>
      <c r="J215" s="14" t="s">
        <v>125</v>
      </c>
      <c r="K215" s="14">
        <v>2</v>
      </c>
      <c r="L215" s="14">
        <v>8534</v>
      </c>
      <c r="M215" s="14">
        <v>0</v>
      </c>
      <c r="N215" s="14">
        <v>0</v>
      </c>
      <c r="O215" s="14">
        <v>3072.24</v>
      </c>
      <c r="P215" s="14">
        <v>230</v>
      </c>
      <c r="Q215" s="14">
        <f t="shared" si="3"/>
        <v>20140.240000000002</v>
      </c>
      <c r="R215" s="14">
        <v>20370.240000000002</v>
      </c>
      <c r="S215" s="14" t="s">
        <v>33</v>
      </c>
      <c r="T215" s="14" t="s">
        <v>63</v>
      </c>
      <c r="U215" s="14" t="s">
        <v>35</v>
      </c>
      <c r="V215" s="14" t="s">
        <v>36</v>
      </c>
      <c r="W215" s="14" t="s">
        <v>37</v>
      </c>
      <c r="X215" s="14">
        <v>6</v>
      </c>
      <c r="Y215" s="14" t="s">
        <v>38</v>
      </c>
      <c r="Z215" s="14">
        <v>3</v>
      </c>
      <c r="AA215" s="14" t="s">
        <v>58</v>
      </c>
    </row>
    <row r="216" spans="1:27" x14ac:dyDescent="0.35">
      <c r="A216" s="14" t="s">
        <v>491</v>
      </c>
      <c r="B216" s="15">
        <v>46006</v>
      </c>
      <c r="C216" s="14" t="s">
        <v>492</v>
      </c>
      <c r="D216" s="14" t="s">
        <v>108</v>
      </c>
      <c r="E216" s="14" t="s">
        <v>29</v>
      </c>
      <c r="F216" s="14">
        <v>48</v>
      </c>
      <c r="G216" s="14" t="s">
        <v>99</v>
      </c>
      <c r="H216" s="14" t="s">
        <v>52</v>
      </c>
      <c r="I216" s="14" t="s">
        <v>99</v>
      </c>
      <c r="J216" s="14" t="s">
        <v>125</v>
      </c>
      <c r="K216" s="14">
        <v>4</v>
      </c>
      <c r="L216" s="14">
        <v>22679</v>
      </c>
      <c r="M216" s="14">
        <v>0</v>
      </c>
      <c r="N216" s="14">
        <v>0</v>
      </c>
      <c r="O216" s="14">
        <v>16328.88</v>
      </c>
      <c r="P216" s="14">
        <v>412</v>
      </c>
      <c r="Q216" s="14">
        <f t="shared" si="3"/>
        <v>107044.88</v>
      </c>
      <c r="R216" s="14">
        <v>107456.88</v>
      </c>
      <c r="S216" s="14" t="s">
        <v>54</v>
      </c>
      <c r="T216" s="14" t="s">
        <v>63</v>
      </c>
      <c r="U216" s="14" t="s">
        <v>76</v>
      </c>
      <c r="V216" s="14" t="s">
        <v>77</v>
      </c>
      <c r="W216" s="14" t="s">
        <v>57</v>
      </c>
      <c r="X216" s="14">
        <v>4</v>
      </c>
      <c r="Y216" s="14" t="s">
        <v>38</v>
      </c>
      <c r="Z216" s="14">
        <v>5</v>
      </c>
      <c r="AA216" s="14" t="s">
        <v>47</v>
      </c>
    </row>
    <row r="217" spans="1:27" x14ac:dyDescent="0.35">
      <c r="A217" s="14" t="s">
        <v>493</v>
      </c>
      <c r="B217" s="15">
        <v>45834</v>
      </c>
      <c r="C217" s="14" t="s">
        <v>494</v>
      </c>
      <c r="D217" s="14" t="s">
        <v>89</v>
      </c>
      <c r="E217" s="14" t="s">
        <v>43</v>
      </c>
      <c r="F217" s="14">
        <v>29</v>
      </c>
      <c r="G217" s="14" t="s">
        <v>94</v>
      </c>
      <c r="H217" s="14" t="s">
        <v>31</v>
      </c>
      <c r="I217" s="14" t="s">
        <v>94</v>
      </c>
      <c r="J217" s="14" t="s">
        <v>69</v>
      </c>
      <c r="K217" s="14">
        <v>3</v>
      </c>
      <c r="L217" s="14">
        <v>10780</v>
      </c>
      <c r="M217" s="14">
        <v>15</v>
      </c>
      <c r="N217" s="14">
        <v>4851</v>
      </c>
      <c r="O217" s="14">
        <v>4948.0200000000004</v>
      </c>
      <c r="P217" s="14">
        <v>12</v>
      </c>
      <c r="Q217" s="14">
        <f t="shared" si="3"/>
        <v>32437.02</v>
      </c>
      <c r="R217" s="14">
        <v>32449.02</v>
      </c>
      <c r="S217" s="14" t="s">
        <v>83</v>
      </c>
      <c r="T217" s="14" t="s">
        <v>63</v>
      </c>
      <c r="U217" s="14" t="s">
        <v>84</v>
      </c>
      <c r="V217" s="14" t="s">
        <v>85</v>
      </c>
      <c r="W217" s="14" t="s">
        <v>86</v>
      </c>
      <c r="X217" s="14">
        <v>6</v>
      </c>
      <c r="Y217" s="14" t="s">
        <v>38</v>
      </c>
      <c r="Z217" s="14">
        <v>2</v>
      </c>
      <c r="AA217" s="14" t="s">
        <v>39</v>
      </c>
    </row>
    <row r="218" spans="1:27" x14ac:dyDescent="0.35">
      <c r="A218" s="14" t="s">
        <v>495</v>
      </c>
      <c r="B218" s="15">
        <v>45780</v>
      </c>
      <c r="C218" s="14" t="s">
        <v>496</v>
      </c>
      <c r="D218" s="14" t="s">
        <v>50</v>
      </c>
      <c r="E218" s="14" t="s">
        <v>29</v>
      </c>
      <c r="F218" s="14">
        <v>22</v>
      </c>
      <c r="G218" s="14" t="s">
        <v>99</v>
      </c>
      <c r="H218" s="14" t="s">
        <v>52</v>
      </c>
      <c r="I218" s="14" t="s">
        <v>99</v>
      </c>
      <c r="J218" s="14" t="s">
        <v>202</v>
      </c>
      <c r="K218" s="14">
        <v>1</v>
      </c>
      <c r="L218" s="14">
        <v>41995</v>
      </c>
      <c r="M218" s="14">
        <v>15</v>
      </c>
      <c r="N218" s="14">
        <v>6299.25</v>
      </c>
      <c r="O218" s="14">
        <v>6425.23</v>
      </c>
      <c r="P218" s="14">
        <v>363</v>
      </c>
      <c r="Q218" s="14">
        <f t="shared" si="3"/>
        <v>42120.99</v>
      </c>
      <c r="R218" s="14">
        <v>42483.99</v>
      </c>
      <c r="S218" s="14" t="s">
        <v>33</v>
      </c>
      <c r="T218" s="14" t="s">
        <v>34</v>
      </c>
      <c r="U218" s="14" t="s">
        <v>35</v>
      </c>
      <c r="V218" s="14" t="s">
        <v>36</v>
      </c>
      <c r="W218" s="14" t="s">
        <v>37</v>
      </c>
      <c r="X218" s="14">
        <v>10</v>
      </c>
      <c r="Y218" s="14" t="s">
        <v>38</v>
      </c>
      <c r="Z218" s="14">
        <v>3</v>
      </c>
      <c r="AA218" s="14" t="s">
        <v>91</v>
      </c>
    </row>
    <row r="219" spans="1:27" x14ac:dyDescent="0.35">
      <c r="A219" s="14" t="s">
        <v>497</v>
      </c>
      <c r="B219" s="15">
        <v>45800</v>
      </c>
      <c r="C219" s="14" t="s">
        <v>498</v>
      </c>
      <c r="D219" s="14" t="s">
        <v>66</v>
      </c>
      <c r="E219" s="14" t="s">
        <v>29</v>
      </c>
      <c r="F219" s="14">
        <v>51</v>
      </c>
      <c r="G219" s="14" t="s">
        <v>44</v>
      </c>
      <c r="H219" s="14" t="s">
        <v>31</v>
      </c>
      <c r="I219" s="14" t="s">
        <v>44</v>
      </c>
      <c r="J219" s="14" t="s">
        <v>102</v>
      </c>
      <c r="K219" s="14">
        <v>1</v>
      </c>
      <c r="L219" s="14">
        <v>2778</v>
      </c>
      <c r="M219" s="14">
        <v>15</v>
      </c>
      <c r="N219" s="14">
        <v>416.7</v>
      </c>
      <c r="O219" s="14">
        <v>425.03</v>
      </c>
      <c r="P219" s="14">
        <v>387</v>
      </c>
      <c r="Q219" s="14">
        <f t="shared" si="3"/>
        <v>2786.33</v>
      </c>
      <c r="R219" s="14">
        <v>3173.33</v>
      </c>
      <c r="S219" s="14" t="s">
        <v>83</v>
      </c>
      <c r="T219" s="14" t="s">
        <v>63</v>
      </c>
      <c r="U219" s="14" t="s">
        <v>84</v>
      </c>
      <c r="V219" s="14" t="s">
        <v>85</v>
      </c>
      <c r="W219" s="14" t="s">
        <v>86</v>
      </c>
      <c r="X219" s="14">
        <v>9</v>
      </c>
      <c r="Y219" s="14" t="s">
        <v>38</v>
      </c>
      <c r="Z219" s="14">
        <v>5</v>
      </c>
      <c r="AA219" s="14" t="s">
        <v>39</v>
      </c>
    </row>
    <row r="220" spans="1:27" x14ac:dyDescent="0.35">
      <c r="A220" s="14" t="s">
        <v>499</v>
      </c>
      <c r="B220" s="15">
        <v>45836</v>
      </c>
      <c r="C220" s="14" t="s">
        <v>500</v>
      </c>
      <c r="D220" s="14" t="s">
        <v>80</v>
      </c>
      <c r="E220" s="14" t="s">
        <v>43</v>
      </c>
      <c r="F220" s="14">
        <v>27</v>
      </c>
      <c r="G220" s="14" t="s">
        <v>67</v>
      </c>
      <c r="H220" s="14" t="s">
        <v>68</v>
      </c>
      <c r="I220" s="14" t="s">
        <v>67</v>
      </c>
      <c r="J220" s="14" t="s">
        <v>69</v>
      </c>
      <c r="K220" s="14">
        <v>3</v>
      </c>
      <c r="L220" s="14">
        <v>35468</v>
      </c>
      <c r="M220" s="14">
        <v>5</v>
      </c>
      <c r="N220" s="14">
        <v>5320.2</v>
      </c>
      <c r="O220" s="14">
        <v>18195.080000000002</v>
      </c>
      <c r="P220" s="14">
        <v>238</v>
      </c>
      <c r="Q220" s="14">
        <f t="shared" si="3"/>
        <v>119278.88</v>
      </c>
      <c r="R220" s="14">
        <v>119516.88</v>
      </c>
      <c r="S220" s="14" t="s">
        <v>54</v>
      </c>
      <c r="T220" s="14" t="s">
        <v>63</v>
      </c>
      <c r="U220" s="14" t="s">
        <v>95</v>
      </c>
      <c r="V220" s="14" t="s">
        <v>96</v>
      </c>
      <c r="W220" s="14" t="s">
        <v>57</v>
      </c>
      <c r="X220" s="14">
        <v>4</v>
      </c>
      <c r="Y220" s="14" t="s">
        <v>47</v>
      </c>
      <c r="Z220" s="14">
        <v>1</v>
      </c>
      <c r="AA220" s="14" t="s">
        <v>91</v>
      </c>
    </row>
    <row r="221" spans="1:27" x14ac:dyDescent="0.35">
      <c r="A221" s="14" t="s">
        <v>501</v>
      </c>
      <c r="B221" s="15">
        <v>45990</v>
      </c>
      <c r="C221" s="14" t="s">
        <v>502</v>
      </c>
      <c r="D221" s="14" t="s">
        <v>89</v>
      </c>
      <c r="E221" s="14" t="s">
        <v>29</v>
      </c>
      <c r="F221" s="14">
        <v>50</v>
      </c>
      <c r="G221" s="14" t="s">
        <v>90</v>
      </c>
      <c r="H221" s="14" t="s">
        <v>31</v>
      </c>
      <c r="I221" s="14" t="s">
        <v>90</v>
      </c>
      <c r="J221" s="14" t="s">
        <v>69</v>
      </c>
      <c r="K221" s="14">
        <v>2</v>
      </c>
      <c r="L221" s="14">
        <v>32959</v>
      </c>
      <c r="M221" s="14">
        <v>20</v>
      </c>
      <c r="N221" s="14">
        <v>13183.6</v>
      </c>
      <c r="O221" s="14">
        <v>9492.19</v>
      </c>
      <c r="P221" s="14">
        <v>266</v>
      </c>
      <c r="Q221" s="14">
        <f t="shared" si="3"/>
        <v>62226.59</v>
      </c>
      <c r="R221" s="14">
        <v>62492.59</v>
      </c>
      <c r="S221" s="14" t="s">
        <v>54</v>
      </c>
      <c r="T221" s="14" t="s">
        <v>63</v>
      </c>
      <c r="U221" s="14" t="s">
        <v>103</v>
      </c>
      <c r="V221" s="14" t="s">
        <v>103</v>
      </c>
      <c r="W221" s="14" t="s">
        <v>57</v>
      </c>
      <c r="X221" s="14">
        <v>8</v>
      </c>
      <c r="Y221" s="14" t="s">
        <v>47</v>
      </c>
      <c r="Z221" s="14">
        <v>5</v>
      </c>
      <c r="AA221" s="14" t="s">
        <v>58</v>
      </c>
    </row>
    <row r="222" spans="1:27" x14ac:dyDescent="0.35">
      <c r="A222" s="14" t="s">
        <v>503</v>
      </c>
      <c r="B222" s="15">
        <v>45983</v>
      </c>
      <c r="C222" s="14" t="s">
        <v>504</v>
      </c>
      <c r="D222" s="14" t="s">
        <v>73</v>
      </c>
      <c r="E222" s="14" t="s">
        <v>29</v>
      </c>
      <c r="F222" s="14">
        <v>53</v>
      </c>
      <c r="G222" s="14" t="s">
        <v>94</v>
      </c>
      <c r="H222" s="14" t="s">
        <v>31</v>
      </c>
      <c r="I222" s="14" t="s">
        <v>94</v>
      </c>
      <c r="J222" s="14" t="s">
        <v>69</v>
      </c>
      <c r="K222" s="14">
        <v>4</v>
      </c>
      <c r="L222" s="14">
        <v>31028</v>
      </c>
      <c r="M222" s="14">
        <v>15</v>
      </c>
      <c r="N222" s="14">
        <v>18616.8</v>
      </c>
      <c r="O222" s="14">
        <v>18989.14</v>
      </c>
      <c r="P222" s="14">
        <v>443</v>
      </c>
      <c r="Q222" s="14">
        <f t="shared" si="3"/>
        <v>124484.34</v>
      </c>
      <c r="R222" s="14">
        <v>124927.34</v>
      </c>
      <c r="S222" s="14" t="s">
        <v>83</v>
      </c>
      <c r="T222" s="14" t="s">
        <v>63</v>
      </c>
      <c r="U222" s="14" t="s">
        <v>46</v>
      </c>
      <c r="V222" s="14" t="s">
        <v>36</v>
      </c>
      <c r="W222" s="14" t="s">
        <v>37</v>
      </c>
      <c r="X222" s="14">
        <v>1</v>
      </c>
      <c r="Y222" s="14" t="s">
        <v>47</v>
      </c>
      <c r="Z222" s="14">
        <v>3</v>
      </c>
      <c r="AA222" s="14" t="s">
        <v>91</v>
      </c>
    </row>
    <row r="223" spans="1:27" x14ac:dyDescent="0.35">
      <c r="A223" s="14" t="s">
        <v>505</v>
      </c>
      <c r="B223" s="15">
        <v>45973</v>
      </c>
      <c r="C223" s="14" t="s">
        <v>506</v>
      </c>
      <c r="D223" s="14" t="s">
        <v>42</v>
      </c>
      <c r="E223" s="14" t="s">
        <v>43</v>
      </c>
      <c r="F223" s="14">
        <v>54</v>
      </c>
      <c r="G223" s="14" t="s">
        <v>134</v>
      </c>
      <c r="H223" s="14" t="s">
        <v>31</v>
      </c>
      <c r="I223" s="14" t="s">
        <v>134</v>
      </c>
      <c r="J223" s="14" t="s">
        <v>62</v>
      </c>
      <c r="K223" s="14">
        <v>4</v>
      </c>
      <c r="L223" s="14">
        <v>19158</v>
      </c>
      <c r="M223" s="14">
        <v>15</v>
      </c>
      <c r="N223" s="14">
        <v>11494.8</v>
      </c>
      <c r="O223" s="14">
        <v>11724.7</v>
      </c>
      <c r="P223" s="14">
        <v>319</v>
      </c>
      <c r="Q223" s="14">
        <f t="shared" si="3"/>
        <v>76861.899999999994</v>
      </c>
      <c r="R223" s="14">
        <v>77180.899999999994</v>
      </c>
      <c r="S223" s="14" t="s">
        <v>54</v>
      </c>
      <c r="T223" s="14" t="s">
        <v>34</v>
      </c>
      <c r="U223" s="14" t="s">
        <v>84</v>
      </c>
      <c r="V223" s="14" t="s">
        <v>85</v>
      </c>
      <c r="W223" s="14" t="s">
        <v>86</v>
      </c>
      <c r="X223" s="14">
        <v>4</v>
      </c>
      <c r="Y223" s="14" t="s">
        <v>47</v>
      </c>
      <c r="Z223" s="14">
        <v>2</v>
      </c>
      <c r="AA223" s="14" t="s">
        <v>91</v>
      </c>
    </row>
    <row r="224" spans="1:27" x14ac:dyDescent="0.35">
      <c r="A224" s="14" t="s">
        <v>507</v>
      </c>
      <c r="B224" s="15">
        <v>45791</v>
      </c>
      <c r="C224" s="14" t="s">
        <v>508</v>
      </c>
      <c r="D224" s="14" t="s">
        <v>108</v>
      </c>
      <c r="E224" s="14" t="s">
        <v>43</v>
      </c>
      <c r="F224" s="14">
        <v>57</v>
      </c>
      <c r="G224" s="14" t="s">
        <v>94</v>
      </c>
      <c r="H224" s="14" t="s">
        <v>31</v>
      </c>
      <c r="I224" s="14" t="s">
        <v>94</v>
      </c>
      <c r="J224" s="14" t="s">
        <v>32</v>
      </c>
      <c r="K224" s="14">
        <v>1</v>
      </c>
      <c r="L224" s="14">
        <v>25847</v>
      </c>
      <c r="M224" s="14">
        <v>10</v>
      </c>
      <c r="N224" s="14">
        <v>2584.6999999999998</v>
      </c>
      <c r="O224" s="14">
        <v>4187.21</v>
      </c>
      <c r="P224" s="14">
        <v>496</v>
      </c>
      <c r="Q224" s="14">
        <f t="shared" si="3"/>
        <v>27449.51</v>
      </c>
      <c r="R224" s="14">
        <v>27945.51</v>
      </c>
      <c r="S224" s="14" t="s">
        <v>54</v>
      </c>
      <c r="T224" s="14" t="s">
        <v>34</v>
      </c>
      <c r="U224" s="14" t="s">
        <v>84</v>
      </c>
      <c r="V224" s="14" t="s">
        <v>85</v>
      </c>
      <c r="W224" s="14" t="s">
        <v>86</v>
      </c>
      <c r="X224" s="14">
        <v>9</v>
      </c>
      <c r="Y224" s="14" t="s">
        <v>47</v>
      </c>
      <c r="Z224" s="14">
        <v>1</v>
      </c>
      <c r="AA224" s="14" t="s">
        <v>58</v>
      </c>
    </row>
    <row r="225" spans="1:27" x14ac:dyDescent="0.35">
      <c r="A225" s="14" t="s">
        <v>509</v>
      </c>
      <c r="B225" s="15">
        <v>46003</v>
      </c>
      <c r="C225" s="14" t="s">
        <v>510</v>
      </c>
      <c r="D225" s="14" t="s">
        <v>80</v>
      </c>
      <c r="E225" s="14" t="s">
        <v>43</v>
      </c>
      <c r="F225" s="14">
        <v>44</v>
      </c>
      <c r="G225" s="14" t="s">
        <v>67</v>
      </c>
      <c r="H225" s="14" t="s">
        <v>68</v>
      </c>
      <c r="I225" s="14" t="s">
        <v>67</v>
      </c>
      <c r="J225" s="14" t="s">
        <v>202</v>
      </c>
      <c r="K225" s="14">
        <v>2</v>
      </c>
      <c r="L225" s="14">
        <v>27899</v>
      </c>
      <c r="M225" s="14">
        <v>5</v>
      </c>
      <c r="N225" s="14">
        <v>2789.9</v>
      </c>
      <c r="O225" s="14">
        <v>9541.4599999999991</v>
      </c>
      <c r="P225" s="14">
        <v>245</v>
      </c>
      <c r="Q225" s="14">
        <f t="shared" si="3"/>
        <v>62549.56</v>
      </c>
      <c r="R225" s="14">
        <v>62794.559999999998</v>
      </c>
      <c r="S225" s="14" t="s">
        <v>54</v>
      </c>
      <c r="T225" s="14" t="s">
        <v>34</v>
      </c>
      <c r="U225" s="14" t="s">
        <v>55</v>
      </c>
      <c r="V225" s="14" t="s">
        <v>56</v>
      </c>
      <c r="W225" s="14" t="s">
        <v>57</v>
      </c>
      <c r="X225" s="14">
        <v>6</v>
      </c>
      <c r="Y225" s="14" t="s">
        <v>47</v>
      </c>
      <c r="Z225" s="14">
        <v>2</v>
      </c>
      <c r="AA225" s="14" t="s">
        <v>39</v>
      </c>
    </row>
    <row r="226" spans="1:27" x14ac:dyDescent="0.35">
      <c r="A226" s="14" t="s">
        <v>511</v>
      </c>
      <c r="B226" s="15">
        <v>45975</v>
      </c>
      <c r="C226" s="14" t="s">
        <v>512</v>
      </c>
      <c r="D226" s="14" t="s">
        <v>61</v>
      </c>
      <c r="E226" s="14" t="s">
        <v>43</v>
      </c>
      <c r="F226" s="14">
        <v>32</v>
      </c>
      <c r="G226" s="14" t="s">
        <v>30</v>
      </c>
      <c r="H226" s="14" t="s">
        <v>31</v>
      </c>
      <c r="I226" s="14" t="s">
        <v>30</v>
      </c>
      <c r="J226" s="14" t="s">
        <v>150</v>
      </c>
      <c r="K226" s="14">
        <v>5</v>
      </c>
      <c r="L226" s="14">
        <v>4763</v>
      </c>
      <c r="M226" s="14">
        <v>20</v>
      </c>
      <c r="N226" s="14">
        <v>4763</v>
      </c>
      <c r="O226" s="14">
        <v>3429.36</v>
      </c>
      <c r="P226" s="14">
        <v>197</v>
      </c>
      <c r="Q226" s="14">
        <f t="shared" si="3"/>
        <v>22481.360000000001</v>
      </c>
      <c r="R226" s="14">
        <v>22678.36</v>
      </c>
      <c r="S226" s="14" t="s">
        <v>83</v>
      </c>
      <c r="T226" s="14" t="s">
        <v>34</v>
      </c>
      <c r="U226" s="14" t="s">
        <v>76</v>
      </c>
      <c r="V226" s="14" t="s">
        <v>77</v>
      </c>
      <c r="W226" s="14" t="s">
        <v>57</v>
      </c>
      <c r="X226" s="14">
        <v>6</v>
      </c>
      <c r="Y226" s="14" t="s">
        <v>47</v>
      </c>
      <c r="Z226" s="14">
        <v>1</v>
      </c>
      <c r="AA226" s="14" t="s">
        <v>58</v>
      </c>
    </row>
    <row r="227" spans="1:27" x14ac:dyDescent="0.35">
      <c r="A227" s="14" t="s">
        <v>513</v>
      </c>
      <c r="B227" s="15">
        <v>45945</v>
      </c>
      <c r="C227" s="14" t="s">
        <v>514</v>
      </c>
      <c r="D227" s="14" t="s">
        <v>61</v>
      </c>
      <c r="E227" s="14" t="s">
        <v>43</v>
      </c>
      <c r="F227" s="14">
        <v>18</v>
      </c>
      <c r="G227" s="14" t="s">
        <v>30</v>
      </c>
      <c r="H227" s="14" t="s">
        <v>31</v>
      </c>
      <c r="I227" s="14" t="s">
        <v>30</v>
      </c>
      <c r="J227" s="14" t="s">
        <v>125</v>
      </c>
      <c r="K227" s="14">
        <v>2</v>
      </c>
      <c r="L227" s="14">
        <v>26643</v>
      </c>
      <c r="M227" s="14">
        <v>0</v>
      </c>
      <c r="N227" s="14">
        <v>0</v>
      </c>
      <c r="O227" s="14">
        <v>9591.48</v>
      </c>
      <c r="P227" s="14">
        <v>210</v>
      </c>
      <c r="Q227" s="14">
        <f t="shared" si="3"/>
        <v>62877.48</v>
      </c>
      <c r="R227" s="14">
        <v>63087.48</v>
      </c>
      <c r="S227" s="14" t="s">
        <v>45</v>
      </c>
      <c r="T227" s="14" t="s">
        <v>34</v>
      </c>
      <c r="U227" s="14" t="s">
        <v>35</v>
      </c>
      <c r="V227" s="14" t="s">
        <v>36</v>
      </c>
      <c r="W227" s="14" t="s">
        <v>37</v>
      </c>
      <c r="X227" s="14">
        <v>3</v>
      </c>
      <c r="Y227" s="14" t="s">
        <v>38</v>
      </c>
      <c r="Z227" s="14">
        <v>2</v>
      </c>
      <c r="AA227" s="14" t="s">
        <v>91</v>
      </c>
    </row>
    <row r="228" spans="1:27" x14ac:dyDescent="0.35">
      <c r="A228" s="14" t="s">
        <v>515</v>
      </c>
      <c r="B228" s="15">
        <v>45907</v>
      </c>
      <c r="C228" s="14" t="s">
        <v>516</v>
      </c>
      <c r="D228" s="14" t="s">
        <v>108</v>
      </c>
      <c r="E228" s="14" t="s">
        <v>43</v>
      </c>
      <c r="F228" s="14">
        <v>41</v>
      </c>
      <c r="G228" s="14" t="s">
        <v>94</v>
      </c>
      <c r="H228" s="14" t="s">
        <v>31</v>
      </c>
      <c r="I228" s="14" t="s">
        <v>94</v>
      </c>
      <c r="J228" s="14" t="s">
        <v>62</v>
      </c>
      <c r="K228" s="14">
        <v>2</v>
      </c>
      <c r="L228" s="14">
        <v>15860</v>
      </c>
      <c r="M228" s="14">
        <v>20</v>
      </c>
      <c r="N228" s="14">
        <v>6344</v>
      </c>
      <c r="O228" s="14">
        <v>4567.68</v>
      </c>
      <c r="P228" s="14">
        <v>237</v>
      </c>
      <c r="Q228" s="14">
        <f t="shared" si="3"/>
        <v>29943.68</v>
      </c>
      <c r="R228" s="14">
        <v>30180.68</v>
      </c>
      <c r="S228" s="14" t="s">
        <v>33</v>
      </c>
      <c r="T228" s="14" t="s">
        <v>63</v>
      </c>
      <c r="U228" s="14" t="s">
        <v>46</v>
      </c>
      <c r="V228" s="14" t="s">
        <v>36</v>
      </c>
      <c r="W228" s="14" t="s">
        <v>37</v>
      </c>
      <c r="X228" s="14">
        <v>9</v>
      </c>
      <c r="Y228" s="14" t="s">
        <v>47</v>
      </c>
      <c r="Z228" s="14">
        <v>4</v>
      </c>
      <c r="AA228" s="14" t="s">
        <v>39</v>
      </c>
    </row>
    <row r="229" spans="1:27" x14ac:dyDescent="0.35">
      <c r="A229" s="14" t="s">
        <v>517</v>
      </c>
      <c r="B229" s="15">
        <v>46058</v>
      </c>
      <c r="C229" s="14" t="s">
        <v>518</v>
      </c>
      <c r="D229" s="14" t="s">
        <v>28</v>
      </c>
      <c r="E229" s="14" t="s">
        <v>43</v>
      </c>
      <c r="F229" s="14">
        <v>56</v>
      </c>
      <c r="G229" s="14" t="s">
        <v>90</v>
      </c>
      <c r="H229" s="14" t="s">
        <v>31</v>
      </c>
      <c r="I229" s="14" t="s">
        <v>90</v>
      </c>
      <c r="J229" s="14" t="s">
        <v>112</v>
      </c>
      <c r="K229" s="14">
        <v>5</v>
      </c>
      <c r="L229" s="14">
        <v>7974</v>
      </c>
      <c r="M229" s="14">
        <v>5</v>
      </c>
      <c r="N229" s="14">
        <v>1993.5</v>
      </c>
      <c r="O229" s="14">
        <v>6817.77</v>
      </c>
      <c r="P229" s="14">
        <v>291</v>
      </c>
      <c r="Q229" s="14">
        <f t="shared" si="3"/>
        <v>44694.27</v>
      </c>
      <c r="R229" s="14">
        <v>44985.27</v>
      </c>
      <c r="S229" s="14" t="s">
        <v>83</v>
      </c>
      <c r="T229" s="14" t="s">
        <v>63</v>
      </c>
      <c r="U229" s="14" t="s">
        <v>46</v>
      </c>
      <c r="V229" s="14" t="s">
        <v>36</v>
      </c>
      <c r="W229" s="14" t="s">
        <v>37</v>
      </c>
      <c r="X229" s="14">
        <v>4</v>
      </c>
      <c r="Y229" s="14" t="s">
        <v>38</v>
      </c>
      <c r="Z229" s="14">
        <v>2</v>
      </c>
      <c r="AA229" s="14" t="s">
        <v>39</v>
      </c>
    </row>
    <row r="230" spans="1:27" x14ac:dyDescent="0.35">
      <c r="A230" s="14" t="s">
        <v>519</v>
      </c>
      <c r="B230" s="15">
        <v>46068</v>
      </c>
      <c r="C230" s="14" t="s">
        <v>520</v>
      </c>
      <c r="D230" s="14" t="s">
        <v>73</v>
      </c>
      <c r="E230" s="14" t="s">
        <v>29</v>
      </c>
      <c r="F230" s="14">
        <v>35</v>
      </c>
      <c r="G230" s="14" t="s">
        <v>67</v>
      </c>
      <c r="H230" s="14" t="s">
        <v>68</v>
      </c>
      <c r="I230" s="14" t="s">
        <v>67</v>
      </c>
      <c r="J230" s="14" t="s">
        <v>202</v>
      </c>
      <c r="K230" s="14">
        <v>3</v>
      </c>
      <c r="L230" s="14">
        <v>41035</v>
      </c>
      <c r="M230" s="14">
        <v>20</v>
      </c>
      <c r="N230" s="14">
        <v>24621</v>
      </c>
      <c r="O230" s="14">
        <v>17727.12</v>
      </c>
      <c r="P230" s="14">
        <v>486</v>
      </c>
      <c r="Q230" s="14">
        <f t="shared" si="3"/>
        <v>116211.12</v>
      </c>
      <c r="R230" s="14">
        <v>116697.12</v>
      </c>
      <c r="S230" s="14" t="s">
        <v>33</v>
      </c>
      <c r="T230" s="14" t="s">
        <v>63</v>
      </c>
      <c r="U230" s="14" t="s">
        <v>103</v>
      </c>
      <c r="V230" s="14" t="s">
        <v>103</v>
      </c>
      <c r="W230" s="14" t="s">
        <v>57</v>
      </c>
      <c r="X230" s="14">
        <v>9</v>
      </c>
      <c r="Y230" s="14" t="s">
        <v>47</v>
      </c>
      <c r="Z230" s="14">
        <v>1</v>
      </c>
      <c r="AA230" s="14" t="s">
        <v>91</v>
      </c>
    </row>
    <row r="231" spans="1:27" x14ac:dyDescent="0.35">
      <c r="A231" s="14" t="s">
        <v>521</v>
      </c>
      <c r="B231" s="15">
        <v>45802</v>
      </c>
      <c r="C231" s="14" t="s">
        <v>522</v>
      </c>
      <c r="D231" s="14" t="s">
        <v>28</v>
      </c>
      <c r="E231" s="14" t="s">
        <v>29</v>
      </c>
      <c r="F231" s="14">
        <v>23</v>
      </c>
      <c r="G231" s="14" t="s">
        <v>30</v>
      </c>
      <c r="H231" s="14" t="s">
        <v>31</v>
      </c>
      <c r="I231" s="14" t="s">
        <v>30</v>
      </c>
      <c r="J231" s="14" t="s">
        <v>202</v>
      </c>
      <c r="K231" s="14">
        <v>5</v>
      </c>
      <c r="L231" s="14">
        <v>13190</v>
      </c>
      <c r="M231" s="14">
        <v>0</v>
      </c>
      <c r="N231" s="14">
        <v>0</v>
      </c>
      <c r="O231" s="14">
        <v>11871</v>
      </c>
      <c r="P231" s="14">
        <v>493</v>
      </c>
      <c r="Q231" s="14">
        <f t="shared" si="3"/>
        <v>77821</v>
      </c>
      <c r="R231" s="14">
        <v>78314</v>
      </c>
      <c r="S231" s="14" t="s">
        <v>45</v>
      </c>
      <c r="T231" s="14" t="s">
        <v>34</v>
      </c>
      <c r="U231" s="14" t="s">
        <v>46</v>
      </c>
      <c r="V231" s="14" t="s">
        <v>36</v>
      </c>
      <c r="W231" s="14" t="s">
        <v>37</v>
      </c>
      <c r="X231" s="14">
        <v>10</v>
      </c>
      <c r="Y231" s="14" t="s">
        <v>47</v>
      </c>
      <c r="Z231" s="14">
        <v>3</v>
      </c>
      <c r="AA231" s="14" t="s">
        <v>91</v>
      </c>
    </row>
    <row r="232" spans="1:27" x14ac:dyDescent="0.35">
      <c r="A232" s="14" t="s">
        <v>523</v>
      </c>
      <c r="B232" s="15">
        <v>46117</v>
      </c>
      <c r="C232" s="14" t="s">
        <v>524</v>
      </c>
      <c r="D232" s="14" t="s">
        <v>50</v>
      </c>
      <c r="E232" s="14" t="s">
        <v>43</v>
      </c>
      <c r="F232" s="14">
        <v>19</v>
      </c>
      <c r="G232" s="14" t="s">
        <v>134</v>
      </c>
      <c r="H232" s="14" t="s">
        <v>31</v>
      </c>
      <c r="I232" s="14" t="s">
        <v>134</v>
      </c>
      <c r="J232" s="14" t="s">
        <v>53</v>
      </c>
      <c r="K232" s="14">
        <v>3</v>
      </c>
      <c r="L232" s="14">
        <v>35079</v>
      </c>
      <c r="M232" s="14">
        <v>20</v>
      </c>
      <c r="N232" s="14">
        <v>21047.4</v>
      </c>
      <c r="O232" s="14">
        <v>15154.13</v>
      </c>
      <c r="P232" s="14">
        <v>50</v>
      </c>
      <c r="Q232" s="14">
        <f t="shared" si="3"/>
        <v>99343.73</v>
      </c>
      <c r="R232" s="14">
        <v>99393.73</v>
      </c>
      <c r="S232" s="14" t="s">
        <v>54</v>
      </c>
      <c r="T232" s="14" t="s">
        <v>63</v>
      </c>
      <c r="U232" s="14" t="s">
        <v>70</v>
      </c>
      <c r="V232" s="14" t="s">
        <v>56</v>
      </c>
      <c r="W232" s="14" t="s">
        <v>57</v>
      </c>
      <c r="X232" s="14">
        <v>8</v>
      </c>
      <c r="Y232" s="14" t="s">
        <v>38</v>
      </c>
      <c r="Z232" s="14">
        <v>3</v>
      </c>
      <c r="AA232" s="14" t="s">
        <v>58</v>
      </c>
    </row>
    <row r="233" spans="1:27" x14ac:dyDescent="0.35">
      <c r="A233" s="14" t="s">
        <v>525</v>
      </c>
      <c r="B233" s="15">
        <v>45897</v>
      </c>
      <c r="C233" s="14" t="s">
        <v>436</v>
      </c>
      <c r="D233" s="14" t="s">
        <v>61</v>
      </c>
      <c r="E233" s="14" t="s">
        <v>29</v>
      </c>
      <c r="F233" s="14">
        <v>43</v>
      </c>
      <c r="G233" s="14" t="s">
        <v>74</v>
      </c>
      <c r="H233" s="14" t="s">
        <v>31</v>
      </c>
      <c r="I233" s="14" t="s">
        <v>74</v>
      </c>
      <c r="J233" s="14" t="s">
        <v>62</v>
      </c>
      <c r="K233" s="14">
        <v>4</v>
      </c>
      <c r="L233" s="14">
        <v>19650</v>
      </c>
      <c r="M233" s="14">
        <v>0</v>
      </c>
      <c r="N233" s="14">
        <v>0</v>
      </c>
      <c r="O233" s="14">
        <v>14148</v>
      </c>
      <c r="P233" s="14">
        <v>372</v>
      </c>
      <c r="Q233" s="14">
        <f t="shared" si="3"/>
        <v>92748</v>
      </c>
      <c r="R233" s="14">
        <v>93120</v>
      </c>
      <c r="S233" s="14" t="s">
        <v>83</v>
      </c>
      <c r="T233" s="14" t="s">
        <v>63</v>
      </c>
      <c r="U233" s="14" t="s">
        <v>103</v>
      </c>
      <c r="V233" s="14" t="s">
        <v>103</v>
      </c>
      <c r="W233" s="14" t="s">
        <v>57</v>
      </c>
      <c r="X233" s="14">
        <v>3</v>
      </c>
      <c r="Y233" s="14" t="s">
        <v>38</v>
      </c>
      <c r="Z233" s="14">
        <v>4</v>
      </c>
      <c r="AA233" s="14" t="s">
        <v>58</v>
      </c>
    </row>
    <row r="234" spans="1:27" x14ac:dyDescent="0.35">
      <c r="A234" s="14" t="s">
        <v>526</v>
      </c>
      <c r="B234" s="15">
        <v>46027</v>
      </c>
      <c r="C234" s="14" t="s">
        <v>527</v>
      </c>
      <c r="D234" s="14" t="s">
        <v>80</v>
      </c>
      <c r="E234" s="14" t="s">
        <v>43</v>
      </c>
      <c r="F234" s="14">
        <v>23</v>
      </c>
      <c r="G234" s="14" t="s">
        <v>67</v>
      </c>
      <c r="H234" s="14" t="s">
        <v>68</v>
      </c>
      <c r="I234" s="14" t="s">
        <v>67</v>
      </c>
      <c r="J234" s="14" t="s">
        <v>69</v>
      </c>
      <c r="K234" s="14">
        <v>3</v>
      </c>
      <c r="L234" s="14">
        <v>7283</v>
      </c>
      <c r="M234" s="14">
        <v>0</v>
      </c>
      <c r="N234" s="14">
        <v>0</v>
      </c>
      <c r="O234" s="14">
        <v>3932.82</v>
      </c>
      <c r="P234" s="14">
        <v>89</v>
      </c>
      <c r="Q234" s="14">
        <f t="shared" si="3"/>
        <v>25781.82</v>
      </c>
      <c r="R234" s="14">
        <v>25870.82</v>
      </c>
      <c r="S234" s="14" t="s">
        <v>83</v>
      </c>
      <c r="T234" s="14" t="s">
        <v>34</v>
      </c>
      <c r="U234" s="14" t="s">
        <v>76</v>
      </c>
      <c r="V234" s="14" t="s">
        <v>77</v>
      </c>
      <c r="W234" s="14" t="s">
        <v>57</v>
      </c>
      <c r="X234" s="14">
        <v>5</v>
      </c>
      <c r="Y234" s="14" t="s">
        <v>38</v>
      </c>
      <c r="Z234" s="14">
        <v>4</v>
      </c>
      <c r="AA234" s="14" t="s">
        <v>47</v>
      </c>
    </row>
    <row r="235" spans="1:27" x14ac:dyDescent="0.35">
      <c r="A235" s="14" t="s">
        <v>528</v>
      </c>
      <c r="B235" s="15">
        <v>45846</v>
      </c>
      <c r="C235" s="14" t="s">
        <v>529</v>
      </c>
      <c r="D235" s="14" t="s">
        <v>80</v>
      </c>
      <c r="E235" s="14" t="s">
        <v>29</v>
      </c>
      <c r="F235" s="14">
        <v>47</v>
      </c>
      <c r="G235" s="14" t="s">
        <v>134</v>
      </c>
      <c r="H235" s="14" t="s">
        <v>31</v>
      </c>
      <c r="I235" s="14" t="s">
        <v>134</v>
      </c>
      <c r="J235" s="14" t="s">
        <v>112</v>
      </c>
      <c r="K235" s="14">
        <v>2</v>
      </c>
      <c r="L235" s="14">
        <v>18597</v>
      </c>
      <c r="M235" s="14">
        <v>0</v>
      </c>
      <c r="N235" s="14">
        <v>0</v>
      </c>
      <c r="O235" s="14">
        <v>6694.92</v>
      </c>
      <c r="P235" s="14">
        <v>194</v>
      </c>
      <c r="Q235" s="14">
        <f t="shared" si="3"/>
        <v>43888.92</v>
      </c>
      <c r="R235" s="14">
        <v>44082.92</v>
      </c>
      <c r="S235" s="14" t="s">
        <v>33</v>
      </c>
      <c r="T235" s="14" t="s">
        <v>34</v>
      </c>
      <c r="U235" s="14" t="s">
        <v>46</v>
      </c>
      <c r="V235" s="14" t="s">
        <v>36</v>
      </c>
      <c r="W235" s="14" t="s">
        <v>37</v>
      </c>
      <c r="X235" s="14">
        <v>6</v>
      </c>
      <c r="Y235" s="14" t="s">
        <v>47</v>
      </c>
      <c r="Z235" s="14">
        <v>1</v>
      </c>
      <c r="AA235" s="14" t="s">
        <v>39</v>
      </c>
    </row>
    <row r="236" spans="1:27" x14ac:dyDescent="0.35">
      <c r="A236" s="14" t="s">
        <v>530</v>
      </c>
      <c r="B236" s="15">
        <v>45812</v>
      </c>
      <c r="C236" s="14" t="s">
        <v>322</v>
      </c>
      <c r="D236" s="14" t="s">
        <v>80</v>
      </c>
      <c r="E236" s="14" t="s">
        <v>43</v>
      </c>
      <c r="F236" s="14">
        <v>41</v>
      </c>
      <c r="G236" s="14" t="s">
        <v>99</v>
      </c>
      <c r="H236" s="14" t="s">
        <v>52</v>
      </c>
      <c r="I236" s="14" t="s">
        <v>99</v>
      </c>
      <c r="J236" s="14" t="s">
        <v>125</v>
      </c>
      <c r="K236" s="14">
        <v>1</v>
      </c>
      <c r="L236" s="14">
        <v>17820</v>
      </c>
      <c r="M236" s="14">
        <v>20</v>
      </c>
      <c r="N236" s="14">
        <v>3564</v>
      </c>
      <c r="O236" s="14">
        <v>2566.08</v>
      </c>
      <c r="P236" s="14">
        <v>383</v>
      </c>
      <c r="Q236" s="14">
        <f t="shared" si="3"/>
        <v>16822.080000000002</v>
      </c>
      <c r="R236" s="14">
        <v>17205.080000000002</v>
      </c>
      <c r="S236" s="14" t="s">
        <v>83</v>
      </c>
      <c r="T236" s="14" t="s">
        <v>63</v>
      </c>
      <c r="U236" s="14" t="s">
        <v>46</v>
      </c>
      <c r="V236" s="14" t="s">
        <v>36</v>
      </c>
      <c r="W236" s="14" t="s">
        <v>37</v>
      </c>
      <c r="X236" s="14">
        <v>8</v>
      </c>
      <c r="Y236" s="14" t="s">
        <v>38</v>
      </c>
      <c r="Z236" s="14">
        <v>5</v>
      </c>
      <c r="AA236" s="14" t="s">
        <v>58</v>
      </c>
    </row>
    <row r="237" spans="1:27" x14ac:dyDescent="0.35">
      <c r="A237" s="14" t="s">
        <v>531</v>
      </c>
      <c r="B237" s="15">
        <v>45930</v>
      </c>
      <c r="C237" s="14" t="s">
        <v>532</v>
      </c>
      <c r="D237" s="14" t="s">
        <v>61</v>
      </c>
      <c r="E237" s="14" t="s">
        <v>29</v>
      </c>
      <c r="F237" s="14">
        <v>58</v>
      </c>
      <c r="G237" s="14" t="s">
        <v>99</v>
      </c>
      <c r="H237" s="14" t="s">
        <v>52</v>
      </c>
      <c r="I237" s="14" t="s">
        <v>99</v>
      </c>
      <c r="J237" s="14" t="s">
        <v>32</v>
      </c>
      <c r="K237" s="14">
        <v>5</v>
      </c>
      <c r="L237" s="14">
        <v>29380</v>
      </c>
      <c r="M237" s="14">
        <v>10</v>
      </c>
      <c r="N237" s="14">
        <v>14690</v>
      </c>
      <c r="O237" s="14">
        <v>23797.8</v>
      </c>
      <c r="P237" s="14">
        <v>177</v>
      </c>
      <c r="Q237" s="14">
        <f t="shared" si="3"/>
        <v>156007.79999999999</v>
      </c>
      <c r="R237" s="14">
        <v>156184.79999999999</v>
      </c>
      <c r="S237" s="14" t="s">
        <v>83</v>
      </c>
      <c r="T237" s="14" t="s">
        <v>63</v>
      </c>
      <c r="U237" s="14" t="s">
        <v>46</v>
      </c>
      <c r="V237" s="14" t="s">
        <v>36</v>
      </c>
      <c r="W237" s="14" t="s">
        <v>37</v>
      </c>
      <c r="X237" s="14">
        <v>10</v>
      </c>
      <c r="Y237" s="14" t="s">
        <v>47</v>
      </c>
      <c r="Z237" s="14">
        <v>1</v>
      </c>
      <c r="AA237" s="14" t="s">
        <v>39</v>
      </c>
    </row>
    <row r="238" spans="1:27" x14ac:dyDescent="0.35">
      <c r="A238" s="14" t="s">
        <v>533</v>
      </c>
      <c r="B238" s="15">
        <v>45960</v>
      </c>
      <c r="C238" s="14" t="s">
        <v>534</v>
      </c>
      <c r="D238" s="14" t="s">
        <v>89</v>
      </c>
      <c r="E238" s="14" t="s">
        <v>43</v>
      </c>
      <c r="F238" s="14">
        <v>55</v>
      </c>
      <c r="G238" s="14" t="s">
        <v>30</v>
      </c>
      <c r="H238" s="14" t="s">
        <v>31</v>
      </c>
      <c r="I238" s="14" t="s">
        <v>30</v>
      </c>
      <c r="J238" s="14" t="s">
        <v>112</v>
      </c>
      <c r="K238" s="14">
        <v>5</v>
      </c>
      <c r="L238" s="14">
        <v>48636</v>
      </c>
      <c r="M238" s="14">
        <v>20</v>
      </c>
      <c r="N238" s="14">
        <v>48636</v>
      </c>
      <c r="O238" s="14">
        <v>35017.919999999998</v>
      </c>
      <c r="P238" s="14">
        <v>254</v>
      </c>
      <c r="Q238" s="14">
        <f t="shared" si="3"/>
        <v>229561.92</v>
      </c>
      <c r="R238" s="14">
        <v>229815.92</v>
      </c>
      <c r="S238" s="14" t="s">
        <v>45</v>
      </c>
      <c r="T238" s="14" t="s">
        <v>34</v>
      </c>
      <c r="U238" s="14" t="s">
        <v>55</v>
      </c>
      <c r="V238" s="14" t="s">
        <v>56</v>
      </c>
      <c r="W238" s="14" t="s">
        <v>57</v>
      </c>
      <c r="X238" s="14">
        <v>3</v>
      </c>
      <c r="Y238" s="14" t="s">
        <v>38</v>
      </c>
      <c r="Z238" s="14">
        <v>2</v>
      </c>
      <c r="AA238" s="14" t="s">
        <v>39</v>
      </c>
    </row>
    <row r="239" spans="1:27" x14ac:dyDescent="0.35">
      <c r="A239" s="14" t="s">
        <v>535</v>
      </c>
      <c r="B239" s="15">
        <v>46092</v>
      </c>
      <c r="C239" s="14" t="s">
        <v>328</v>
      </c>
      <c r="D239" s="14" t="s">
        <v>50</v>
      </c>
      <c r="E239" s="14" t="s">
        <v>29</v>
      </c>
      <c r="F239" s="14">
        <v>40</v>
      </c>
      <c r="G239" s="14" t="s">
        <v>30</v>
      </c>
      <c r="H239" s="14" t="s">
        <v>31</v>
      </c>
      <c r="I239" s="14" t="s">
        <v>30</v>
      </c>
      <c r="J239" s="14" t="s">
        <v>102</v>
      </c>
      <c r="K239" s="14">
        <v>3</v>
      </c>
      <c r="L239" s="14">
        <v>4058</v>
      </c>
      <c r="M239" s="14">
        <v>0</v>
      </c>
      <c r="N239" s="14">
        <v>0</v>
      </c>
      <c r="O239" s="14">
        <v>2191.3200000000002</v>
      </c>
      <c r="P239" s="14">
        <v>130</v>
      </c>
      <c r="Q239" s="14">
        <f t="shared" si="3"/>
        <v>14365.32</v>
      </c>
      <c r="R239" s="14">
        <v>14495.32</v>
      </c>
      <c r="S239" s="14" t="s">
        <v>33</v>
      </c>
      <c r="T239" s="14" t="s">
        <v>63</v>
      </c>
      <c r="U239" s="14" t="s">
        <v>55</v>
      </c>
      <c r="V239" s="14" t="s">
        <v>56</v>
      </c>
      <c r="W239" s="14" t="s">
        <v>57</v>
      </c>
      <c r="X239" s="14">
        <v>4</v>
      </c>
      <c r="Y239" s="14" t="s">
        <v>38</v>
      </c>
      <c r="Z239" s="14">
        <v>5</v>
      </c>
      <c r="AA239" s="14" t="s">
        <v>91</v>
      </c>
    </row>
    <row r="240" spans="1:27" x14ac:dyDescent="0.35">
      <c r="A240" s="14" t="s">
        <v>536</v>
      </c>
      <c r="B240" s="15">
        <v>46070</v>
      </c>
      <c r="C240" s="14" t="s">
        <v>415</v>
      </c>
      <c r="D240" s="14" t="s">
        <v>73</v>
      </c>
      <c r="E240" s="14" t="s">
        <v>43</v>
      </c>
      <c r="F240" s="14">
        <v>50</v>
      </c>
      <c r="G240" s="14" t="s">
        <v>90</v>
      </c>
      <c r="H240" s="14" t="s">
        <v>31</v>
      </c>
      <c r="I240" s="14" t="s">
        <v>90</v>
      </c>
      <c r="J240" s="14" t="s">
        <v>202</v>
      </c>
      <c r="K240" s="14">
        <v>2</v>
      </c>
      <c r="L240" s="14">
        <v>16518</v>
      </c>
      <c r="M240" s="14">
        <v>15</v>
      </c>
      <c r="N240" s="14">
        <v>4955.3999999999996</v>
      </c>
      <c r="O240" s="14">
        <v>5054.51</v>
      </c>
      <c r="P240" s="14">
        <v>326</v>
      </c>
      <c r="Q240" s="14">
        <f t="shared" si="3"/>
        <v>33135.11</v>
      </c>
      <c r="R240" s="14">
        <v>33461.11</v>
      </c>
      <c r="S240" s="14" t="s">
        <v>33</v>
      </c>
      <c r="T240" s="14" t="s">
        <v>34</v>
      </c>
      <c r="U240" s="14" t="s">
        <v>46</v>
      </c>
      <c r="V240" s="14" t="s">
        <v>36</v>
      </c>
      <c r="W240" s="14" t="s">
        <v>37</v>
      </c>
      <c r="X240" s="14">
        <v>1</v>
      </c>
      <c r="Y240" s="14" t="s">
        <v>47</v>
      </c>
      <c r="Z240" s="14">
        <v>1</v>
      </c>
      <c r="AA240" s="14" t="s">
        <v>47</v>
      </c>
    </row>
    <row r="241" spans="1:27" x14ac:dyDescent="0.35">
      <c r="A241" s="14" t="s">
        <v>537</v>
      </c>
      <c r="B241" s="15">
        <v>45807</v>
      </c>
      <c r="C241" s="14" t="s">
        <v>387</v>
      </c>
      <c r="D241" s="14" t="s">
        <v>73</v>
      </c>
      <c r="E241" s="14" t="s">
        <v>43</v>
      </c>
      <c r="F241" s="14">
        <v>42</v>
      </c>
      <c r="G241" s="14" t="s">
        <v>99</v>
      </c>
      <c r="H241" s="14" t="s">
        <v>52</v>
      </c>
      <c r="I241" s="14" t="s">
        <v>99</v>
      </c>
      <c r="J241" s="14" t="s">
        <v>69</v>
      </c>
      <c r="K241" s="14">
        <v>2</v>
      </c>
      <c r="L241" s="14">
        <v>42034</v>
      </c>
      <c r="M241" s="14">
        <v>20</v>
      </c>
      <c r="N241" s="14">
        <v>16813.599999999999</v>
      </c>
      <c r="O241" s="14">
        <v>12105.79</v>
      </c>
      <c r="P241" s="14">
        <v>55</v>
      </c>
      <c r="Q241" s="14">
        <f t="shared" si="3"/>
        <v>79360.19</v>
      </c>
      <c r="R241" s="14">
        <v>79415.19</v>
      </c>
      <c r="S241" s="14" t="s">
        <v>33</v>
      </c>
      <c r="T241" s="14" t="s">
        <v>63</v>
      </c>
      <c r="U241" s="14" t="s">
        <v>76</v>
      </c>
      <c r="V241" s="14" t="s">
        <v>77</v>
      </c>
      <c r="W241" s="14" t="s">
        <v>57</v>
      </c>
      <c r="X241" s="14">
        <v>6</v>
      </c>
      <c r="Y241" s="14" t="s">
        <v>47</v>
      </c>
      <c r="Z241" s="14">
        <v>1</v>
      </c>
      <c r="AA241" s="14" t="s">
        <v>58</v>
      </c>
    </row>
    <row r="242" spans="1:27" x14ac:dyDescent="0.35">
      <c r="A242" s="14" t="s">
        <v>538</v>
      </c>
      <c r="B242" s="15">
        <v>45973</v>
      </c>
      <c r="C242" s="14" t="s">
        <v>539</v>
      </c>
      <c r="D242" s="14" t="s">
        <v>80</v>
      </c>
      <c r="E242" s="14" t="s">
        <v>29</v>
      </c>
      <c r="F242" s="14">
        <v>43</v>
      </c>
      <c r="G242" s="14" t="s">
        <v>51</v>
      </c>
      <c r="H242" s="14" t="s">
        <v>52</v>
      </c>
      <c r="I242" s="14" t="s">
        <v>51</v>
      </c>
      <c r="J242" s="14" t="s">
        <v>112</v>
      </c>
      <c r="K242" s="14">
        <v>2</v>
      </c>
      <c r="L242" s="14">
        <v>40255</v>
      </c>
      <c r="M242" s="14">
        <v>0</v>
      </c>
      <c r="N242" s="14">
        <v>0</v>
      </c>
      <c r="O242" s="14">
        <v>14491.8</v>
      </c>
      <c r="P242" s="14">
        <v>415</v>
      </c>
      <c r="Q242" s="14">
        <f t="shared" si="3"/>
        <v>95001.8</v>
      </c>
      <c r="R242" s="14">
        <v>95416.8</v>
      </c>
      <c r="S242" s="14" t="s">
        <v>83</v>
      </c>
      <c r="T242" s="14" t="s">
        <v>34</v>
      </c>
      <c r="U242" s="14" t="s">
        <v>70</v>
      </c>
      <c r="V242" s="14" t="s">
        <v>56</v>
      </c>
      <c r="W242" s="14" t="s">
        <v>57</v>
      </c>
      <c r="X242" s="14">
        <v>6</v>
      </c>
      <c r="Y242" s="14" t="s">
        <v>38</v>
      </c>
      <c r="Z242" s="14">
        <v>3</v>
      </c>
      <c r="AA242" s="14" t="s">
        <v>91</v>
      </c>
    </row>
    <row r="243" spans="1:27" x14ac:dyDescent="0.35">
      <c r="A243" s="14" t="s">
        <v>540</v>
      </c>
      <c r="B243" s="15">
        <v>45802</v>
      </c>
      <c r="C243" s="14" t="s">
        <v>541</v>
      </c>
      <c r="D243" s="14" t="s">
        <v>61</v>
      </c>
      <c r="E243" s="14" t="s">
        <v>43</v>
      </c>
      <c r="F243" s="14">
        <v>41</v>
      </c>
      <c r="G243" s="14" t="s">
        <v>30</v>
      </c>
      <c r="H243" s="14" t="s">
        <v>31</v>
      </c>
      <c r="I243" s="14" t="s">
        <v>30</v>
      </c>
      <c r="J243" s="14" t="s">
        <v>150</v>
      </c>
      <c r="K243" s="14">
        <v>2</v>
      </c>
      <c r="L243" s="14">
        <v>16819</v>
      </c>
      <c r="M243" s="14">
        <v>10</v>
      </c>
      <c r="N243" s="14">
        <v>3363.8</v>
      </c>
      <c r="O243" s="14">
        <v>5449.36</v>
      </c>
      <c r="P243" s="14">
        <v>185</v>
      </c>
      <c r="Q243" s="14">
        <f t="shared" si="3"/>
        <v>35723.56</v>
      </c>
      <c r="R243" s="14">
        <v>35908.559999999998</v>
      </c>
      <c r="S243" s="14" t="s">
        <v>33</v>
      </c>
      <c r="T243" s="14" t="s">
        <v>63</v>
      </c>
      <c r="U243" s="14" t="s">
        <v>46</v>
      </c>
      <c r="V243" s="14" t="s">
        <v>36</v>
      </c>
      <c r="W243" s="14" t="s">
        <v>37</v>
      </c>
      <c r="X243" s="14">
        <v>9</v>
      </c>
      <c r="Y243" s="14" t="s">
        <v>47</v>
      </c>
      <c r="Z243" s="14">
        <v>1</v>
      </c>
      <c r="AA243" s="14" t="s">
        <v>91</v>
      </c>
    </row>
    <row r="244" spans="1:27" x14ac:dyDescent="0.35">
      <c r="A244" s="14" t="s">
        <v>542</v>
      </c>
      <c r="B244" s="15">
        <v>46034</v>
      </c>
      <c r="C244" s="14" t="s">
        <v>543</v>
      </c>
      <c r="D244" s="14" t="s">
        <v>50</v>
      </c>
      <c r="E244" s="14" t="s">
        <v>43</v>
      </c>
      <c r="F244" s="14">
        <v>36</v>
      </c>
      <c r="G244" s="14" t="s">
        <v>30</v>
      </c>
      <c r="H244" s="14" t="s">
        <v>31</v>
      </c>
      <c r="I244" s="14" t="s">
        <v>30</v>
      </c>
      <c r="J244" s="14" t="s">
        <v>102</v>
      </c>
      <c r="K244" s="14">
        <v>5</v>
      </c>
      <c r="L244" s="14">
        <v>17749</v>
      </c>
      <c r="M244" s="14">
        <v>0</v>
      </c>
      <c r="N244" s="14">
        <v>0</v>
      </c>
      <c r="O244" s="14">
        <v>15974.1</v>
      </c>
      <c r="P244" s="14">
        <v>215</v>
      </c>
      <c r="Q244" s="14">
        <f t="shared" si="3"/>
        <v>104719.1</v>
      </c>
      <c r="R244" s="14">
        <v>104934.1</v>
      </c>
      <c r="S244" s="14" t="s">
        <v>45</v>
      </c>
      <c r="T244" s="14" t="s">
        <v>34</v>
      </c>
      <c r="U244" s="14" t="s">
        <v>76</v>
      </c>
      <c r="V244" s="14" t="s">
        <v>77</v>
      </c>
      <c r="W244" s="14" t="s">
        <v>57</v>
      </c>
      <c r="X244" s="14">
        <v>9</v>
      </c>
      <c r="Y244" s="14" t="s">
        <v>38</v>
      </c>
      <c r="Z244" s="14">
        <v>1</v>
      </c>
      <c r="AA244" s="14" t="s">
        <v>58</v>
      </c>
    </row>
    <row r="245" spans="1:27" x14ac:dyDescent="0.35">
      <c r="A245" s="14" t="s">
        <v>544</v>
      </c>
      <c r="B245" s="15">
        <v>45850</v>
      </c>
      <c r="C245" s="14" t="s">
        <v>545</v>
      </c>
      <c r="D245" s="14" t="s">
        <v>73</v>
      </c>
      <c r="E245" s="14" t="s">
        <v>29</v>
      </c>
      <c r="F245" s="14">
        <v>59</v>
      </c>
      <c r="G245" s="14" t="s">
        <v>99</v>
      </c>
      <c r="H245" s="14" t="s">
        <v>52</v>
      </c>
      <c r="I245" s="14" t="s">
        <v>99</v>
      </c>
      <c r="J245" s="14" t="s">
        <v>53</v>
      </c>
      <c r="K245" s="14">
        <v>1</v>
      </c>
      <c r="L245" s="14">
        <v>17819</v>
      </c>
      <c r="M245" s="14">
        <v>15</v>
      </c>
      <c r="N245" s="14">
        <v>2672.85</v>
      </c>
      <c r="O245" s="14">
        <v>2726.31</v>
      </c>
      <c r="P245" s="14">
        <v>350</v>
      </c>
      <c r="Q245" s="14">
        <f t="shared" si="3"/>
        <v>17872.46</v>
      </c>
      <c r="R245" s="14">
        <v>18222.46</v>
      </c>
      <c r="S245" s="14" t="s">
        <v>83</v>
      </c>
      <c r="T245" s="14" t="s">
        <v>63</v>
      </c>
      <c r="U245" s="14" t="s">
        <v>95</v>
      </c>
      <c r="V245" s="14" t="s">
        <v>96</v>
      </c>
      <c r="W245" s="14" t="s">
        <v>57</v>
      </c>
      <c r="X245" s="14">
        <v>4</v>
      </c>
      <c r="Y245" s="14" t="s">
        <v>47</v>
      </c>
      <c r="Z245" s="14">
        <v>3</v>
      </c>
      <c r="AA245" s="14" t="s">
        <v>91</v>
      </c>
    </row>
    <row r="246" spans="1:27" x14ac:dyDescent="0.35">
      <c r="A246" s="14" t="s">
        <v>546</v>
      </c>
      <c r="B246" s="15">
        <v>45873</v>
      </c>
      <c r="C246" s="14" t="s">
        <v>212</v>
      </c>
      <c r="D246" s="14" t="s">
        <v>66</v>
      </c>
      <c r="E246" s="14" t="s">
        <v>43</v>
      </c>
      <c r="F246" s="14">
        <v>30</v>
      </c>
      <c r="G246" s="14" t="s">
        <v>44</v>
      </c>
      <c r="H246" s="14" t="s">
        <v>31</v>
      </c>
      <c r="I246" s="14" t="s">
        <v>44</v>
      </c>
      <c r="J246" s="14" t="s">
        <v>202</v>
      </c>
      <c r="K246" s="14">
        <v>3</v>
      </c>
      <c r="L246" s="14">
        <v>34354</v>
      </c>
      <c r="M246" s="14">
        <v>5</v>
      </c>
      <c r="N246" s="14">
        <v>5153.1000000000004</v>
      </c>
      <c r="O246" s="14">
        <v>17623.599999999999</v>
      </c>
      <c r="P246" s="14">
        <v>57</v>
      </c>
      <c r="Q246" s="14">
        <f t="shared" si="3"/>
        <v>115532.5</v>
      </c>
      <c r="R246" s="14">
        <v>115589.5</v>
      </c>
      <c r="S246" s="14" t="s">
        <v>83</v>
      </c>
      <c r="T246" s="14" t="s">
        <v>63</v>
      </c>
      <c r="U246" s="14" t="s">
        <v>103</v>
      </c>
      <c r="V246" s="14" t="s">
        <v>103</v>
      </c>
      <c r="W246" s="14" t="s">
        <v>57</v>
      </c>
      <c r="X246" s="14">
        <v>3</v>
      </c>
      <c r="Y246" s="14" t="s">
        <v>47</v>
      </c>
      <c r="Z246" s="14">
        <v>3</v>
      </c>
      <c r="AA246" s="14" t="s">
        <v>58</v>
      </c>
    </row>
    <row r="247" spans="1:27" x14ac:dyDescent="0.35">
      <c r="A247" s="14" t="s">
        <v>547</v>
      </c>
      <c r="B247" s="15">
        <v>46084</v>
      </c>
      <c r="C247" s="14" t="s">
        <v>548</v>
      </c>
      <c r="D247" s="14" t="s">
        <v>73</v>
      </c>
      <c r="E247" s="14" t="s">
        <v>29</v>
      </c>
      <c r="F247" s="14">
        <v>52</v>
      </c>
      <c r="G247" s="14" t="s">
        <v>30</v>
      </c>
      <c r="H247" s="14" t="s">
        <v>31</v>
      </c>
      <c r="I247" s="14" t="s">
        <v>30</v>
      </c>
      <c r="J247" s="14" t="s">
        <v>202</v>
      </c>
      <c r="K247" s="14">
        <v>3</v>
      </c>
      <c r="L247" s="14">
        <v>20946</v>
      </c>
      <c r="M247" s="14">
        <v>20</v>
      </c>
      <c r="N247" s="14">
        <v>12567.6</v>
      </c>
      <c r="O247" s="14">
        <v>9048.67</v>
      </c>
      <c r="P247" s="14">
        <v>113</v>
      </c>
      <c r="Q247" s="14">
        <f t="shared" si="3"/>
        <v>59319.07</v>
      </c>
      <c r="R247" s="14">
        <v>59432.07</v>
      </c>
      <c r="S247" s="14" t="s">
        <v>33</v>
      </c>
      <c r="T247" s="14" t="s">
        <v>34</v>
      </c>
      <c r="U247" s="14" t="s">
        <v>55</v>
      </c>
      <c r="V247" s="14" t="s">
        <v>56</v>
      </c>
      <c r="W247" s="14" t="s">
        <v>57</v>
      </c>
      <c r="X247" s="14">
        <v>10</v>
      </c>
      <c r="Y247" s="14" t="s">
        <v>47</v>
      </c>
      <c r="Z247" s="14">
        <v>3</v>
      </c>
      <c r="AA247" s="14" t="s">
        <v>91</v>
      </c>
    </row>
    <row r="248" spans="1:27" x14ac:dyDescent="0.35">
      <c r="A248" s="14" t="s">
        <v>549</v>
      </c>
      <c r="B248" s="15">
        <v>45819</v>
      </c>
      <c r="C248" s="14" t="s">
        <v>550</v>
      </c>
      <c r="D248" s="14" t="s">
        <v>111</v>
      </c>
      <c r="E248" s="14" t="s">
        <v>43</v>
      </c>
      <c r="F248" s="14">
        <v>22</v>
      </c>
      <c r="G248" s="14" t="s">
        <v>74</v>
      </c>
      <c r="H248" s="14" t="s">
        <v>31</v>
      </c>
      <c r="I248" s="14" t="s">
        <v>74</v>
      </c>
      <c r="J248" s="14" t="s">
        <v>69</v>
      </c>
      <c r="K248" s="14">
        <v>5</v>
      </c>
      <c r="L248" s="14">
        <v>46655</v>
      </c>
      <c r="M248" s="14">
        <v>20</v>
      </c>
      <c r="N248" s="14">
        <v>46655</v>
      </c>
      <c r="O248" s="14">
        <v>33591.599999999999</v>
      </c>
      <c r="P248" s="14">
        <v>138</v>
      </c>
      <c r="Q248" s="14">
        <f t="shared" si="3"/>
        <v>220211.6</v>
      </c>
      <c r="R248" s="14">
        <v>220349.6</v>
      </c>
      <c r="S248" s="14" t="s">
        <v>54</v>
      </c>
      <c r="T248" s="14" t="s">
        <v>34</v>
      </c>
      <c r="U248" s="14" t="s">
        <v>55</v>
      </c>
      <c r="V248" s="14" t="s">
        <v>56</v>
      </c>
      <c r="W248" s="14" t="s">
        <v>57</v>
      </c>
      <c r="X248" s="14">
        <v>9</v>
      </c>
      <c r="Y248" s="14" t="s">
        <v>38</v>
      </c>
      <c r="Z248" s="14">
        <v>3</v>
      </c>
      <c r="AA248" s="14" t="s">
        <v>91</v>
      </c>
    </row>
    <row r="249" spans="1:27" x14ac:dyDescent="0.35">
      <c r="A249" s="14" t="s">
        <v>551</v>
      </c>
      <c r="B249" s="15">
        <v>46003</v>
      </c>
      <c r="C249" s="14" t="s">
        <v>552</v>
      </c>
      <c r="D249" s="14" t="s">
        <v>111</v>
      </c>
      <c r="E249" s="14" t="s">
        <v>43</v>
      </c>
      <c r="F249" s="14">
        <v>36</v>
      </c>
      <c r="G249" s="14" t="s">
        <v>99</v>
      </c>
      <c r="H249" s="14" t="s">
        <v>52</v>
      </c>
      <c r="I249" s="14" t="s">
        <v>99</v>
      </c>
      <c r="J249" s="14" t="s">
        <v>125</v>
      </c>
      <c r="K249" s="14">
        <v>4</v>
      </c>
      <c r="L249" s="14">
        <v>3168</v>
      </c>
      <c r="M249" s="14">
        <v>20</v>
      </c>
      <c r="N249" s="14">
        <v>2534.4</v>
      </c>
      <c r="O249" s="14">
        <v>1824.77</v>
      </c>
      <c r="P249" s="14">
        <v>447</v>
      </c>
      <c r="Q249" s="14">
        <f t="shared" si="3"/>
        <v>11962.37</v>
      </c>
      <c r="R249" s="14">
        <v>12409.37</v>
      </c>
      <c r="S249" s="14" t="s">
        <v>54</v>
      </c>
      <c r="T249" s="14" t="s">
        <v>63</v>
      </c>
      <c r="U249" s="14" t="s">
        <v>46</v>
      </c>
      <c r="V249" s="14" t="s">
        <v>36</v>
      </c>
      <c r="W249" s="14" t="s">
        <v>37</v>
      </c>
      <c r="X249" s="14">
        <v>9</v>
      </c>
      <c r="Y249" s="14" t="s">
        <v>47</v>
      </c>
      <c r="Z249" s="14">
        <v>3</v>
      </c>
      <c r="AA249" s="14" t="s">
        <v>91</v>
      </c>
    </row>
    <row r="250" spans="1:27" x14ac:dyDescent="0.35">
      <c r="A250" s="14" t="s">
        <v>553</v>
      </c>
      <c r="B250" s="15">
        <v>45869</v>
      </c>
      <c r="C250" s="14" t="s">
        <v>554</v>
      </c>
      <c r="D250" s="14" t="s">
        <v>73</v>
      </c>
      <c r="E250" s="14" t="s">
        <v>29</v>
      </c>
      <c r="F250" s="14">
        <v>38</v>
      </c>
      <c r="G250" s="14" t="s">
        <v>94</v>
      </c>
      <c r="H250" s="14" t="s">
        <v>31</v>
      </c>
      <c r="I250" s="14" t="s">
        <v>94</v>
      </c>
      <c r="J250" s="14" t="s">
        <v>125</v>
      </c>
      <c r="K250" s="14">
        <v>3</v>
      </c>
      <c r="L250" s="14">
        <v>13647</v>
      </c>
      <c r="M250" s="14">
        <v>20</v>
      </c>
      <c r="N250" s="14">
        <v>8188.2</v>
      </c>
      <c r="O250" s="14">
        <v>5895.5</v>
      </c>
      <c r="P250" s="14">
        <v>193</v>
      </c>
      <c r="Q250" s="14">
        <f t="shared" si="3"/>
        <v>38648.300000000003</v>
      </c>
      <c r="R250" s="14">
        <v>38841.300000000003</v>
      </c>
      <c r="S250" s="14" t="s">
        <v>45</v>
      </c>
      <c r="T250" s="14" t="s">
        <v>63</v>
      </c>
      <c r="U250" s="14" t="s">
        <v>46</v>
      </c>
      <c r="V250" s="14" t="s">
        <v>36</v>
      </c>
      <c r="W250" s="14" t="s">
        <v>37</v>
      </c>
      <c r="X250" s="14">
        <v>9</v>
      </c>
      <c r="Y250" s="14" t="s">
        <v>38</v>
      </c>
      <c r="Z250" s="14">
        <v>5</v>
      </c>
      <c r="AA250" s="14" t="s">
        <v>91</v>
      </c>
    </row>
    <row r="251" spans="1:27" x14ac:dyDescent="0.35">
      <c r="A251" s="14" t="s">
        <v>555</v>
      </c>
      <c r="B251" s="15">
        <v>45931</v>
      </c>
      <c r="C251" s="14" t="s">
        <v>556</v>
      </c>
      <c r="D251" s="14" t="s">
        <v>50</v>
      </c>
      <c r="E251" s="14" t="s">
        <v>29</v>
      </c>
      <c r="F251" s="14">
        <v>49</v>
      </c>
      <c r="G251" s="14" t="s">
        <v>94</v>
      </c>
      <c r="H251" s="14" t="s">
        <v>31</v>
      </c>
      <c r="I251" s="14" t="s">
        <v>94</v>
      </c>
      <c r="J251" s="14" t="s">
        <v>75</v>
      </c>
      <c r="K251" s="14">
        <v>3</v>
      </c>
      <c r="L251" s="14">
        <v>10903</v>
      </c>
      <c r="M251" s="14">
        <v>0</v>
      </c>
      <c r="N251" s="14">
        <v>0</v>
      </c>
      <c r="O251" s="14">
        <v>5887.62</v>
      </c>
      <c r="P251" s="14">
        <v>412</v>
      </c>
      <c r="Q251" s="14">
        <f t="shared" si="3"/>
        <v>38596.620000000003</v>
      </c>
      <c r="R251" s="14">
        <v>39008.620000000003</v>
      </c>
      <c r="S251" s="14" t="s">
        <v>83</v>
      </c>
      <c r="T251" s="14" t="s">
        <v>34</v>
      </c>
      <c r="U251" s="14" t="s">
        <v>95</v>
      </c>
      <c r="V251" s="14" t="s">
        <v>96</v>
      </c>
      <c r="W251" s="14" t="s">
        <v>57</v>
      </c>
      <c r="X251" s="14">
        <v>8</v>
      </c>
      <c r="Y251" s="14" t="s">
        <v>38</v>
      </c>
      <c r="Z251" s="14">
        <v>5</v>
      </c>
      <c r="AA251" s="14" t="s">
        <v>91</v>
      </c>
    </row>
    <row r="252" spans="1:27" x14ac:dyDescent="0.35">
      <c r="A252" s="14" t="s">
        <v>557</v>
      </c>
      <c r="B252" s="15">
        <v>45905</v>
      </c>
      <c r="C252" s="14" t="s">
        <v>558</v>
      </c>
      <c r="D252" s="14" t="s">
        <v>89</v>
      </c>
      <c r="E252" s="14" t="s">
        <v>43</v>
      </c>
      <c r="F252" s="14">
        <v>21</v>
      </c>
      <c r="G252" s="14" t="s">
        <v>94</v>
      </c>
      <c r="H252" s="14" t="s">
        <v>31</v>
      </c>
      <c r="I252" s="14" t="s">
        <v>94</v>
      </c>
      <c r="J252" s="14" t="s">
        <v>150</v>
      </c>
      <c r="K252" s="14">
        <v>4</v>
      </c>
      <c r="L252" s="14">
        <v>12320</v>
      </c>
      <c r="M252" s="14">
        <v>15</v>
      </c>
      <c r="N252" s="14">
        <v>7392</v>
      </c>
      <c r="O252" s="14">
        <v>7539.84</v>
      </c>
      <c r="P252" s="14">
        <v>154</v>
      </c>
      <c r="Q252" s="14">
        <f t="shared" si="3"/>
        <v>49427.839999999997</v>
      </c>
      <c r="R252" s="14">
        <v>49581.84</v>
      </c>
      <c r="S252" s="14" t="s">
        <v>33</v>
      </c>
      <c r="T252" s="14" t="s">
        <v>63</v>
      </c>
      <c r="U252" s="14" t="s">
        <v>95</v>
      </c>
      <c r="V252" s="14" t="s">
        <v>96</v>
      </c>
      <c r="W252" s="14" t="s">
        <v>57</v>
      </c>
      <c r="X252" s="14">
        <v>5</v>
      </c>
      <c r="Y252" s="14" t="s">
        <v>47</v>
      </c>
      <c r="Z252" s="14">
        <v>5</v>
      </c>
      <c r="AA252" s="14" t="s">
        <v>91</v>
      </c>
    </row>
    <row r="253" spans="1:27" x14ac:dyDescent="0.35">
      <c r="A253" s="14" t="s">
        <v>559</v>
      </c>
      <c r="B253" s="15">
        <v>45885</v>
      </c>
      <c r="C253" s="14" t="s">
        <v>560</v>
      </c>
      <c r="D253" s="14" t="s">
        <v>28</v>
      </c>
      <c r="E253" s="14" t="s">
        <v>43</v>
      </c>
      <c r="F253" s="14">
        <v>37</v>
      </c>
      <c r="G253" s="14" t="s">
        <v>99</v>
      </c>
      <c r="H253" s="14" t="s">
        <v>52</v>
      </c>
      <c r="I253" s="14" t="s">
        <v>99</v>
      </c>
      <c r="J253" s="14" t="s">
        <v>150</v>
      </c>
      <c r="K253" s="14">
        <v>1</v>
      </c>
      <c r="L253" s="14">
        <v>14063</v>
      </c>
      <c r="M253" s="14">
        <v>10</v>
      </c>
      <c r="N253" s="14">
        <v>1406.3</v>
      </c>
      <c r="O253" s="14">
        <v>2278.21</v>
      </c>
      <c r="P253" s="14">
        <v>103</v>
      </c>
      <c r="Q253" s="14">
        <f t="shared" si="3"/>
        <v>14934.91</v>
      </c>
      <c r="R253" s="14">
        <v>15037.91</v>
      </c>
      <c r="S253" s="14" t="s">
        <v>45</v>
      </c>
      <c r="T253" s="14" t="s">
        <v>63</v>
      </c>
      <c r="U253" s="14" t="s">
        <v>76</v>
      </c>
      <c r="V253" s="14" t="s">
        <v>77</v>
      </c>
      <c r="W253" s="14" t="s">
        <v>57</v>
      </c>
      <c r="X253" s="14">
        <v>2</v>
      </c>
      <c r="Y253" s="14" t="s">
        <v>47</v>
      </c>
      <c r="Z253" s="14">
        <v>1</v>
      </c>
      <c r="AA253" s="14" t="s">
        <v>91</v>
      </c>
    </row>
    <row r="254" spans="1:27" x14ac:dyDescent="0.35">
      <c r="A254" s="14" t="s">
        <v>561</v>
      </c>
      <c r="B254" s="15">
        <v>46065</v>
      </c>
      <c r="C254" s="14" t="s">
        <v>337</v>
      </c>
      <c r="D254" s="14" t="s">
        <v>108</v>
      </c>
      <c r="E254" s="14" t="s">
        <v>43</v>
      </c>
      <c r="F254" s="14">
        <v>45</v>
      </c>
      <c r="G254" s="14" t="s">
        <v>134</v>
      </c>
      <c r="H254" s="14" t="s">
        <v>31</v>
      </c>
      <c r="I254" s="14" t="s">
        <v>134</v>
      </c>
      <c r="J254" s="14" t="s">
        <v>125</v>
      </c>
      <c r="K254" s="14">
        <v>3</v>
      </c>
      <c r="L254" s="14">
        <v>38458</v>
      </c>
      <c r="M254" s="14">
        <v>0</v>
      </c>
      <c r="N254" s="14">
        <v>0</v>
      </c>
      <c r="O254" s="14">
        <v>20767.32</v>
      </c>
      <c r="P254" s="14">
        <v>484</v>
      </c>
      <c r="Q254" s="14">
        <f t="shared" si="3"/>
        <v>136141.32</v>
      </c>
      <c r="R254" s="14">
        <v>136625.32</v>
      </c>
      <c r="S254" s="14" t="s">
        <v>83</v>
      </c>
      <c r="T254" s="14" t="s">
        <v>63</v>
      </c>
      <c r="U254" s="14" t="s">
        <v>46</v>
      </c>
      <c r="V254" s="14" t="s">
        <v>36</v>
      </c>
      <c r="W254" s="14" t="s">
        <v>37</v>
      </c>
      <c r="X254" s="14">
        <v>4</v>
      </c>
      <c r="Y254" s="14" t="s">
        <v>38</v>
      </c>
      <c r="Z254" s="14">
        <v>1</v>
      </c>
      <c r="AA254" s="14" t="s">
        <v>91</v>
      </c>
    </row>
    <row r="255" spans="1:27" x14ac:dyDescent="0.35">
      <c r="A255" s="14" t="s">
        <v>562</v>
      </c>
      <c r="B255" s="15">
        <v>45790</v>
      </c>
      <c r="C255" s="14" t="s">
        <v>563</v>
      </c>
      <c r="D255" s="14" t="s">
        <v>80</v>
      </c>
      <c r="E255" s="14" t="s">
        <v>43</v>
      </c>
      <c r="F255" s="14">
        <v>40</v>
      </c>
      <c r="G255" s="14" t="s">
        <v>139</v>
      </c>
      <c r="H255" s="14" t="s">
        <v>31</v>
      </c>
      <c r="I255" s="14" t="s">
        <v>139</v>
      </c>
      <c r="J255" s="14" t="s">
        <v>75</v>
      </c>
      <c r="K255" s="14">
        <v>3</v>
      </c>
      <c r="L255" s="14">
        <v>2136</v>
      </c>
      <c r="M255" s="14">
        <v>0</v>
      </c>
      <c r="N255" s="14">
        <v>0</v>
      </c>
      <c r="O255" s="14">
        <v>1153.44</v>
      </c>
      <c r="P255" s="14">
        <v>388</v>
      </c>
      <c r="Q255" s="14">
        <f t="shared" si="3"/>
        <v>7561.44</v>
      </c>
      <c r="R255" s="14">
        <v>7949.44</v>
      </c>
      <c r="S255" s="14" t="s">
        <v>54</v>
      </c>
      <c r="T255" s="14" t="s">
        <v>63</v>
      </c>
      <c r="U255" s="14" t="s">
        <v>84</v>
      </c>
      <c r="V255" s="14" t="s">
        <v>85</v>
      </c>
      <c r="W255" s="14" t="s">
        <v>86</v>
      </c>
      <c r="X255" s="14">
        <v>9</v>
      </c>
      <c r="Y255" s="14" t="s">
        <v>38</v>
      </c>
      <c r="Z255" s="14">
        <v>5</v>
      </c>
      <c r="AA255" s="14" t="s">
        <v>47</v>
      </c>
    </row>
    <row r="256" spans="1:27" x14ac:dyDescent="0.35">
      <c r="A256" s="14" t="s">
        <v>564</v>
      </c>
      <c r="B256" s="15">
        <v>45879</v>
      </c>
      <c r="C256" s="14" t="s">
        <v>565</v>
      </c>
      <c r="D256" s="14" t="s">
        <v>73</v>
      </c>
      <c r="E256" s="14" t="s">
        <v>43</v>
      </c>
      <c r="F256" s="14">
        <v>50</v>
      </c>
      <c r="G256" s="14" t="s">
        <v>51</v>
      </c>
      <c r="H256" s="14" t="s">
        <v>52</v>
      </c>
      <c r="I256" s="14" t="s">
        <v>51</v>
      </c>
      <c r="J256" s="14" t="s">
        <v>32</v>
      </c>
      <c r="K256" s="14">
        <v>4</v>
      </c>
      <c r="L256" s="14">
        <v>6313</v>
      </c>
      <c r="M256" s="14">
        <v>20</v>
      </c>
      <c r="N256" s="14">
        <v>5050.3999999999996</v>
      </c>
      <c r="O256" s="14">
        <v>3636.29</v>
      </c>
      <c r="P256" s="14">
        <v>1</v>
      </c>
      <c r="Q256" s="14">
        <f t="shared" si="3"/>
        <v>23837.89</v>
      </c>
      <c r="R256" s="14">
        <v>23838.89</v>
      </c>
      <c r="S256" s="14" t="s">
        <v>54</v>
      </c>
      <c r="T256" s="14" t="s">
        <v>34</v>
      </c>
      <c r="U256" s="14" t="s">
        <v>95</v>
      </c>
      <c r="V256" s="14" t="s">
        <v>96</v>
      </c>
      <c r="W256" s="14" t="s">
        <v>57</v>
      </c>
      <c r="X256" s="14">
        <v>2</v>
      </c>
      <c r="Y256" s="14" t="s">
        <v>38</v>
      </c>
      <c r="Z256" s="14">
        <v>1</v>
      </c>
      <c r="AA256" s="14" t="s">
        <v>58</v>
      </c>
    </row>
    <row r="257" spans="1:27" x14ac:dyDescent="0.35">
      <c r="A257" s="14" t="s">
        <v>566</v>
      </c>
      <c r="B257" s="15">
        <v>46121</v>
      </c>
      <c r="C257" s="14" t="s">
        <v>567</v>
      </c>
      <c r="D257" s="14" t="s">
        <v>61</v>
      </c>
      <c r="E257" s="14" t="s">
        <v>43</v>
      </c>
      <c r="F257" s="14">
        <v>46</v>
      </c>
      <c r="G257" s="14" t="s">
        <v>134</v>
      </c>
      <c r="H257" s="14" t="s">
        <v>31</v>
      </c>
      <c r="I257" s="14" t="s">
        <v>134</v>
      </c>
      <c r="J257" s="14" t="s">
        <v>75</v>
      </c>
      <c r="K257" s="14">
        <v>4</v>
      </c>
      <c r="L257" s="14">
        <v>26827</v>
      </c>
      <c r="M257" s="14">
        <v>5</v>
      </c>
      <c r="N257" s="14">
        <v>5365.4</v>
      </c>
      <c r="O257" s="14">
        <v>18349.669999999998</v>
      </c>
      <c r="P257" s="14">
        <v>70</v>
      </c>
      <c r="Q257" s="14">
        <f t="shared" si="3"/>
        <v>120292.27</v>
      </c>
      <c r="R257" s="14">
        <v>120362.27</v>
      </c>
      <c r="S257" s="14" t="s">
        <v>54</v>
      </c>
      <c r="T257" s="14" t="s">
        <v>34</v>
      </c>
      <c r="U257" s="14" t="s">
        <v>84</v>
      </c>
      <c r="V257" s="14" t="s">
        <v>85</v>
      </c>
      <c r="W257" s="14" t="s">
        <v>86</v>
      </c>
      <c r="X257" s="14">
        <v>5</v>
      </c>
      <c r="Y257" s="14" t="s">
        <v>38</v>
      </c>
      <c r="Z257" s="14">
        <v>2</v>
      </c>
      <c r="AA257" s="14" t="s">
        <v>91</v>
      </c>
    </row>
    <row r="258" spans="1:27" x14ac:dyDescent="0.35">
      <c r="A258" s="14" t="s">
        <v>568</v>
      </c>
      <c r="B258" s="15">
        <v>45876</v>
      </c>
      <c r="C258" s="14" t="s">
        <v>569</v>
      </c>
      <c r="D258" s="14" t="s">
        <v>89</v>
      </c>
      <c r="E258" s="14" t="s">
        <v>29</v>
      </c>
      <c r="F258" s="14">
        <v>44</v>
      </c>
      <c r="G258" s="14" t="s">
        <v>99</v>
      </c>
      <c r="H258" s="14" t="s">
        <v>52</v>
      </c>
      <c r="I258" s="14" t="s">
        <v>99</v>
      </c>
      <c r="J258" s="14" t="s">
        <v>75</v>
      </c>
      <c r="K258" s="14">
        <v>4</v>
      </c>
      <c r="L258" s="14">
        <v>20044</v>
      </c>
      <c r="M258" s="14">
        <v>10</v>
      </c>
      <c r="N258" s="14">
        <v>8017.6</v>
      </c>
      <c r="O258" s="14">
        <v>12988.51</v>
      </c>
      <c r="P258" s="14">
        <v>449</v>
      </c>
      <c r="Q258" s="14">
        <f t="shared" si="3"/>
        <v>85146.91</v>
      </c>
      <c r="R258" s="14">
        <v>85595.91</v>
      </c>
      <c r="S258" s="14" t="s">
        <v>45</v>
      </c>
      <c r="T258" s="14" t="s">
        <v>63</v>
      </c>
      <c r="U258" s="14" t="s">
        <v>103</v>
      </c>
      <c r="V258" s="14" t="s">
        <v>103</v>
      </c>
      <c r="W258" s="14" t="s">
        <v>57</v>
      </c>
      <c r="X258" s="14">
        <v>4</v>
      </c>
      <c r="Y258" s="14" t="s">
        <v>47</v>
      </c>
      <c r="Z258" s="14">
        <v>5</v>
      </c>
      <c r="AA258" s="14" t="s">
        <v>58</v>
      </c>
    </row>
    <row r="259" spans="1:27" x14ac:dyDescent="0.35">
      <c r="A259" s="14" t="s">
        <v>570</v>
      </c>
      <c r="B259" s="15">
        <v>45934</v>
      </c>
      <c r="C259" s="14" t="s">
        <v>571</v>
      </c>
      <c r="D259" s="14" t="s">
        <v>108</v>
      </c>
      <c r="E259" s="14" t="s">
        <v>29</v>
      </c>
      <c r="F259" s="14">
        <v>60</v>
      </c>
      <c r="G259" s="14" t="s">
        <v>139</v>
      </c>
      <c r="H259" s="14" t="s">
        <v>31</v>
      </c>
      <c r="I259" s="14" t="s">
        <v>139</v>
      </c>
      <c r="J259" s="14" t="s">
        <v>202</v>
      </c>
      <c r="K259" s="14">
        <v>5</v>
      </c>
      <c r="L259" s="14">
        <v>2751</v>
      </c>
      <c r="M259" s="14">
        <v>20</v>
      </c>
      <c r="N259" s="14">
        <v>2751</v>
      </c>
      <c r="O259" s="14">
        <v>1980.72</v>
      </c>
      <c r="P259" s="14">
        <v>347</v>
      </c>
      <c r="Q259" s="14">
        <f t="shared" ref="Q259:Q322" si="4">R259-P259</f>
        <v>12984.72</v>
      </c>
      <c r="R259" s="14">
        <v>13331.72</v>
      </c>
      <c r="S259" s="14" t="s">
        <v>33</v>
      </c>
      <c r="T259" s="14" t="s">
        <v>34</v>
      </c>
      <c r="U259" s="14" t="s">
        <v>84</v>
      </c>
      <c r="V259" s="14" t="s">
        <v>85</v>
      </c>
      <c r="W259" s="14" t="s">
        <v>86</v>
      </c>
      <c r="X259" s="14">
        <v>5</v>
      </c>
      <c r="Y259" s="14" t="s">
        <v>38</v>
      </c>
      <c r="Z259" s="14">
        <v>5</v>
      </c>
      <c r="AA259" s="14" t="s">
        <v>39</v>
      </c>
    </row>
    <row r="260" spans="1:27" x14ac:dyDescent="0.35">
      <c r="A260" s="14" t="s">
        <v>572</v>
      </c>
      <c r="B260" s="15">
        <v>46001</v>
      </c>
      <c r="C260" s="14" t="s">
        <v>573</v>
      </c>
      <c r="D260" s="14" t="s">
        <v>50</v>
      </c>
      <c r="E260" s="14" t="s">
        <v>29</v>
      </c>
      <c r="F260" s="14">
        <v>28</v>
      </c>
      <c r="G260" s="14" t="s">
        <v>30</v>
      </c>
      <c r="H260" s="14" t="s">
        <v>31</v>
      </c>
      <c r="I260" s="14" t="s">
        <v>30</v>
      </c>
      <c r="J260" s="14" t="s">
        <v>150</v>
      </c>
      <c r="K260" s="14">
        <v>4</v>
      </c>
      <c r="L260" s="14">
        <v>5599</v>
      </c>
      <c r="M260" s="14">
        <v>20</v>
      </c>
      <c r="N260" s="14">
        <v>4479.2</v>
      </c>
      <c r="O260" s="14">
        <v>3225.02</v>
      </c>
      <c r="P260" s="14">
        <v>479</v>
      </c>
      <c r="Q260" s="14">
        <f t="shared" si="4"/>
        <v>21141.82</v>
      </c>
      <c r="R260" s="14">
        <v>21620.82</v>
      </c>
      <c r="S260" s="14" t="s">
        <v>33</v>
      </c>
      <c r="T260" s="14" t="s">
        <v>34</v>
      </c>
      <c r="U260" s="14" t="s">
        <v>84</v>
      </c>
      <c r="V260" s="14" t="s">
        <v>85</v>
      </c>
      <c r="W260" s="14" t="s">
        <v>86</v>
      </c>
      <c r="X260" s="14">
        <v>4</v>
      </c>
      <c r="Y260" s="14" t="s">
        <v>47</v>
      </c>
      <c r="Z260" s="14">
        <v>5</v>
      </c>
      <c r="AA260" s="14" t="s">
        <v>91</v>
      </c>
    </row>
    <row r="261" spans="1:27" x14ac:dyDescent="0.35">
      <c r="A261" s="14" t="s">
        <v>574</v>
      </c>
      <c r="B261" s="15">
        <v>45937</v>
      </c>
      <c r="C261" s="14" t="s">
        <v>575</v>
      </c>
      <c r="D261" s="14" t="s">
        <v>61</v>
      </c>
      <c r="E261" s="14" t="s">
        <v>43</v>
      </c>
      <c r="F261" s="14">
        <v>42</v>
      </c>
      <c r="G261" s="14" t="s">
        <v>51</v>
      </c>
      <c r="H261" s="14" t="s">
        <v>52</v>
      </c>
      <c r="I261" s="14" t="s">
        <v>51</v>
      </c>
      <c r="J261" s="14" t="s">
        <v>202</v>
      </c>
      <c r="K261" s="14">
        <v>1</v>
      </c>
      <c r="L261" s="14">
        <v>13659</v>
      </c>
      <c r="M261" s="14">
        <v>20</v>
      </c>
      <c r="N261" s="14">
        <v>2731.8</v>
      </c>
      <c r="O261" s="14">
        <v>1966.9</v>
      </c>
      <c r="P261" s="14">
        <v>370</v>
      </c>
      <c r="Q261" s="14">
        <f t="shared" si="4"/>
        <v>12894.1</v>
      </c>
      <c r="R261" s="14">
        <v>13264.1</v>
      </c>
      <c r="S261" s="14" t="s">
        <v>54</v>
      </c>
      <c r="T261" s="14" t="s">
        <v>63</v>
      </c>
      <c r="U261" s="14" t="s">
        <v>46</v>
      </c>
      <c r="V261" s="14" t="s">
        <v>36</v>
      </c>
      <c r="W261" s="14" t="s">
        <v>37</v>
      </c>
      <c r="X261" s="14">
        <v>2</v>
      </c>
      <c r="Y261" s="14" t="s">
        <v>38</v>
      </c>
      <c r="Z261" s="14">
        <v>1</v>
      </c>
      <c r="AA261" s="14" t="s">
        <v>91</v>
      </c>
    </row>
    <row r="262" spans="1:27" x14ac:dyDescent="0.35">
      <c r="A262" s="14" t="s">
        <v>576</v>
      </c>
      <c r="B262" s="15">
        <v>46034</v>
      </c>
      <c r="C262" s="14" t="s">
        <v>577</v>
      </c>
      <c r="D262" s="14" t="s">
        <v>108</v>
      </c>
      <c r="E262" s="14" t="s">
        <v>29</v>
      </c>
      <c r="F262" s="14">
        <v>41</v>
      </c>
      <c r="G262" s="14" t="s">
        <v>94</v>
      </c>
      <c r="H262" s="14" t="s">
        <v>31</v>
      </c>
      <c r="I262" s="14" t="s">
        <v>94</v>
      </c>
      <c r="J262" s="14" t="s">
        <v>125</v>
      </c>
      <c r="K262" s="14">
        <v>3</v>
      </c>
      <c r="L262" s="14">
        <v>35927</v>
      </c>
      <c r="M262" s="14">
        <v>15</v>
      </c>
      <c r="N262" s="14">
        <v>16167.15</v>
      </c>
      <c r="O262" s="14">
        <v>16490.490000000002</v>
      </c>
      <c r="P262" s="14">
        <v>110</v>
      </c>
      <c r="Q262" s="14">
        <f t="shared" si="4"/>
        <v>108104.34</v>
      </c>
      <c r="R262" s="14">
        <v>108214.34</v>
      </c>
      <c r="S262" s="14" t="s">
        <v>45</v>
      </c>
      <c r="T262" s="14" t="s">
        <v>34</v>
      </c>
      <c r="U262" s="14" t="s">
        <v>55</v>
      </c>
      <c r="V262" s="14" t="s">
        <v>56</v>
      </c>
      <c r="W262" s="14" t="s">
        <v>57</v>
      </c>
      <c r="X262" s="14">
        <v>1</v>
      </c>
      <c r="Y262" s="14" t="s">
        <v>38</v>
      </c>
      <c r="Z262" s="14">
        <v>2</v>
      </c>
      <c r="AA262" s="14" t="s">
        <v>39</v>
      </c>
    </row>
    <row r="263" spans="1:27" x14ac:dyDescent="0.35">
      <c r="A263" s="14" t="s">
        <v>578</v>
      </c>
      <c r="B263" s="15">
        <v>45870</v>
      </c>
      <c r="C263" s="14" t="s">
        <v>579</v>
      </c>
      <c r="D263" s="14" t="s">
        <v>28</v>
      </c>
      <c r="E263" s="14" t="s">
        <v>29</v>
      </c>
      <c r="F263" s="14">
        <v>51</v>
      </c>
      <c r="G263" s="14" t="s">
        <v>51</v>
      </c>
      <c r="H263" s="14" t="s">
        <v>52</v>
      </c>
      <c r="I263" s="14" t="s">
        <v>51</v>
      </c>
      <c r="J263" s="14" t="s">
        <v>125</v>
      </c>
      <c r="K263" s="14">
        <v>2</v>
      </c>
      <c r="L263" s="14">
        <v>8718</v>
      </c>
      <c r="M263" s="14">
        <v>5</v>
      </c>
      <c r="N263" s="14">
        <v>871.8</v>
      </c>
      <c r="O263" s="14">
        <v>2981.56</v>
      </c>
      <c r="P263" s="14">
        <v>320</v>
      </c>
      <c r="Q263" s="14">
        <f t="shared" si="4"/>
        <v>19545.759999999998</v>
      </c>
      <c r="R263" s="14">
        <v>19865.759999999998</v>
      </c>
      <c r="S263" s="14" t="s">
        <v>54</v>
      </c>
      <c r="T263" s="14" t="s">
        <v>34</v>
      </c>
      <c r="U263" s="14" t="s">
        <v>55</v>
      </c>
      <c r="V263" s="14" t="s">
        <v>56</v>
      </c>
      <c r="W263" s="14" t="s">
        <v>57</v>
      </c>
      <c r="X263" s="14">
        <v>9</v>
      </c>
      <c r="Y263" s="14" t="s">
        <v>38</v>
      </c>
      <c r="Z263" s="14">
        <v>3</v>
      </c>
      <c r="AA263" s="14" t="s">
        <v>58</v>
      </c>
    </row>
    <row r="264" spans="1:27" x14ac:dyDescent="0.35">
      <c r="A264" s="14" t="s">
        <v>580</v>
      </c>
      <c r="B264" s="15">
        <v>45943</v>
      </c>
      <c r="C264" s="14" t="s">
        <v>581</v>
      </c>
      <c r="D264" s="14" t="s">
        <v>89</v>
      </c>
      <c r="E264" s="14" t="s">
        <v>29</v>
      </c>
      <c r="F264" s="14">
        <v>50</v>
      </c>
      <c r="G264" s="14" t="s">
        <v>94</v>
      </c>
      <c r="H264" s="14" t="s">
        <v>31</v>
      </c>
      <c r="I264" s="14" t="s">
        <v>94</v>
      </c>
      <c r="J264" s="14" t="s">
        <v>150</v>
      </c>
      <c r="K264" s="14">
        <v>4</v>
      </c>
      <c r="L264" s="14">
        <v>10032</v>
      </c>
      <c r="M264" s="14">
        <v>5</v>
      </c>
      <c r="N264" s="14">
        <v>2006.4</v>
      </c>
      <c r="O264" s="14">
        <v>6861.89</v>
      </c>
      <c r="P264" s="14">
        <v>42</v>
      </c>
      <c r="Q264" s="14">
        <f t="shared" si="4"/>
        <v>44983.49</v>
      </c>
      <c r="R264" s="14">
        <v>45025.49</v>
      </c>
      <c r="S264" s="14" t="s">
        <v>33</v>
      </c>
      <c r="T264" s="14" t="s">
        <v>34</v>
      </c>
      <c r="U264" s="14" t="s">
        <v>70</v>
      </c>
      <c r="V264" s="14" t="s">
        <v>56</v>
      </c>
      <c r="W264" s="14" t="s">
        <v>57</v>
      </c>
      <c r="X264" s="14">
        <v>3</v>
      </c>
      <c r="Y264" s="14" t="s">
        <v>38</v>
      </c>
      <c r="Z264" s="14">
        <v>3</v>
      </c>
      <c r="AA264" s="14" t="s">
        <v>47</v>
      </c>
    </row>
    <row r="265" spans="1:27" x14ac:dyDescent="0.35">
      <c r="A265" s="14" t="s">
        <v>582</v>
      </c>
      <c r="B265" s="15">
        <v>46033</v>
      </c>
      <c r="C265" s="14" t="s">
        <v>583</v>
      </c>
      <c r="D265" s="14" t="s">
        <v>42</v>
      </c>
      <c r="E265" s="14" t="s">
        <v>43</v>
      </c>
      <c r="F265" s="14">
        <v>59</v>
      </c>
      <c r="G265" s="14" t="s">
        <v>90</v>
      </c>
      <c r="H265" s="14" t="s">
        <v>31</v>
      </c>
      <c r="I265" s="14" t="s">
        <v>90</v>
      </c>
      <c r="J265" s="14" t="s">
        <v>32</v>
      </c>
      <c r="K265" s="14">
        <v>4</v>
      </c>
      <c r="L265" s="14">
        <v>9542</v>
      </c>
      <c r="M265" s="14">
        <v>20</v>
      </c>
      <c r="N265" s="14">
        <v>7633.6</v>
      </c>
      <c r="O265" s="14">
        <v>5496.19</v>
      </c>
      <c r="P265" s="14">
        <v>372</v>
      </c>
      <c r="Q265" s="14">
        <f t="shared" si="4"/>
        <v>36030.589999999997</v>
      </c>
      <c r="R265" s="14">
        <v>36402.589999999997</v>
      </c>
      <c r="S265" s="14" t="s">
        <v>45</v>
      </c>
      <c r="T265" s="14" t="s">
        <v>63</v>
      </c>
      <c r="U265" s="14" t="s">
        <v>95</v>
      </c>
      <c r="V265" s="14" t="s">
        <v>96</v>
      </c>
      <c r="W265" s="14" t="s">
        <v>57</v>
      </c>
      <c r="X265" s="14">
        <v>10</v>
      </c>
      <c r="Y265" s="14" t="s">
        <v>47</v>
      </c>
      <c r="Z265" s="14">
        <v>3</v>
      </c>
      <c r="AA265" s="14" t="s">
        <v>91</v>
      </c>
    </row>
    <row r="266" spans="1:27" x14ac:dyDescent="0.35">
      <c r="A266" s="14" t="s">
        <v>584</v>
      </c>
      <c r="B266" s="15">
        <v>46009</v>
      </c>
      <c r="C266" s="14" t="s">
        <v>333</v>
      </c>
      <c r="D266" s="14" t="s">
        <v>111</v>
      </c>
      <c r="E266" s="14" t="s">
        <v>29</v>
      </c>
      <c r="F266" s="14">
        <v>41</v>
      </c>
      <c r="G266" s="14" t="s">
        <v>74</v>
      </c>
      <c r="H266" s="14" t="s">
        <v>31</v>
      </c>
      <c r="I266" s="14" t="s">
        <v>74</v>
      </c>
      <c r="J266" s="14" t="s">
        <v>150</v>
      </c>
      <c r="K266" s="14">
        <v>1</v>
      </c>
      <c r="L266" s="14">
        <v>9992</v>
      </c>
      <c r="M266" s="14">
        <v>10</v>
      </c>
      <c r="N266" s="14">
        <v>999.2</v>
      </c>
      <c r="O266" s="14">
        <v>1618.7</v>
      </c>
      <c r="P266" s="14">
        <v>323</v>
      </c>
      <c r="Q266" s="14">
        <f t="shared" si="4"/>
        <v>10611.5</v>
      </c>
      <c r="R266" s="14">
        <v>10934.5</v>
      </c>
      <c r="S266" s="14" t="s">
        <v>33</v>
      </c>
      <c r="T266" s="14" t="s">
        <v>63</v>
      </c>
      <c r="U266" s="14" t="s">
        <v>103</v>
      </c>
      <c r="V266" s="14" t="s">
        <v>103</v>
      </c>
      <c r="W266" s="14" t="s">
        <v>57</v>
      </c>
      <c r="X266" s="14">
        <v>10</v>
      </c>
      <c r="Y266" s="14" t="s">
        <v>47</v>
      </c>
      <c r="Z266" s="14">
        <v>4</v>
      </c>
      <c r="AA266" s="14" t="s">
        <v>58</v>
      </c>
    </row>
    <row r="267" spans="1:27" x14ac:dyDescent="0.35">
      <c r="A267" s="14" t="s">
        <v>585</v>
      </c>
      <c r="B267" s="15">
        <v>45940</v>
      </c>
      <c r="C267" s="14" t="s">
        <v>586</v>
      </c>
      <c r="D267" s="14" t="s">
        <v>108</v>
      </c>
      <c r="E267" s="14" t="s">
        <v>43</v>
      </c>
      <c r="F267" s="14">
        <v>25</v>
      </c>
      <c r="G267" s="14" t="s">
        <v>67</v>
      </c>
      <c r="H267" s="14" t="s">
        <v>68</v>
      </c>
      <c r="I267" s="14" t="s">
        <v>67</v>
      </c>
      <c r="J267" s="14" t="s">
        <v>112</v>
      </c>
      <c r="K267" s="14">
        <v>2</v>
      </c>
      <c r="L267" s="14">
        <v>2594</v>
      </c>
      <c r="M267" s="14">
        <v>5</v>
      </c>
      <c r="N267" s="14">
        <v>259.39999999999998</v>
      </c>
      <c r="O267" s="14">
        <v>887.15</v>
      </c>
      <c r="P267" s="14">
        <v>259</v>
      </c>
      <c r="Q267" s="14">
        <f t="shared" si="4"/>
        <v>5815.75</v>
      </c>
      <c r="R267" s="14">
        <v>6074.75</v>
      </c>
      <c r="S267" s="14" t="s">
        <v>83</v>
      </c>
      <c r="T267" s="14" t="s">
        <v>34</v>
      </c>
      <c r="U267" s="14" t="s">
        <v>76</v>
      </c>
      <c r="V267" s="14" t="s">
        <v>77</v>
      </c>
      <c r="W267" s="14" t="s">
        <v>57</v>
      </c>
      <c r="X267" s="14">
        <v>10</v>
      </c>
      <c r="Y267" s="14" t="s">
        <v>47</v>
      </c>
      <c r="Z267" s="14">
        <v>5</v>
      </c>
      <c r="AA267" s="14" t="s">
        <v>47</v>
      </c>
    </row>
    <row r="268" spans="1:27" x14ac:dyDescent="0.35">
      <c r="A268" s="14" t="s">
        <v>587</v>
      </c>
      <c r="B268" s="15">
        <v>46121</v>
      </c>
      <c r="C268" s="14" t="s">
        <v>588</v>
      </c>
      <c r="D268" s="14" t="s">
        <v>80</v>
      </c>
      <c r="E268" s="14" t="s">
        <v>43</v>
      </c>
      <c r="F268" s="14">
        <v>27</v>
      </c>
      <c r="G268" s="14" t="s">
        <v>51</v>
      </c>
      <c r="H268" s="14" t="s">
        <v>52</v>
      </c>
      <c r="I268" s="14" t="s">
        <v>51</v>
      </c>
      <c r="J268" s="14" t="s">
        <v>75</v>
      </c>
      <c r="K268" s="14">
        <v>3</v>
      </c>
      <c r="L268" s="14">
        <v>33711</v>
      </c>
      <c r="M268" s="14">
        <v>15</v>
      </c>
      <c r="N268" s="14">
        <v>15169.95</v>
      </c>
      <c r="O268" s="14">
        <v>15473.35</v>
      </c>
      <c r="P268" s="14">
        <v>84</v>
      </c>
      <c r="Q268" s="14">
        <f t="shared" si="4"/>
        <v>101436.4</v>
      </c>
      <c r="R268" s="14">
        <v>101520.4</v>
      </c>
      <c r="S268" s="14" t="s">
        <v>33</v>
      </c>
      <c r="T268" s="14" t="s">
        <v>34</v>
      </c>
      <c r="U268" s="14" t="s">
        <v>84</v>
      </c>
      <c r="V268" s="14" t="s">
        <v>85</v>
      </c>
      <c r="W268" s="14" t="s">
        <v>86</v>
      </c>
      <c r="X268" s="14">
        <v>6</v>
      </c>
      <c r="Y268" s="14" t="s">
        <v>47</v>
      </c>
      <c r="Z268" s="14">
        <v>5</v>
      </c>
      <c r="AA268" s="14" t="s">
        <v>39</v>
      </c>
    </row>
    <row r="269" spans="1:27" x14ac:dyDescent="0.35">
      <c r="A269" s="14" t="s">
        <v>589</v>
      </c>
      <c r="B269" s="15">
        <v>45821</v>
      </c>
      <c r="C269" s="14" t="s">
        <v>145</v>
      </c>
      <c r="D269" s="14" t="s">
        <v>66</v>
      </c>
      <c r="E269" s="14" t="s">
        <v>29</v>
      </c>
      <c r="F269" s="14">
        <v>41</v>
      </c>
      <c r="G269" s="14" t="s">
        <v>94</v>
      </c>
      <c r="H269" s="14" t="s">
        <v>31</v>
      </c>
      <c r="I269" s="14" t="s">
        <v>94</v>
      </c>
      <c r="J269" s="14" t="s">
        <v>62</v>
      </c>
      <c r="K269" s="14">
        <v>5</v>
      </c>
      <c r="L269" s="14">
        <v>28384</v>
      </c>
      <c r="M269" s="14">
        <v>20</v>
      </c>
      <c r="N269" s="14">
        <v>28384</v>
      </c>
      <c r="O269" s="14">
        <v>20436.48</v>
      </c>
      <c r="P269" s="14">
        <v>302</v>
      </c>
      <c r="Q269" s="14">
        <f t="shared" si="4"/>
        <v>133972.48000000001</v>
      </c>
      <c r="R269" s="14">
        <v>134274.48000000001</v>
      </c>
      <c r="S269" s="14" t="s">
        <v>33</v>
      </c>
      <c r="T269" s="14" t="s">
        <v>63</v>
      </c>
      <c r="U269" s="14" t="s">
        <v>76</v>
      </c>
      <c r="V269" s="14" t="s">
        <v>77</v>
      </c>
      <c r="W269" s="14" t="s">
        <v>57</v>
      </c>
      <c r="X269" s="14">
        <v>7</v>
      </c>
      <c r="Y269" s="14" t="s">
        <v>38</v>
      </c>
      <c r="Z269" s="14">
        <v>3</v>
      </c>
      <c r="AA269" s="14" t="s">
        <v>47</v>
      </c>
    </row>
    <row r="270" spans="1:27" x14ac:dyDescent="0.35">
      <c r="A270" s="14" t="s">
        <v>590</v>
      </c>
      <c r="B270" s="15">
        <v>46092</v>
      </c>
      <c r="C270" s="14" t="s">
        <v>591</v>
      </c>
      <c r="D270" s="14" t="s">
        <v>89</v>
      </c>
      <c r="E270" s="14" t="s">
        <v>43</v>
      </c>
      <c r="F270" s="14">
        <v>29</v>
      </c>
      <c r="G270" s="14" t="s">
        <v>51</v>
      </c>
      <c r="H270" s="14" t="s">
        <v>52</v>
      </c>
      <c r="I270" s="14" t="s">
        <v>51</v>
      </c>
      <c r="J270" s="14" t="s">
        <v>69</v>
      </c>
      <c r="K270" s="14">
        <v>3</v>
      </c>
      <c r="L270" s="14">
        <v>35019</v>
      </c>
      <c r="M270" s="14">
        <v>15</v>
      </c>
      <c r="N270" s="14">
        <v>15758.55</v>
      </c>
      <c r="O270" s="14">
        <v>16073.72</v>
      </c>
      <c r="P270" s="14">
        <v>151</v>
      </c>
      <c r="Q270" s="14">
        <f t="shared" si="4"/>
        <v>105372.17</v>
      </c>
      <c r="R270" s="14">
        <v>105523.17</v>
      </c>
      <c r="S270" s="14" t="s">
        <v>83</v>
      </c>
      <c r="T270" s="14" t="s">
        <v>63</v>
      </c>
      <c r="U270" s="14" t="s">
        <v>103</v>
      </c>
      <c r="V270" s="14" t="s">
        <v>103</v>
      </c>
      <c r="W270" s="14" t="s">
        <v>57</v>
      </c>
      <c r="X270" s="14">
        <v>3</v>
      </c>
      <c r="Y270" s="14" t="s">
        <v>38</v>
      </c>
      <c r="Z270" s="14">
        <v>5</v>
      </c>
      <c r="AA270" s="14" t="s">
        <v>58</v>
      </c>
    </row>
    <row r="271" spans="1:27" x14ac:dyDescent="0.35">
      <c r="A271" s="14" t="s">
        <v>592</v>
      </c>
      <c r="B271" s="15">
        <v>45800</v>
      </c>
      <c r="C271" s="14" t="s">
        <v>593</v>
      </c>
      <c r="D271" s="14" t="s">
        <v>108</v>
      </c>
      <c r="E271" s="14" t="s">
        <v>43</v>
      </c>
      <c r="F271" s="14">
        <v>59</v>
      </c>
      <c r="G271" s="14" t="s">
        <v>30</v>
      </c>
      <c r="H271" s="14" t="s">
        <v>31</v>
      </c>
      <c r="I271" s="14" t="s">
        <v>30</v>
      </c>
      <c r="J271" s="14" t="s">
        <v>32</v>
      </c>
      <c r="K271" s="14">
        <v>3</v>
      </c>
      <c r="L271" s="14">
        <v>19289</v>
      </c>
      <c r="M271" s="14">
        <v>10</v>
      </c>
      <c r="N271" s="14">
        <v>5786.7</v>
      </c>
      <c r="O271" s="14">
        <v>9374.4500000000007</v>
      </c>
      <c r="P271" s="14">
        <v>261</v>
      </c>
      <c r="Q271" s="14">
        <f t="shared" si="4"/>
        <v>61454.75</v>
      </c>
      <c r="R271" s="14">
        <v>61715.75</v>
      </c>
      <c r="S271" s="14" t="s">
        <v>33</v>
      </c>
      <c r="T271" s="14" t="s">
        <v>34</v>
      </c>
      <c r="U271" s="14" t="s">
        <v>46</v>
      </c>
      <c r="V271" s="14" t="s">
        <v>36</v>
      </c>
      <c r="W271" s="14" t="s">
        <v>37</v>
      </c>
      <c r="X271" s="14">
        <v>4</v>
      </c>
      <c r="Y271" s="14" t="s">
        <v>38</v>
      </c>
      <c r="Z271" s="14">
        <v>3</v>
      </c>
      <c r="AA271" s="14" t="s">
        <v>39</v>
      </c>
    </row>
    <row r="272" spans="1:27" x14ac:dyDescent="0.35">
      <c r="A272" s="14" t="s">
        <v>594</v>
      </c>
      <c r="B272" s="15">
        <v>46015</v>
      </c>
      <c r="C272" s="14" t="s">
        <v>424</v>
      </c>
      <c r="D272" s="14" t="s">
        <v>66</v>
      </c>
      <c r="E272" s="14" t="s">
        <v>29</v>
      </c>
      <c r="F272" s="14">
        <v>44</v>
      </c>
      <c r="G272" s="14" t="s">
        <v>99</v>
      </c>
      <c r="H272" s="14" t="s">
        <v>52</v>
      </c>
      <c r="I272" s="14" t="s">
        <v>99</v>
      </c>
      <c r="J272" s="14" t="s">
        <v>62</v>
      </c>
      <c r="K272" s="14">
        <v>4</v>
      </c>
      <c r="L272" s="14">
        <v>47723</v>
      </c>
      <c r="M272" s="14">
        <v>10</v>
      </c>
      <c r="N272" s="14">
        <v>19089.2</v>
      </c>
      <c r="O272" s="14">
        <v>30924.5</v>
      </c>
      <c r="P272" s="14">
        <v>497</v>
      </c>
      <c r="Q272" s="14">
        <f t="shared" si="4"/>
        <v>202727.3</v>
      </c>
      <c r="R272" s="14">
        <v>203224.3</v>
      </c>
      <c r="S272" s="14" t="s">
        <v>83</v>
      </c>
      <c r="T272" s="14" t="s">
        <v>63</v>
      </c>
      <c r="U272" s="14" t="s">
        <v>35</v>
      </c>
      <c r="V272" s="14" t="s">
        <v>36</v>
      </c>
      <c r="W272" s="14" t="s">
        <v>37</v>
      </c>
      <c r="X272" s="14">
        <v>8</v>
      </c>
      <c r="Y272" s="14" t="s">
        <v>38</v>
      </c>
      <c r="Z272" s="14">
        <v>1</v>
      </c>
      <c r="AA272" s="14" t="s">
        <v>39</v>
      </c>
    </row>
    <row r="273" spans="1:27" x14ac:dyDescent="0.35">
      <c r="A273" s="14" t="s">
        <v>595</v>
      </c>
      <c r="B273" s="15">
        <v>46001</v>
      </c>
      <c r="C273" s="14" t="s">
        <v>418</v>
      </c>
      <c r="D273" s="14" t="s">
        <v>50</v>
      </c>
      <c r="E273" s="14" t="s">
        <v>29</v>
      </c>
      <c r="F273" s="14">
        <v>44</v>
      </c>
      <c r="G273" s="14" t="s">
        <v>44</v>
      </c>
      <c r="H273" s="14" t="s">
        <v>31</v>
      </c>
      <c r="I273" s="14" t="s">
        <v>44</v>
      </c>
      <c r="J273" s="14" t="s">
        <v>53</v>
      </c>
      <c r="K273" s="14">
        <v>5</v>
      </c>
      <c r="L273" s="14">
        <v>36579</v>
      </c>
      <c r="M273" s="14">
        <v>5</v>
      </c>
      <c r="N273" s="14">
        <v>9144.75</v>
      </c>
      <c r="O273" s="14">
        <v>31275.040000000001</v>
      </c>
      <c r="P273" s="14">
        <v>326</v>
      </c>
      <c r="Q273" s="14">
        <f t="shared" si="4"/>
        <v>205025.29</v>
      </c>
      <c r="R273" s="14">
        <v>205351.29</v>
      </c>
      <c r="S273" s="14" t="s">
        <v>83</v>
      </c>
      <c r="T273" s="14" t="s">
        <v>63</v>
      </c>
      <c r="U273" s="14" t="s">
        <v>95</v>
      </c>
      <c r="V273" s="14" t="s">
        <v>96</v>
      </c>
      <c r="W273" s="14" t="s">
        <v>57</v>
      </c>
      <c r="X273" s="14">
        <v>4</v>
      </c>
      <c r="Y273" s="14" t="s">
        <v>38</v>
      </c>
      <c r="Z273" s="14">
        <v>4</v>
      </c>
      <c r="AA273" s="14" t="s">
        <v>58</v>
      </c>
    </row>
    <row r="274" spans="1:27" x14ac:dyDescent="0.35">
      <c r="A274" s="14" t="s">
        <v>596</v>
      </c>
      <c r="B274" s="15">
        <v>46085</v>
      </c>
      <c r="C274" s="14" t="s">
        <v>597</v>
      </c>
      <c r="D274" s="14" t="s">
        <v>61</v>
      </c>
      <c r="E274" s="14" t="s">
        <v>43</v>
      </c>
      <c r="F274" s="14">
        <v>28</v>
      </c>
      <c r="G274" s="14" t="s">
        <v>30</v>
      </c>
      <c r="H274" s="14" t="s">
        <v>31</v>
      </c>
      <c r="I274" s="14" t="s">
        <v>30</v>
      </c>
      <c r="J274" s="14" t="s">
        <v>150</v>
      </c>
      <c r="K274" s="14">
        <v>2</v>
      </c>
      <c r="L274" s="14">
        <v>30501</v>
      </c>
      <c r="M274" s="14">
        <v>10</v>
      </c>
      <c r="N274" s="14">
        <v>6100.2</v>
      </c>
      <c r="O274" s="14">
        <v>9882.32</v>
      </c>
      <c r="P274" s="14">
        <v>215</v>
      </c>
      <c r="Q274" s="14">
        <f t="shared" si="4"/>
        <v>64784.12</v>
      </c>
      <c r="R274" s="14">
        <v>64999.12</v>
      </c>
      <c r="S274" s="14" t="s">
        <v>54</v>
      </c>
      <c r="T274" s="14" t="s">
        <v>63</v>
      </c>
      <c r="U274" s="14" t="s">
        <v>95</v>
      </c>
      <c r="V274" s="14" t="s">
        <v>96</v>
      </c>
      <c r="W274" s="14" t="s">
        <v>57</v>
      </c>
      <c r="X274" s="14">
        <v>8</v>
      </c>
      <c r="Y274" s="14" t="s">
        <v>38</v>
      </c>
      <c r="Z274" s="14">
        <v>2</v>
      </c>
      <c r="AA274" s="14" t="s">
        <v>47</v>
      </c>
    </row>
    <row r="275" spans="1:27" x14ac:dyDescent="0.35">
      <c r="A275" s="14" t="s">
        <v>598</v>
      </c>
      <c r="B275" s="15">
        <v>45908</v>
      </c>
      <c r="C275" s="14" t="s">
        <v>599</v>
      </c>
      <c r="D275" s="14" t="s">
        <v>42</v>
      </c>
      <c r="E275" s="14" t="s">
        <v>29</v>
      </c>
      <c r="F275" s="14">
        <v>19</v>
      </c>
      <c r="G275" s="14" t="s">
        <v>44</v>
      </c>
      <c r="H275" s="14" t="s">
        <v>31</v>
      </c>
      <c r="I275" s="14" t="s">
        <v>44</v>
      </c>
      <c r="J275" s="14" t="s">
        <v>75</v>
      </c>
      <c r="K275" s="14">
        <v>3</v>
      </c>
      <c r="L275" s="14">
        <v>35905</v>
      </c>
      <c r="M275" s="14">
        <v>20</v>
      </c>
      <c r="N275" s="14">
        <v>21543</v>
      </c>
      <c r="O275" s="14">
        <v>15510.96</v>
      </c>
      <c r="P275" s="14">
        <v>69</v>
      </c>
      <c r="Q275" s="14">
        <f t="shared" si="4"/>
        <v>101682.96</v>
      </c>
      <c r="R275" s="14">
        <v>101751.96</v>
      </c>
      <c r="S275" s="14" t="s">
        <v>83</v>
      </c>
      <c r="T275" s="14" t="s">
        <v>63</v>
      </c>
      <c r="U275" s="14" t="s">
        <v>84</v>
      </c>
      <c r="V275" s="14" t="s">
        <v>85</v>
      </c>
      <c r="W275" s="14" t="s">
        <v>86</v>
      </c>
      <c r="X275" s="14">
        <v>6</v>
      </c>
      <c r="Y275" s="14" t="s">
        <v>38</v>
      </c>
      <c r="Z275" s="14">
        <v>4</v>
      </c>
      <c r="AA275" s="14" t="s">
        <v>47</v>
      </c>
    </row>
    <row r="276" spans="1:27" x14ac:dyDescent="0.35">
      <c r="A276" s="14" t="s">
        <v>600</v>
      </c>
      <c r="B276" s="15">
        <v>45871</v>
      </c>
      <c r="C276" s="14" t="s">
        <v>120</v>
      </c>
      <c r="D276" s="14" t="s">
        <v>111</v>
      </c>
      <c r="E276" s="14" t="s">
        <v>43</v>
      </c>
      <c r="F276" s="14">
        <v>38</v>
      </c>
      <c r="G276" s="14" t="s">
        <v>139</v>
      </c>
      <c r="H276" s="14" t="s">
        <v>31</v>
      </c>
      <c r="I276" s="14" t="s">
        <v>139</v>
      </c>
      <c r="J276" s="14" t="s">
        <v>53</v>
      </c>
      <c r="K276" s="14">
        <v>3</v>
      </c>
      <c r="L276" s="14">
        <v>16019</v>
      </c>
      <c r="M276" s="14">
        <v>10</v>
      </c>
      <c r="N276" s="14">
        <v>4805.7</v>
      </c>
      <c r="O276" s="14">
        <v>7785.23</v>
      </c>
      <c r="P276" s="14">
        <v>9</v>
      </c>
      <c r="Q276" s="14">
        <f t="shared" si="4"/>
        <v>51036.53</v>
      </c>
      <c r="R276" s="14">
        <v>51045.53</v>
      </c>
      <c r="S276" s="14" t="s">
        <v>83</v>
      </c>
      <c r="T276" s="14" t="s">
        <v>63</v>
      </c>
      <c r="U276" s="14" t="s">
        <v>84</v>
      </c>
      <c r="V276" s="14" t="s">
        <v>85</v>
      </c>
      <c r="W276" s="14" t="s">
        <v>86</v>
      </c>
      <c r="X276" s="14">
        <v>4</v>
      </c>
      <c r="Y276" s="14" t="s">
        <v>38</v>
      </c>
      <c r="Z276" s="14">
        <v>4</v>
      </c>
      <c r="AA276" s="14" t="s">
        <v>58</v>
      </c>
    </row>
    <row r="277" spans="1:27" x14ac:dyDescent="0.35">
      <c r="A277" s="14" t="s">
        <v>601</v>
      </c>
      <c r="B277" s="15">
        <v>45877</v>
      </c>
      <c r="C277" s="14" t="s">
        <v>602</v>
      </c>
      <c r="D277" s="14" t="s">
        <v>89</v>
      </c>
      <c r="E277" s="14" t="s">
        <v>29</v>
      </c>
      <c r="F277" s="14">
        <v>22</v>
      </c>
      <c r="G277" s="14" t="s">
        <v>94</v>
      </c>
      <c r="H277" s="14" t="s">
        <v>31</v>
      </c>
      <c r="I277" s="14" t="s">
        <v>94</v>
      </c>
      <c r="J277" s="14" t="s">
        <v>53</v>
      </c>
      <c r="K277" s="14">
        <v>4</v>
      </c>
      <c r="L277" s="14">
        <v>19232</v>
      </c>
      <c r="M277" s="14">
        <v>10</v>
      </c>
      <c r="N277" s="14">
        <v>7692.8</v>
      </c>
      <c r="O277" s="14">
        <v>12462.34</v>
      </c>
      <c r="P277" s="14">
        <v>295</v>
      </c>
      <c r="Q277" s="14">
        <f t="shared" si="4"/>
        <v>81697.539999999994</v>
      </c>
      <c r="R277" s="14">
        <v>81992.539999999994</v>
      </c>
      <c r="S277" s="14" t="s">
        <v>54</v>
      </c>
      <c r="T277" s="14" t="s">
        <v>63</v>
      </c>
      <c r="U277" s="14" t="s">
        <v>35</v>
      </c>
      <c r="V277" s="14" t="s">
        <v>36</v>
      </c>
      <c r="W277" s="14" t="s">
        <v>37</v>
      </c>
      <c r="X277" s="14">
        <v>6</v>
      </c>
      <c r="Y277" s="14" t="s">
        <v>38</v>
      </c>
      <c r="Z277" s="14">
        <v>5</v>
      </c>
      <c r="AA277" s="14" t="s">
        <v>58</v>
      </c>
    </row>
    <row r="278" spans="1:27" x14ac:dyDescent="0.35">
      <c r="A278" s="14" t="s">
        <v>603</v>
      </c>
      <c r="B278" s="15">
        <v>45978</v>
      </c>
      <c r="C278" s="14" t="s">
        <v>604</v>
      </c>
      <c r="D278" s="14" t="s">
        <v>50</v>
      </c>
      <c r="E278" s="14" t="s">
        <v>29</v>
      </c>
      <c r="F278" s="14">
        <v>57</v>
      </c>
      <c r="G278" s="14" t="s">
        <v>74</v>
      </c>
      <c r="H278" s="14" t="s">
        <v>31</v>
      </c>
      <c r="I278" s="14" t="s">
        <v>74</v>
      </c>
      <c r="J278" s="14" t="s">
        <v>102</v>
      </c>
      <c r="K278" s="14">
        <v>3</v>
      </c>
      <c r="L278" s="14">
        <v>26220</v>
      </c>
      <c r="M278" s="14">
        <v>5</v>
      </c>
      <c r="N278" s="14">
        <v>3933</v>
      </c>
      <c r="O278" s="14">
        <v>13450.86</v>
      </c>
      <c r="P278" s="14">
        <v>337</v>
      </c>
      <c r="Q278" s="14">
        <f t="shared" si="4"/>
        <v>88177.86</v>
      </c>
      <c r="R278" s="14">
        <v>88514.86</v>
      </c>
      <c r="S278" s="14" t="s">
        <v>83</v>
      </c>
      <c r="T278" s="14" t="s">
        <v>34</v>
      </c>
      <c r="U278" s="14" t="s">
        <v>46</v>
      </c>
      <c r="V278" s="14" t="s">
        <v>36</v>
      </c>
      <c r="W278" s="14" t="s">
        <v>37</v>
      </c>
      <c r="X278" s="14">
        <v>9</v>
      </c>
      <c r="Y278" s="14" t="s">
        <v>47</v>
      </c>
      <c r="Z278" s="14">
        <v>5</v>
      </c>
      <c r="AA278" s="14" t="s">
        <v>47</v>
      </c>
    </row>
    <row r="279" spans="1:27" x14ac:dyDescent="0.35">
      <c r="A279" s="14" t="s">
        <v>605</v>
      </c>
      <c r="B279" s="15">
        <v>45872</v>
      </c>
      <c r="C279" s="14" t="s">
        <v>118</v>
      </c>
      <c r="D279" s="14" t="s">
        <v>73</v>
      </c>
      <c r="E279" s="14" t="s">
        <v>43</v>
      </c>
      <c r="F279" s="14">
        <v>60</v>
      </c>
      <c r="G279" s="14" t="s">
        <v>30</v>
      </c>
      <c r="H279" s="14" t="s">
        <v>31</v>
      </c>
      <c r="I279" s="14" t="s">
        <v>30</v>
      </c>
      <c r="J279" s="14" t="s">
        <v>150</v>
      </c>
      <c r="K279" s="14">
        <v>2</v>
      </c>
      <c r="L279" s="14">
        <v>8816</v>
      </c>
      <c r="M279" s="14">
        <v>20</v>
      </c>
      <c r="N279" s="14">
        <v>3526.4</v>
      </c>
      <c r="O279" s="14">
        <v>2539.0100000000002</v>
      </c>
      <c r="P279" s="14">
        <v>394</v>
      </c>
      <c r="Q279" s="14">
        <f t="shared" si="4"/>
        <v>16644.61</v>
      </c>
      <c r="R279" s="14">
        <v>17038.61</v>
      </c>
      <c r="S279" s="14" t="s">
        <v>45</v>
      </c>
      <c r="T279" s="14" t="s">
        <v>34</v>
      </c>
      <c r="U279" s="14" t="s">
        <v>46</v>
      </c>
      <c r="V279" s="14" t="s">
        <v>36</v>
      </c>
      <c r="W279" s="14" t="s">
        <v>37</v>
      </c>
      <c r="X279" s="14">
        <v>5</v>
      </c>
      <c r="Y279" s="14" t="s">
        <v>38</v>
      </c>
      <c r="Z279" s="14">
        <v>4</v>
      </c>
      <c r="AA279" s="14" t="s">
        <v>47</v>
      </c>
    </row>
    <row r="280" spans="1:27" x14ac:dyDescent="0.35">
      <c r="A280" s="14" t="s">
        <v>606</v>
      </c>
      <c r="B280" s="15">
        <v>45773</v>
      </c>
      <c r="C280" s="14" t="s">
        <v>607</v>
      </c>
      <c r="D280" s="14" t="s">
        <v>80</v>
      </c>
      <c r="E280" s="14" t="s">
        <v>43</v>
      </c>
      <c r="F280" s="14">
        <v>32</v>
      </c>
      <c r="G280" s="14" t="s">
        <v>139</v>
      </c>
      <c r="H280" s="14" t="s">
        <v>31</v>
      </c>
      <c r="I280" s="14" t="s">
        <v>139</v>
      </c>
      <c r="J280" s="14" t="s">
        <v>69</v>
      </c>
      <c r="K280" s="14">
        <v>1</v>
      </c>
      <c r="L280" s="14">
        <v>21091</v>
      </c>
      <c r="M280" s="14">
        <v>10</v>
      </c>
      <c r="N280" s="14">
        <v>2109.1</v>
      </c>
      <c r="O280" s="14">
        <v>3416.74</v>
      </c>
      <c r="P280" s="14">
        <v>177</v>
      </c>
      <c r="Q280" s="14">
        <f t="shared" si="4"/>
        <v>22398.639999999999</v>
      </c>
      <c r="R280" s="14">
        <v>22575.64</v>
      </c>
      <c r="S280" s="14" t="s">
        <v>54</v>
      </c>
      <c r="T280" s="14" t="s">
        <v>63</v>
      </c>
      <c r="U280" s="14" t="s">
        <v>95</v>
      </c>
      <c r="V280" s="14" t="s">
        <v>96</v>
      </c>
      <c r="W280" s="14" t="s">
        <v>57</v>
      </c>
      <c r="X280" s="14">
        <v>1</v>
      </c>
      <c r="Y280" s="14" t="s">
        <v>47</v>
      </c>
      <c r="Z280" s="14">
        <v>1</v>
      </c>
      <c r="AA280" s="14" t="s">
        <v>39</v>
      </c>
    </row>
    <row r="281" spans="1:27" x14ac:dyDescent="0.35">
      <c r="A281" s="14" t="s">
        <v>608</v>
      </c>
      <c r="B281" s="15">
        <v>46032</v>
      </c>
      <c r="C281" s="14" t="s">
        <v>539</v>
      </c>
      <c r="D281" s="14" t="s">
        <v>50</v>
      </c>
      <c r="E281" s="14" t="s">
        <v>29</v>
      </c>
      <c r="F281" s="14">
        <v>19</v>
      </c>
      <c r="G281" s="14" t="s">
        <v>94</v>
      </c>
      <c r="H281" s="14" t="s">
        <v>31</v>
      </c>
      <c r="I281" s="14" t="s">
        <v>94</v>
      </c>
      <c r="J281" s="14" t="s">
        <v>69</v>
      </c>
      <c r="K281" s="14">
        <v>2</v>
      </c>
      <c r="L281" s="14">
        <v>46647</v>
      </c>
      <c r="M281" s="14">
        <v>0</v>
      </c>
      <c r="N281" s="14">
        <v>0</v>
      </c>
      <c r="O281" s="14">
        <v>16792.919999999998</v>
      </c>
      <c r="P281" s="14">
        <v>477</v>
      </c>
      <c r="Q281" s="14">
        <f t="shared" si="4"/>
        <v>110086.92</v>
      </c>
      <c r="R281" s="14">
        <v>110563.92</v>
      </c>
      <c r="S281" s="14" t="s">
        <v>33</v>
      </c>
      <c r="T281" s="14" t="s">
        <v>34</v>
      </c>
      <c r="U281" s="14" t="s">
        <v>103</v>
      </c>
      <c r="V281" s="14" t="s">
        <v>103</v>
      </c>
      <c r="W281" s="14" t="s">
        <v>57</v>
      </c>
      <c r="X281" s="14">
        <v>6</v>
      </c>
      <c r="Y281" s="14" t="s">
        <v>38</v>
      </c>
      <c r="Z281" s="14">
        <v>2</v>
      </c>
      <c r="AA281" s="14" t="s">
        <v>58</v>
      </c>
    </row>
    <row r="282" spans="1:27" x14ac:dyDescent="0.35">
      <c r="A282" s="14" t="s">
        <v>609</v>
      </c>
      <c r="B282" s="15">
        <v>46042</v>
      </c>
      <c r="C282" s="14" t="s">
        <v>610</v>
      </c>
      <c r="D282" s="14" t="s">
        <v>80</v>
      </c>
      <c r="E282" s="14" t="s">
        <v>43</v>
      </c>
      <c r="F282" s="14">
        <v>57</v>
      </c>
      <c r="G282" s="14" t="s">
        <v>30</v>
      </c>
      <c r="H282" s="14" t="s">
        <v>31</v>
      </c>
      <c r="I282" s="14" t="s">
        <v>30</v>
      </c>
      <c r="J282" s="14" t="s">
        <v>53</v>
      </c>
      <c r="K282" s="14">
        <v>1</v>
      </c>
      <c r="L282" s="14">
        <v>46084</v>
      </c>
      <c r="M282" s="14">
        <v>10</v>
      </c>
      <c r="N282" s="14">
        <v>4608.3999999999996</v>
      </c>
      <c r="O282" s="14">
        <v>7465.61</v>
      </c>
      <c r="P282" s="14">
        <v>166</v>
      </c>
      <c r="Q282" s="14">
        <f t="shared" si="4"/>
        <v>48941.21</v>
      </c>
      <c r="R282" s="14">
        <v>49107.21</v>
      </c>
      <c r="S282" s="14" t="s">
        <v>33</v>
      </c>
      <c r="T282" s="14" t="s">
        <v>63</v>
      </c>
      <c r="U282" s="14" t="s">
        <v>95</v>
      </c>
      <c r="V282" s="14" t="s">
        <v>96</v>
      </c>
      <c r="W282" s="14" t="s">
        <v>57</v>
      </c>
      <c r="X282" s="14">
        <v>4</v>
      </c>
      <c r="Y282" s="14" t="s">
        <v>47</v>
      </c>
      <c r="Z282" s="14">
        <v>3</v>
      </c>
      <c r="AA282" s="14" t="s">
        <v>58</v>
      </c>
    </row>
    <row r="283" spans="1:27" x14ac:dyDescent="0.35">
      <c r="A283" s="14" t="s">
        <v>611</v>
      </c>
      <c r="B283" s="15">
        <v>46115</v>
      </c>
      <c r="C283" s="14" t="s">
        <v>612</v>
      </c>
      <c r="D283" s="14" t="s">
        <v>111</v>
      </c>
      <c r="E283" s="14" t="s">
        <v>29</v>
      </c>
      <c r="F283" s="14">
        <v>27</v>
      </c>
      <c r="G283" s="14" t="s">
        <v>90</v>
      </c>
      <c r="H283" s="14" t="s">
        <v>31</v>
      </c>
      <c r="I283" s="14" t="s">
        <v>90</v>
      </c>
      <c r="J283" s="14" t="s">
        <v>53</v>
      </c>
      <c r="K283" s="14">
        <v>2</v>
      </c>
      <c r="L283" s="14">
        <v>13526</v>
      </c>
      <c r="M283" s="14">
        <v>0</v>
      </c>
      <c r="N283" s="14">
        <v>0</v>
      </c>
      <c r="O283" s="14">
        <v>4869.3599999999997</v>
      </c>
      <c r="P283" s="14">
        <v>286</v>
      </c>
      <c r="Q283" s="14">
        <f t="shared" si="4"/>
        <v>31921.360000000001</v>
      </c>
      <c r="R283" s="14">
        <v>32207.360000000001</v>
      </c>
      <c r="S283" s="14" t="s">
        <v>45</v>
      </c>
      <c r="T283" s="14" t="s">
        <v>63</v>
      </c>
      <c r="U283" s="14" t="s">
        <v>95</v>
      </c>
      <c r="V283" s="14" t="s">
        <v>96</v>
      </c>
      <c r="W283" s="14" t="s">
        <v>57</v>
      </c>
      <c r="X283" s="14">
        <v>8</v>
      </c>
      <c r="Y283" s="14" t="s">
        <v>38</v>
      </c>
      <c r="Z283" s="14">
        <v>5</v>
      </c>
      <c r="AA283" s="14" t="s">
        <v>39</v>
      </c>
    </row>
    <row r="284" spans="1:27" x14ac:dyDescent="0.35">
      <c r="A284" s="14" t="s">
        <v>613</v>
      </c>
      <c r="B284" s="15">
        <v>45908</v>
      </c>
      <c r="C284" s="14" t="s">
        <v>204</v>
      </c>
      <c r="D284" s="14" t="s">
        <v>73</v>
      </c>
      <c r="E284" s="14" t="s">
        <v>29</v>
      </c>
      <c r="F284" s="14">
        <v>23</v>
      </c>
      <c r="G284" s="14" t="s">
        <v>94</v>
      </c>
      <c r="H284" s="14" t="s">
        <v>31</v>
      </c>
      <c r="I284" s="14" t="s">
        <v>94</v>
      </c>
      <c r="J284" s="14" t="s">
        <v>150</v>
      </c>
      <c r="K284" s="14">
        <v>2</v>
      </c>
      <c r="L284" s="14">
        <v>24594</v>
      </c>
      <c r="M284" s="14">
        <v>15</v>
      </c>
      <c r="N284" s="14">
        <v>7378.2</v>
      </c>
      <c r="O284" s="14">
        <v>7525.76</v>
      </c>
      <c r="P284" s="14">
        <v>423</v>
      </c>
      <c r="Q284" s="14">
        <f t="shared" si="4"/>
        <v>49335.56</v>
      </c>
      <c r="R284" s="14">
        <v>49758.559999999998</v>
      </c>
      <c r="S284" s="14" t="s">
        <v>33</v>
      </c>
      <c r="T284" s="14" t="s">
        <v>34</v>
      </c>
      <c r="U284" s="14" t="s">
        <v>95</v>
      </c>
      <c r="V284" s="14" t="s">
        <v>96</v>
      </c>
      <c r="W284" s="14" t="s">
        <v>57</v>
      </c>
      <c r="X284" s="14">
        <v>5</v>
      </c>
      <c r="Y284" s="14" t="s">
        <v>47</v>
      </c>
      <c r="Z284" s="14">
        <v>3</v>
      </c>
      <c r="AA284" s="14" t="s">
        <v>58</v>
      </c>
    </row>
    <row r="285" spans="1:27" x14ac:dyDescent="0.35">
      <c r="A285" s="14" t="s">
        <v>614</v>
      </c>
      <c r="B285" s="15">
        <v>46093</v>
      </c>
      <c r="C285" s="14" t="s">
        <v>615</v>
      </c>
      <c r="D285" s="14" t="s">
        <v>66</v>
      </c>
      <c r="E285" s="14" t="s">
        <v>43</v>
      </c>
      <c r="F285" s="14">
        <v>48</v>
      </c>
      <c r="G285" s="14" t="s">
        <v>74</v>
      </c>
      <c r="H285" s="14" t="s">
        <v>31</v>
      </c>
      <c r="I285" s="14" t="s">
        <v>74</v>
      </c>
      <c r="J285" s="14" t="s">
        <v>53</v>
      </c>
      <c r="K285" s="14">
        <v>1</v>
      </c>
      <c r="L285" s="14">
        <v>8792</v>
      </c>
      <c r="M285" s="14">
        <v>20</v>
      </c>
      <c r="N285" s="14">
        <v>1758.4</v>
      </c>
      <c r="O285" s="14">
        <v>1266.05</v>
      </c>
      <c r="P285" s="14">
        <v>83</v>
      </c>
      <c r="Q285" s="14">
        <f t="shared" si="4"/>
        <v>8299.65</v>
      </c>
      <c r="R285" s="14">
        <v>8382.65</v>
      </c>
      <c r="S285" s="14" t="s">
        <v>33</v>
      </c>
      <c r="T285" s="14" t="s">
        <v>34</v>
      </c>
      <c r="U285" s="14" t="s">
        <v>46</v>
      </c>
      <c r="V285" s="14" t="s">
        <v>36</v>
      </c>
      <c r="W285" s="14" t="s">
        <v>37</v>
      </c>
      <c r="X285" s="14">
        <v>3</v>
      </c>
      <c r="Y285" s="14" t="s">
        <v>47</v>
      </c>
      <c r="Z285" s="14">
        <v>2</v>
      </c>
      <c r="AA285" s="14" t="s">
        <v>58</v>
      </c>
    </row>
    <row r="286" spans="1:27" x14ac:dyDescent="0.35">
      <c r="A286" s="14" t="s">
        <v>616</v>
      </c>
      <c r="B286" s="15">
        <v>45830</v>
      </c>
      <c r="C286" s="14" t="s">
        <v>343</v>
      </c>
      <c r="D286" s="14" t="s">
        <v>80</v>
      </c>
      <c r="E286" s="14" t="s">
        <v>29</v>
      </c>
      <c r="F286" s="14">
        <v>44</v>
      </c>
      <c r="G286" s="14" t="s">
        <v>94</v>
      </c>
      <c r="H286" s="14" t="s">
        <v>31</v>
      </c>
      <c r="I286" s="14" t="s">
        <v>94</v>
      </c>
      <c r="J286" s="14" t="s">
        <v>75</v>
      </c>
      <c r="K286" s="14">
        <v>2</v>
      </c>
      <c r="L286" s="14">
        <v>39070</v>
      </c>
      <c r="M286" s="14">
        <v>0</v>
      </c>
      <c r="N286" s="14">
        <v>0</v>
      </c>
      <c r="O286" s="14">
        <v>14065.2</v>
      </c>
      <c r="P286" s="14">
        <v>255</v>
      </c>
      <c r="Q286" s="14">
        <f t="shared" si="4"/>
        <v>92205.2</v>
      </c>
      <c r="R286" s="14">
        <v>92460.2</v>
      </c>
      <c r="S286" s="14" t="s">
        <v>33</v>
      </c>
      <c r="T286" s="14" t="s">
        <v>63</v>
      </c>
      <c r="U286" s="14" t="s">
        <v>35</v>
      </c>
      <c r="V286" s="14" t="s">
        <v>36</v>
      </c>
      <c r="W286" s="14" t="s">
        <v>37</v>
      </c>
      <c r="X286" s="14">
        <v>9</v>
      </c>
      <c r="Y286" s="14" t="s">
        <v>47</v>
      </c>
      <c r="Z286" s="14">
        <v>5</v>
      </c>
      <c r="AA286" s="14" t="s">
        <v>58</v>
      </c>
    </row>
    <row r="287" spans="1:27" x14ac:dyDescent="0.35">
      <c r="A287" s="14" t="s">
        <v>617</v>
      </c>
      <c r="B287" s="15">
        <v>46091</v>
      </c>
      <c r="C287" s="14" t="s">
        <v>618</v>
      </c>
      <c r="D287" s="14" t="s">
        <v>42</v>
      </c>
      <c r="E287" s="14" t="s">
        <v>43</v>
      </c>
      <c r="F287" s="14">
        <v>29</v>
      </c>
      <c r="G287" s="14" t="s">
        <v>74</v>
      </c>
      <c r="H287" s="14" t="s">
        <v>31</v>
      </c>
      <c r="I287" s="14" t="s">
        <v>74</v>
      </c>
      <c r="J287" s="14" t="s">
        <v>32</v>
      </c>
      <c r="K287" s="14">
        <v>2</v>
      </c>
      <c r="L287" s="14">
        <v>4186</v>
      </c>
      <c r="M287" s="14">
        <v>15</v>
      </c>
      <c r="N287" s="14">
        <v>1255.8</v>
      </c>
      <c r="O287" s="14">
        <v>1280.92</v>
      </c>
      <c r="P287" s="14">
        <v>320</v>
      </c>
      <c r="Q287" s="14">
        <f t="shared" si="4"/>
        <v>8397.1200000000008</v>
      </c>
      <c r="R287" s="14">
        <v>8717.1200000000008</v>
      </c>
      <c r="S287" s="14" t="s">
        <v>83</v>
      </c>
      <c r="T287" s="14" t="s">
        <v>63</v>
      </c>
      <c r="U287" s="14" t="s">
        <v>103</v>
      </c>
      <c r="V287" s="14" t="s">
        <v>103</v>
      </c>
      <c r="W287" s="14" t="s">
        <v>57</v>
      </c>
      <c r="X287" s="14">
        <v>2</v>
      </c>
      <c r="Y287" s="14" t="s">
        <v>47</v>
      </c>
      <c r="Z287" s="14">
        <v>4</v>
      </c>
      <c r="AA287" s="14" t="s">
        <v>39</v>
      </c>
    </row>
    <row r="288" spans="1:27" x14ac:dyDescent="0.35">
      <c r="A288" s="14" t="s">
        <v>619</v>
      </c>
      <c r="B288" s="15">
        <v>45852</v>
      </c>
      <c r="C288" s="14" t="s">
        <v>620</v>
      </c>
      <c r="D288" s="14" t="s">
        <v>80</v>
      </c>
      <c r="E288" s="14" t="s">
        <v>43</v>
      </c>
      <c r="F288" s="14">
        <v>39</v>
      </c>
      <c r="G288" s="14" t="s">
        <v>134</v>
      </c>
      <c r="H288" s="14" t="s">
        <v>31</v>
      </c>
      <c r="I288" s="14" t="s">
        <v>134</v>
      </c>
      <c r="J288" s="14" t="s">
        <v>125</v>
      </c>
      <c r="K288" s="14">
        <v>3</v>
      </c>
      <c r="L288" s="14">
        <v>27724</v>
      </c>
      <c r="M288" s="14">
        <v>0</v>
      </c>
      <c r="N288" s="14">
        <v>0</v>
      </c>
      <c r="O288" s="14">
        <v>14970.96</v>
      </c>
      <c r="P288" s="14">
        <v>412</v>
      </c>
      <c r="Q288" s="14">
        <f t="shared" si="4"/>
        <v>98142.96</v>
      </c>
      <c r="R288" s="14">
        <v>98554.96</v>
      </c>
      <c r="S288" s="14" t="s">
        <v>45</v>
      </c>
      <c r="T288" s="14" t="s">
        <v>63</v>
      </c>
      <c r="U288" s="14" t="s">
        <v>103</v>
      </c>
      <c r="V288" s="14" t="s">
        <v>103</v>
      </c>
      <c r="W288" s="14" t="s">
        <v>57</v>
      </c>
      <c r="X288" s="14">
        <v>7</v>
      </c>
      <c r="Y288" s="14" t="s">
        <v>38</v>
      </c>
      <c r="Z288" s="14">
        <v>4</v>
      </c>
      <c r="AA288" s="14" t="s">
        <v>58</v>
      </c>
    </row>
    <row r="289" spans="1:27" x14ac:dyDescent="0.35">
      <c r="A289" s="14" t="s">
        <v>621</v>
      </c>
      <c r="B289" s="15">
        <v>45816</v>
      </c>
      <c r="C289" s="14" t="s">
        <v>622</v>
      </c>
      <c r="D289" s="14" t="s">
        <v>50</v>
      </c>
      <c r="E289" s="14" t="s">
        <v>43</v>
      </c>
      <c r="F289" s="14">
        <v>22</v>
      </c>
      <c r="G289" s="14" t="s">
        <v>51</v>
      </c>
      <c r="H289" s="14" t="s">
        <v>52</v>
      </c>
      <c r="I289" s="14" t="s">
        <v>51</v>
      </c>
      <c r="J289" s="14" t="s">
        <v>62</v>
      </c>
      <c r="K289" s="14">
        <v>2</v>
      </c>
      <c r="L289" s="14">
        <v>25863</v>
      </c>
      <c r="M289" s="14">
        <v>15</v>
      </c>
      <c r="N289" s="14">
        <v>7758.9</v>
      </c>
      <c r="O289" s="14">
        <v>7914.08</v>
      </c>
      <c r="P289" s="14">
        <v>282</v>
      </c>
      <c r="Q289" s="14">
        <f t="shared" si="4"/>
        <v>51881.18</v>
      </c>
      <c r="R289" s="14">
        <v>52163.18</v>
      </c>
      <c r="S289" s="14" t="s">
        <v>45</v>
      </c>
      <c r="T289" s="14" t="s">
        <v>34</v>
      </c>
      <c r="U289" s="14" t="s">
        <v>70</v>
      </c>
      <c r="V289" s="14" t="s">
        <v>56</v>
      </c>
      <c r="W289" s="14" t="s">
        <v>57</v>
      </c>
      <c r="X289" s="14">
        <v>7</v>
      </c>
      <c r="Y289" s="14" t="s">
        <v>38</v>
      </c>
      <c r="Z289" s="14">
        <v>4</v>
      </c>
      <c r="AA289" s="14" t="s">
        <v>47</v>
      </c>
    </row>
    <row r="290" spans="1:27" x14ac:dyDescent="0.35">
      <c r="A290" s="14" t="s">
        <v>623</v>
      </c>
      <c r="B290" s="15">
        <v>46103</v>
      </c>
      <c r="C290" s="14" t="s">
        <v>624</v>
      </c>
      <c r="D290" s="14" t="s">
        <v>50</v>
      </c>
      <c r="E290" s="14" t="s">
        <v>43</v>
      </c>
      <c r="F290" s="14">
        <v>45</v>
      </c>
      <c r="G290" s="14" t="s">
        <v>74</v>
      </c>
      <c r="H290" s="14" t="s">
        <v>31</v>
      </c>
      <c r="I290" s="14" t="s">
        <v>74</v>
      </c>
      <c r="J290" s="14" t="s">
        <v>75</v>
      </c>
      <c r="K290" s="14">
        <v>3</v>
      </c>
      <c r="L290" s="14">
        <v>5942</v>
      </c>
      <c r="M290" s="14">
        <v>5</v>
      </c>
      <c r="N290" s="14">
        <v>891.3</v>
      </c>
      <c r="O290" s="14">
        <v>3048.25</v>
      </c>
      <c r="P290" s="14">
        <v>248</v>
      </c>
      <c r="Q290" s="14">
        <f t="shared" si="4"/>
        <v>19982.95</v>
      </c>
      <c r="R290" s="14">
        <v>20230.95</v>
      </c>
      <c r="S290" s="14" t="s">
        <v>83</v>
      </c>
      <c r="T290" s="14" t="s">
        <v>34</v>
      </c>
      <c r="U290" s="14" t="s">
        <v>70</v>
      </c>
      <c r="V290" s="14" t="s">
        <v>56</v>
      </c>
      <c r="W290" s="14" t="s">
        <v>57</v>
      </c>
      <c r="X290" s="14">
        <v>8</v>
      </c>
      <c r="Y290" s="14" t="s">
        <v>47</v>
      </c>
      <c r="Z290" s="14">
        <v>2</v>
      </c>
      <c r="AA290" s="14" t="s">
        <v>58</v>
      </c>
    </row>
    <row r="291" spans="1:27" x14ac:dyDescent="0.35">
      <c r="A291" s="14" t="s">
        <v>625</v>
      </c>
      <c r="B291" s="15">
        <v>45787</v>
      </c>
      <c r="C291" s="14" t="s">
        <v>626</v>
      </c>
      <c r="D291" s="14" t="s">
        <v>108</v>
      </c>
      <c r="E291" s="14" t="s">
        <v>43</v>
      </c>
      <c r="F291" s="14">
        <v>54</v>
      </c>
      <c r="G291" s="14" t="s">
        <v>44</v>
      </c>
      <c r="H291" s="14" t="s">
        <v>31</v>
      </c>
      <c r="I291" s="14" t="s">
        <v>44</v>
      </c>
      <c r="J291" s="14" t="s">
        <v>53</v>
      </c>
      <c r="K291" s="14">
        <v>2</v>
      </c>
      <c r="L291" s="14">
        <v>5637</v>
      </c>
      <c r="M291" s="14">
        <v>20</v>
      </c>
      <c r="N291" s="14">
        <v>2254.8000000000002</v>
      </c>
      <c r="O291" s="14">
        <v>1623.46</v>
      </c>
      <c r="P291" s="14">
        <v>105</v>
      </c>
      <c r="Q291" s="14">
        <f t="shared" si="4"/>
        <v>10642.66</v>
      </c>
      <c r="R291" s="14">
        <v>10747.66</v>
      </c>
      <c r="S291" s="14" t="s">
        <v>45</v>
      </c>
      <c r="T291" s="14" t="s">
        <v>34</v>
      </c>
      <c r="U291" s="14" t="s">
        <v>103</v>
      </c>
      <c r="V291" s="14" t="s">
        <v>103</v>
      </c>
      <c r="W291" s="14" t="s">
        <v>57</v>
      </c>
      <c r="X291" s="14">
        <v>7</v>
      </c>
      <c r="Y291" s="14" t="s">
        <v>38</v>
      </c>
      <c r="Z291" s="14">
        <v>5</v>
      </c>
      <c r="AA291" s="14" t="s">
        <v>91</v>
      </c>
    </row>
    <row r="292" spans="1:27" x14ac:dyDescent="0.35">
      <c r="A292" s="14" t="s">
        <v>627</v>
      </c>
      <c r="B292" s="15">
        <v>45759</v>
      </c>
      <c r="C292" s="14" t="s">
        <v>628</v>
      </c>
      <c r="D292" s="14" t="s">
        <v>42</v>
      </c>
      <c r="E292" s="14" t="s">
        <v>43</v>
      </c>
      <c r="F292" s="14">
        <v>48</v>
      </c>
      <c r="G292" s="14" t="s">
        <v>90</v>
      </c>
      <c r="H292" s="14" t="s">
        <v>31</v>
      </c>
      <c r="I292" s="14" t="s">
        <v>90</v>
      </c>
      <c r="J292" s="14" t="s">
        <v>125</v>
      </c>
      <c r="K292" s="14">
        <v>3</v>
      </c>
      <c r="L292" s="14">
        <v>11265</v>
      </c>
      <c r="M292" s="14">
        <v>15</v>
      </c>
      <c r="N292" s="14">
        <v>5069.25</v>
      </c>
      <c r="O292" s="14">
        <v>5170.6400000000003</v>
      </c>
      <c r="P292" s="14">
        <v>234</v>
      </c>
      <c r="Q292" s="14">
        <f t="shared" si="4"/>
        <v>33896.39</v>
      </c>
      <c r="R292" s="14">
        <v>34130.39</v>
      </c>
      <c r="S292" s="14" t="s">
        <v>54</v>
      </c>
      <c r="T292" s="14" t="s">
        <v>63</v>
      </c>
      <c r="U292" s="14" t="s">
        <v>46</v>
      </c>
      <c r="V292" s="14" t="s">
        <v>36</v>
      </c>
      <c r="W292" s="14" t="s">
        <v>37</v>
      </c>
      <c r="X292" s="14">
        <v>6</v>
      </c>
      <c r="Y292" s="14" t="s">
        <v>38</v>
      </c>
      <c r="Z292" s="14">
        <v>1</v>
      </c>
      <c r="AA292" s="14" t="s">
        <v>91</v>
      </c>
    </row>
    <row r="293" spans="1:27" x14ac:dyDescent="0.35">
      <c r="A293" s="14" t="s">
        <v>629</v>
      </c>
      <c r="B293" s="15">
        <v>45849</v>
      </c>
      <c r="C293" s="14" t="s">
        <v>630</v>
      </c>
      <c r="D293" s="14" t="s">
        <v>61</v>
      </c>
      <c r="E293" s="14" t="s">
        <v>43</v>
      </c>
      <c r="F293" s="14">
        <v>31</v>
      </c>
      <c r="G293" s="14" t="s">
        <v>44</v>
      </c>
      <c r="H293" s="14" t="s">
        <v>31</v>
      </c>
      <c r="I293" s="14" t="s">
        <v>44</v>
      </c>
      <c r="J293" s="14" t="s">
        <v>102</v>
      </c>
      <c r="K293" s="14">
        <v>3</v>
      </c>
      <c r="L293" s="14">
        <v>1419</v>
      </c>
      <c r="M293" s="14">
        <v>10</v>
      </c>
      <c r="N293" s="14">
        <v>425.7</v>
      </c>
      <c r="O293" s="14">
        <v>689.63</v>
      </c>
      <c r="P293" s="14">
        <v>407</v>
      </c>
      <c r="Q293" s="14">
        <f t="shared" si="4"/>
        <v>4520.93</v>
      </c>
      <c r="R293" s="14">
        <v>4927.93</v>
      </c>
      <c r="S293" s="14" t="s">
        <v>54</v>
      </c>
      <c r="T293" s="14" t="s">
        <v>63</v>
      </c>
      <c r="U293" s="14" t="s">
        <v>76</v>
      </c>
      <c r="V293" s="14" t="s">
        <v>77</v>
      </c>
      <c r="W293" s="14" t="s">
        <v>57</v>
      </c>
      <c r="X293" s="14">
        <v>8</v>
      </c>
      <c r="Y293" s="14" t="s">
        <v>38</v>
      </c>
      <c r="Z293" s="14">
        <v>5</v>
      </c>
      <c r="AA293" s="14" t="s">
        <v>58</v>
      </c>
    </row>
    <row r="294" spans="1:27" x14ac:dyDescent="0.35">
      <c r="A294" s="14" t="s">
        <v>631</v>
      </c>
      <c r="B294" s="15">
        <v>46036</v>
      </c>
      <c r="C294" s="14" t="s">
        <v>632</v>
      </c>
      <c r="D294" s="14" t="s">
        <v>50</v>
      </c>
      <c r="E294" s="14" t="s">
        <v>43</v>
      </c>
      <c r="F294" s="14">
        <v>48</v>
      </c>
      <c r="G294" s="14" t="s">
        <v>51</v>
      </c>
      <c r="H294" s="14" t="s">
        <v>52</v>
      </c>
      <c r="I294" s="14" t="s">
        <v>51</v>
      </c>
      <c r="J294" s="14" t="s">
        <v>32</v>
      </c>
      <c r="K294" s="14">
        <v>4</v>
      </c>
      <c r="L294" s="14">
        <v>14676</v>
      </c>
      <c r="M294" s="14">
        <v>5</v>
      </c>
      <c r="N294" s="14">
        <v>2935.2</v>
      </c>
      <c r="O294" s="14">
        <v>10038.379999999999</v>
      </c>
      <c r="P294" s="14">
        <v>318</v>
      </c>
      <c r="Q294" s="14">
        <f t="shared" si="4"/>
        <v>65807.179999999993</v>
      </c>
      <c r="R294" s="14">
        <v>66125.179999999993</v>
      </c>
      <c r="S294" s="14" t="s">
        <v>54</v>
      </c>
      <c r="T294" s="14" t="s">
        <v>63</v>
      </c>
      <c r="U294" s="14" t="s">
        <v>95</v>
      </c>
      <c r="V294" s="14" t="s">
        <v>96</v>
      </c>
      <c r="W294" s="14" t="s">
        <v>57</v>
      </c>
      <c r="X294" s="14">
        <v>10</v>
      </c>
      <c r="Y294" s="14" t="s">
        <v>38</v>
      </c>
      <c r="Z294" s="14">
        <v>4</v>
      </c>
      <c r="AA294" s="14" t="s">
        <v>39</v>
      </c>
    </row>
    <row r="295" spans="1:27" x14ac:dyDescent="0.35">
      <c r="A295" s="14" t="s">
        <v>633</v>
      </c>
      <c r="B295" s="15">
        <v>46007</v>
      </c>
      <c r="C295" s="14" t="s">
        <v>634</v>
      </c>
      <c r="D295" s="14" t="s">
        <v>50</v>
      </c>
      <c r="E295" s="14" t="s">
        <v>29</v>
      </c>
      <c r="F295" s="14">
        <v>48</v>
      </c>
      <c r="G295" s="14" t="s">
        <v>51</v>
      </c>
      <c r="H295" s="14" t="s">
        <v>52</v>
      </c>
      <c r="I295" s="14" t="s">
        <v>51</v>
      </c>
      <c r="J295" s="14" t="s">
        <v>202</v>
      </c>
      <c r="K295" s="14">
        <v>1</v>
      </c>
      <c r="L295" s="14">
        <v>31678</v>
      </c>
      <c r="M295" s="14">
        <v>10</v>
      </c>
      <c r="N295" s="14">
        <v>3167.8</v>
      </c>
      <c r="O295" s="14">
        <v>5131.84</v>
      </c>
      <c r="P295" s="14">
        <v>175</v>
      </c>
      <c r="Q295" s="14">
        <f t="shared" si="4"/>
        <v>33642.04</v>
      </c>
      <c r="R295" s="14">
        <v>33817.040000000001</v>
      </c>
      <c r="S295" s="14" t="s">
        <v>54</v>
      </c>
      <c r="T295" s="14" t="s">
        <v>34</v>
      </c>
      <c r="U295" s="14" t="s">
        <v>70</v>
      </c>
      <c r="V295" s="14" t="s">
        <v>56</v>
      </c>
      <c r="W295" s="14" t="s">
        <v>57</v>
      </c>
      <c r="X295" s="14">
        <v>2</v>
      </c>
      <c r="Y295" s="14" t="s">
        <v>47</v>
      </c>
      <c r="Z295" s="14">
        <v>5</v>
      </c>
      <c r="AA295" s="14" t="s">
        <v>91</v>
      </c>
    </row>
    <row r="296" spans="1:27" x14ac:dyDescent="0.35">
      <c r="A296" s="14" t="s">
        <v>635</v>
      </c>
      <c r="B296" s="15">
        <v>46022</v>
      </c>
      <c r="C296" s="14" t="s">
        <v>636</v>
      </c>
      <c r="D296" s="14" t="s">
        <v>89</v>
      </c>
      <c r="E296" s="14" t="s">
        <v>43</v>
      </c>
      <c r="F296" s="14">
        <v>32</v>
      </c>
      <c r="G296" s="14" t="s">
        <v>51</v>
      </c>
      <c r="H296" s="14" t="s">
        <v>52</v>
      </c>
      <c r="I296" s="14" t="s">
        <v>51</v>
      </c>
      <c r="J296" s="14" t="s">
        <v>150</v>
      </c>
      <c r="K296" s="14">
        <v>4</v>
      </c>
      <c r="L296" s="14">
        <v>11363</v>
      </c>
      <c r="M296" s="14">
        <v>10</v>
      </c>
      <c r="N296" s="14">
        <v>4545.2</v>
      </c>
      <c r="O296" s="14">
        <v>7363.22</v>
      </c>
      <c r="P296" s="14">
        <v>249</v>
      </c>
      <c r="Q296" s="14">
        <f t="shared" si="4"/>
        <v>48270.02</v>
      </c>
      <c r="R296" s="14">
        <v>48519.02</v>
      </c>
      <c r="S296" s="14" t="s">
        <v>33</v>
      </c>
      <c r="T296" s="14" t="s">
        <v>63</v>
      </c>
      <c r="U296" s="14" t="s">
        <v>95</v>
      </c>
      <c r="V296" s="14" t="s">
        <v>96</v>
      </c>
      <c r="W296" s="14" t="s">
        <v>57</v>
      </c>
      <c r="X296" s="14">
        <v>9</v>
      </c>
      <c r="Y296" s="14" t="s">
        <v>38</v>
      </c>
      <c r="Z296" s="14">
        <v>2</v>
      </c>
      <c r="AA296" s="14" t="s">
        <v>47</v>
      </c>
    </row>
    <row r="297" spans="1:27" x14ac:dyDescent="0.35">
      <c r="A297" s="14" t="s">
        <v>637</v>
      </c>
      <c r="B297" s="15">
        <v>45899</v>
      </c>
      <c r="C297" s="14" t="s">
        <v>638</v>
      </c>
      <c r="D297" s="14" t="s">
        <v>66</v>
      </c>
      <c r="E297" s="14" t="s">
        <v>43</v>
      </c>
      <c r="F297" s="14">
        <v>40</v>
      </c>
      <c r="G297" s="14" t="s">
        <v>51</v>
      </c>
      <c r="H297" s="14" t="s">
        <v>52</v>
      </c>
      <c r="I297" s="14" t="s">
        <v>51</v>
      </c>
      <c r="J297" s="14" t="s">
        <v>150</v>
      </c>
      <c r="K297" s="14">
        <v>5</v>
      </c>
      <c r="L297" s="14">
        <v>27019</v>
      </c>
      <c r="M297" s="14">
        <v>0</v>
      </c>
      <c r="N297" s="14">
        <v>0</v>
      </c>
      <c r="O297" s="14">
        <v>24317.1</v>
      </c>
      <c r="P297" s="14">
        <v>462</v>
      </c>
      <c r="Q297" s="14">
        <f t="shared" si="4"/>
        <v>159412.1</v>
      </c>
      <c r="R297" s="14">
        <v>159874.1</v>
      </c>
      <c r="S297" s="14" t="s">
        <v>45</v>
      </c>
      <c r="T297" s="14" t="s">
        <v>34</v>
      </c>
      <c r="U297" s="14" t="s">
        <v>103</v>
      </c>
      <c r="V297" s="14" t="s">
        <v>103</v>
      </c>
      <c r="W297" s="14" t="s">
        <v>57</v>
      </c>
      <c r="X297" s="14">
        <v>6</v>
      </c>
      <c r="Y297" s="14" t="s">
        <v>47</v>
      </c>
      <c r="Z297" s="14">
        <v>4</v>
      </c>
      <c r="AA297" s="14" t="s">
        <v>47</v>
      </c>
    </row>
    <row r="298" spans="1:27" x14ac:dyDescent="0.35">
      <c r="A298" s="14" t="s">
        <v>639</v>
      </c>
      <c r="B298" s="15">
        <v>46024</v>
      </c>
      <c r="C298" s="14" t="s">
        <v>248</v>
      </c>
      <c r="D298" s="14" t="s">
        <v>66</v>
      </c>
      <c r="E298" s="14" t="s">
        <v>43</v>
      </c>
      <c r="F298" s="14">
        <v>22</v>
      </c>
      <c r="G298" s="14" t="s">
        <v>44</v>
      </c>
      <c r="H298" s="14" t="s">
        <v>31</v>
      </c>
      <c r="I298" s="14" t="s">
        <v>44</v>
      </c>
      <c r="J298" s="14" t="s">
        <v>62</v>
      </c>
      <c r="K298" s="14">
        <v>3</v>
      </c>
      <c r="L298" s="14">
        <v>20219</v>
      </c>
      <c r="M298" s="14">
        <v>15</v>
      </c>
      <c r="N298" s="14">
        <v>9098.5499999999993</v>
      </c>
      <c r="O298" s="14">
        <v>9280.52</v>
      </c>
      <c r="P298" s="14">
        <v>212</v>
      </c>
      <c r="Q298" s="14">
        <f t="shared" si="4"/>
        <v>60838.97</v>
      </c>
      <c r="R298" s="14">
        <v>61050.97</v>
      </c>
      <c r="S298" s="14" t="s">
        <v>83</v>
      </c>
      <c r="T298" s="14" t="s">
        <v>63</v>
      </c>
      <c r="U298" s="14" t="s">
        <v>84</v>
      </c>
      <c r="V298" s="14" t="s">
        <v>85</v>
      </c>
      <c r="W298" s="14" t="s">
        <v>86</v>
      </c>
      <c r="X298" s="14">
        <v>6</v>
      </c>
      <c r="Y298" s="14" t="s">
        <v>38</v>
      </c>
      <c r="Z298" s="14">
        <v>4</v>
      </c>
      <c r="AA298" s="14" t="s">
        <v>91</v>
      </c>
    </row>
    <row r="299" spans="1:27" x14ac:dyDescent="0.35">
      <c r="A299" s="14" t="s">
        <v>640</v>
      </c>
      <c r="B299" s="15">
        <v>45771</v>
      </c>
      <c r="C299" s="14" t="s">
        <v>641</v>
      </c>
      <c r="D299" s="14" t="s">
        <v>108</v>
      </c>
      <c r="E299" s="14" t="s">
        <v>43</v>
      </c>
      <c r="F299" s="14">
        <v>49</v>
      </c>
      <c r="G299" s="14" t="s">
        <v>139</v>
      </c>
      <c r="H299" s="14" t="s">
        <v>31</v>
      </c>
      <c r="I299" s="14" t="s">
        <v>139</v>
      </c>
      <c r="J299" s="14" t="s">
        <v>75</v>
      </c>
      <c r="K299" s="14">
        <v>4</v>
      </c>
      <c r="L299" s="14">
        <v>17648</v>
      </c>
      <c r="M299" s="14">
        <v>20</v>
      </c>
      <c r="N299" s="14">
        <v>14118.4</v>
      </c>
      <c r="O299" s="14">
        <v>10165.25</v>
      </c>
      <c r="P299" s="14">
        <v>6</v>
      </c>
      <c r="Q299" s="14">
        <f t="shared" si="4"/>
        <v>66638.850000000006</v>
      </c>
      <c r="R299" s="14">
        <v>66644.850000000006</v>
      </c>
      <c r="S299" s="14" t="s">
        <v>54</v>
      </c>
      <c r="T299" s="14" t="s">
        <v>63</v>
      </c>
      <c r="U299" s="14" t="s">
        <v>76</v>
      </c>
      <c r="V299" s="14" t="s">
        <v>77</v>
      </c>
      <c r="W299" s="14" t="s">
        <v>57</v>
      </c>
      <c r="X299" s="14">
        <v>3</v>
      </c>
      <c r="Y299" s="14" t="s">
        <v>47</v>
      </c>
      <c r="Z299" s="14">
        <v>3</v>
      </c>
      <c r="AA299" s="14" t="s">
        <v>91</v>
      </c>
    </row>
    <row r="300" spans="1:27" x14ac:dyDescent="0.35">
      <c r="A300" s="14" t="s">
        <v>642</v>
      </c>
      <c r="B300" s="15">
        <v>46026</v>
      </c>
      <c r="C300" s="14" t="s">
        <v>422</v>
      </c>
      <c r="D300" s="14" t="s">
        <v>80</v>
      </c>
      <c r="E300" s="14" t="s">
        <v>29</v>
      </c>
      <c r="F300" s="14">
        <v>54</v>
      </c>
      <c r="G300" s="14" t="s">
        <v>134</v>
      </c>
      <c r="H300" s="14" t="s">
        <v>31</v>
      </c>
      <c r="I300" s="14" t="s">
        <v>134</v>
      </c>
      <c r="J300" s="14" t="s">
        <v>125</v>
      </c>
      <c r="K300" s="14">
        <v>5</v>
      </c>
      <c r="L300" s="14">
        <v>2574</v>
      </c>
      <c r="M300" s="14">
        <v>10</v>
      </c>
      <c r="N300" s="14">
        <v>1287</v>
      </c>
      <c r="O300" s="14">
        <v>2084.94</v>
      </c>
      <c r="P300" s="14">
        <v>263</v>
      </c>
      <c r="Q300" s="14">
        <f t="shared" si="4"/>
        <v>13667.94</v>
      </c>
      <c r="R300" s="14">
        <v>13930.94</v>
      </c>
      <c r="S300" s="14" t="s">
        <v>83</v>
      </c>
      <c r="T300" s="14" t="s">
        <v>63</v>
      </c>
      <c r="U300" s="14" t="s">
        <v>76</v>
      </c>
      <c r="V300" s="14" t="s">
        <v>77</v>
      </c>
      <c r="W300" s="14" t="s">
        <v>57</v>
      </c>
      <c r="X300" s="14">
        <v>9</v>
      </c>
      <c r="Y300" s="14" t="s">
        <v>38</v>
      </c>
      <c r="Z300" s="14">
        <v>5</v>
      </c>
      <c r="AA300" s="14" t="s">
        <v>91</v>
      </c>
    </row>
    <row r="301" spans="1:27" x14ac:dyDescent="0.35">
      <c r="A301" s="14" t="s">
        <v>643</v>
      </c>
      <c r="B301" s="15">
        <v>45824</v>
      </c>
      <c r="C301" s="14" t="s">
        <v>644</v>
      </c>
      <c r="D301" s="14" t="s">
        <v>111</v>
      </c>
      <c r="E301" s="14" t="s">
        <v>43</v>
      </c>
      <c r="F301" s="14">
        <v>51</v>
      </c>
      <c r="G301" s="14" t="s">
        <v>99</v>
      </c>
      <c r="H301" s="14" t="s">
        <v>52</v>
      </c>
      <c r="I301" s="14" t="s">
        <v>99</v>
      </c>
      <c r="J301" s="14" t="s">
        <v>150</v>
      </c>
      <c r="K301" s="14">
        <v>1</v>
      </c>
      <c r="L301" s="14">
        <v>41491</v>
      </c>
      <c r="M301" s="14">
        <v>5</v>
      </c>
      <c r="N301" s="14">
        <v>2074.5500000000002</v>
      </c>
      <c r="O301" s="14">
        <v>7094.96</v>
      </c>
      <c r="P301" s="14">
        <v>267</v>
      </c>
      <c r="Q301" s="14">
        <f t="shared" si="4"/>
        <v>46511.41</v>
      </c>
      <c r="R301" s="14">
        <v>46778.41</v>
      </c>
      <c r="S301" s="14" t="s">
        <v>83</v>
      </c>
      <c r="T301" s="14" t="s">
        <v>34</v>
      </c>
      <c r="U301" s="14" t="s">
        <v>84</v>
      </c>
      <c r="V301" s="14" t="s">
        <v>85</v>
      </c>
      <c r="W301" s="14" t="s">
        <v>86</v>
      </c>
      <c r="X301" s="14">
        <v>9</v>
      </c>
      <c r="Y301" s="14" t="s">
        <v>47</v>
      </c>
      <c r="Z301" s="14">
        <v>1</v>
      </c>
      <c r="AA301" s="14" t="s">
        <v>91</v>
      </c>
    </row>
    <row r="302" spans="1:27" x14ac:dyDescent="0.35">
      <c r="A302" s="14" t="s">
        <v>645</v>
      </c>
      <c r="B302" s="15">
        <v>46049</v>
      </c>
      <c r="C302" s="14" t="s">
        <v>646</v>
      </c>
      <c r="D302" s="14" t="s">
        <v>66</v>
      </c>
      <c r="E302" s="14" t="s">
        <v>29</v>
      </c>
      <c r="F302" s="14">
        <v>50</v>
      </c>
      <c r="G302" s="14" t="s">
        <v>44</v>
      </c>
      <c r="H302" s="14" t="s">
        <v>31</v>
      </c>
      <c r="I302" s="14" t="s">
        <v>44</v>
      </c>
      <c r="J302" s="14" t="s">
        <v>32</v>
      </c>
      <c r="K302" s="14">
        <v>1</v>
      </c>
      <c r="L302" s="14">
        <v>34811</v>
      </c>
      <c r="M302" s="14">
        <v>0</v>
      </c>
      <c r="N302" s="14">
        <v>0</v>
      </c>
      <c r="O302" s="14">
        <v>6265.98</v>
      </c>
      <c r="P302" s="14">
        <v>256</v>
      </c>
      <c r="Q302" s="14">
        <f t="shared" si="4"/>
        <v>41076.980000000003</v>
      </c>
      <c r="R302" s="14">
        <v>41332.980000000003</v>
      </c>
      <c r="S302" s="14" t="s">
        <v>45</v>
      </c>
      <c r="T302" s="14" t="s">
        <v>34</v>
      </c>
      <c r="U302" s="14" t="s">
        <v>70</v>
      </c>
      <c r="V302" s="14" t="s">
        <v>56</v>
      </c>
      <c r="W302" s="14" t="s">
        <v>57</v>
      </c>
      <c r="X302" s="14">
        <v>2</v>
      </c>
      <c r="Y302" s="14" t="s">
        <v>47</v>
      </c>
      <c r="Z302" s="14">
        <v>2</v>
      </c>
      <c r="AA302" s="14" t="s">
        <v>47</v>
      </c>
    </row>
    <row r="303" spans="1:27" x14ac:dyDescent="0.35">
      <c r="A303" s="14" t="s">
        <v>647</v>
      </c>
      <c r="B303" s="15">
        <v>46104</v>
      </c>
      <c r="C303" s="14" t="s">
        <v>648</v>
      </c>
      <c r="D303" s="14" t="s">
        <v>50</v>
      </c>
      <c r="E303" s="14" t="s">
        <v>43</v>
      </c>
      <c r="F303" s="14">
        <v>46</v>
      </c>
      <c r="G303" s="14" t="s">
        <v>30</v>
      </c>
      <c r="H303" s="14" t="s">
        <v>31</v>
      </c>
      <c r="I303" s="14" t="s">
        <v>30</v>
      </c>
      <c r="J303" s="14" t="s">
        <v>102</v>
      </c>
      <c r="K303" s="14">
        <v>2</v>
      </c>
      <c r="L303" s="14">
        <v>42244</v>
      </c>
      <c r="M303" s="14">
        <v>10</v>
      </c>
      <c r="N303" s="14">
        <v>8448.7999999999993</v>
      </c>
      <c r="O303" s="14">
        <v>13687.06</v>
      </c>
      <c r="P303" s="14">
        <v>25</v>
      </c>
      <c r="Q303" s="14">
        <f t="shared" si="4"/>
        <v>89726.26</v>
      </c>
      <c r="R303" s="14">
        <v>89751.26</v>
      </c>
      <c r="S303" s="14" t="s">
        <v>54</v>
      </c>
      <c r="T303" s="14" t="s">
        <v>34</v>
      </c>
      <c r="U303" s="14" t="s">
        <v>103</v>
      </c>
      <c r="V303" s="14" t="s">
        <v>103</v>
      </c>
      <c r="W303" s="14" t="s">
        <v>57</v>
      </c>
      <c r="X303" s="14">
        <v>8</v>
      </c>
      <c r="Y303" s="14" t="s">
        <v>47</v>
      </c>
      <c r="Z303" s="14">
        <v>1</v>
      </c>
      <c r="AA303" s="14" t="s">
        <v>47</v>
      </c>
    </row>
    <row r="304" spans="1:27" x14ac:dyDescent="0.35">
      <c r="A304" s="14" t="s">
        <v>649</v>
      </c>
      <c r="B304" s="15">
        <v>45872</v>
      </c>
      <c r="C304" s="14" t="s">
        <v>411</v>
      </c>
      <c r="D304" s="14" t="s">
        <v>108</v>
      </c>
      <c r="E304" s="14" t="s">
        <v>43</v>
      </c>
      <c r="F304" s="14">
        <v>34</v>
      </c>
      <c r="G304" s="14" t="s">
        <v>74</v>
      </c>
      <c r="H304" s="14" t="s">
        <v>31</v>
      </c>
      <c r="I304" s="14" t="s">
        <v>74</v>
      </c>
      <c r="J304" s="14" t="s">
        <v>102</v>
      </c>
      <c r="K304" s="14">
        <v>3</v>
      </c>
      <c r="L304" s="14">
        <v>27252</v>
      </c>
      <c r="M304" s="14">
        <v>20</v>
      </c>
      <c r="N304" s="14">
        <v>16351.2</v>
      </c>
      <c r="O304" s="14">
        <v>11772.86</v>
      </c>
      <c r="P304" s="14">
        <v>470</v>
      </c>
      <c r="Q304" s="14">
        <f t="shared" si="4"/>
        <v>77177.66</v>
      </c>
      <c r="R304" s="14">
        <v>77647.66</v>
      </c>
      <c r="S304" s="14" t="s">
        <v>45</v>
      </c>
      <c r="T304" s="14" t="s">
        <v>34</v>
      </c>
      <c r="U304" s="14" t="s">
        <v>35</v>
      </c>
      <c r="V304" s="14" t="s">
        <v>36</v>
      </c>
      <c r="W304" s="14" t="s">
        <v>37</v>
      </c>
      <c r="X304" s="14">
        <v>4</v>
      </c>
      <c r="Y304" s="14" t="s">
        <v>47</v>
      </c>
      <c r="Z304" s="14">
        <v>4</v>
      </c>
      <c r="AA304" s="14" t="s">
        <v>58</v>
      </c>
    </row>
    <row r="305" spans="1:27" x14ac:dyDescent="0.35">
      <c r="A305" s="14" t="s">
        <v>650</v>
      </c>
      <c r="B305" s="15">
        <v>45874</v>
      </c>
      <c r="C305" s="14" t="s">
        <v>651</v>
      </c>
      <c r="D305" s="14" t="s">
        <v>66</v>
      </c>
      <c r="E305" s="14" t="s">
        <v>43</v>
      </c>
      <c r="F305" s="14">
        <v>42</v>
      </c>
      <c r="G305" s="14" t="s">
        <v>94</v>
      </c>
      <c r="H305" s="14" t="s">
        <v>31</v>
      </c>
      <c r="I305" s="14" t="s">
        <v>94</v>
      </c>
      <c r="J305" s="14" t="s">
        <v>102</v>
      </c>
      <c r="K305" s="14">
        <v>5</v>
      </c>
      <c r="L305" s="14">
        <v>33762</v>
      </c>
      <c r="M305" s="14">
        <v>0</v>
      </c>
      <c r="N305" s="14">
        <v>0</v>
      </c>
      <c r="O305" s="14">
        <v>30385.8</v>
      </c>
      <c r="P305" s="14">
        <v>363</v>
      </c>
      <c r="Q305" s="14">
        <f t="shared" si="4"/>
        <v>199195.8</v>
      </c>
      <c r="R305" s="14">
        <v>199558.8</v>
      </c>
      <c r="S305" s="14" t="s">
        <v>33</v>
      </c>
      <c r="T305" s="14" t="s">
        <v>63</v>
      </c>
      <c r="U305" s="14" t="s">
        <v>35</v>
      </c>
      <c r="V305" s="14" t="s">
        <v>36</v>
      </c>
      <c r="W305" s="14" t="s">
        <v>37</v>
      </c>
      <c r="X305" s="14">
        <v>9</v>
      </c>
      <c r="Y305" s="14" t="s">
        <v>38</v>
      </c>
      <c r="Z305" s="14">
        <v>1</v>
      </c>
      <c r="AA305" s="14" t="s">
        <v>58</v>
      </c>
    </row>
    <row r="306" spans="1:27" x14ac:dyDescent="0.35">
      <c r="A306" s="14" t="s">
        <v>652</v>
      </c>
      <c r="B306" s="15">
        <v>45811</v>
      </c>
      <c r="C306" s="14" t="s">
        <v>653</v>
      </c>
      <c r="D306" s="14" t="s">
        <v>108</v>
      </c>
      <c r="E306" s="14" t="s">
        <v>43</v>
      </c>
      <c r="F306" s="14">
        <v>42</v>
      </c>
      <c r="G306" s="14" t="s">
        <v>90</v>
      </c>
      <c r="H306" s="14" t="s">
        <v>31</v>
      </c>
      <c r="I306" s="14" t="s">
        <v>90</v>
      </c>
      <c r="J306" s="14" t="s">
        <v>125</v>
      </c>
      <c r="K306" s="14">
        <v>2</v>
      </c>
      <c r="L306" s="14">
        <v>22031</v>
      </c>
      <c r="M306" s="14">
        <v>0</v>
      </c>
      <c r="N306" s="14">
        <v>0</v>
      </c>
      <c r="O306" s="14">
        <v>7931.16</v>
      </c>
      <c r="P306" s="14">
        <v>84</v>
      </c>
      <c r="Q306" s="14">
        <f t="shared" si="4"/>
        <v>51993.16</v>
      </c>
      <c r="R306" s="14">
        <v>52077.16</v>
      </c>
      <c r="S306" s="14" t="s">
        <v>33</v>
      </c>
      <c r="T306" s="14" t="s">
        <v>34</v>
      </c>
      <c r="U306" s="14" t="s">
        <v>84</v>
      </c>
      <c r="V306" s="14" t="s">
        <v>85</v>
      </c>
      <c r="W306" s="14" t="s">
        <v>86</v>
      </c>
      <c r="X306" s="14">
        <v>1</v>
      </c>
      <c r="Y306" s="14" t="s">
        <v>38</v>
      </c>
      <c r="Z306" s="14">
        <v>4</v>
      </c>
      <c r="AA306" s="14" t="s">
        <v>47</v>
      </c>
    </row>
    <row r="307" spans="1:27" x14ac:dyDescent="0.35">
      <c r="A307" s="14" t="s">
        <v>654</v>
      </c>
      <c r="B307" s="15">
        <v>45835</v>
      </c>
      <c r="C307" s="14" t="s">
        <v>655</v>
      </c>
      <c r="D307" s="14" t="s">
        <v>50</v>
      </c>
      <c r="E307" s="14" t="s">
        <v>43</v>
      </c>
      <c r="F307" s="14">
        <v>50</v>
      </c>
      <c r="G307" s="14" t="s">
        <v>51</v>
      </c>
      <c r="H307" s="14" t="s">
        <v>52</v>
      </c>
      <c r="I307" s="14" t="s">
        <v>51</v>
      </c>
      <c r="J307" s="14" t="s">
        <v>125</v>
      </c>
      <c r="K307" s="14">
        <v>2</v>
      </c>
      <c r="L307" s="14">
        <v>19288</v>
      </c>
      <c r="M307" s="14">
        <v>5</v>
      </c>
      <c r="N307" s="14">
        <v>1928.8</v>
      </c>
      <c r="O307" s="14">
        <v>6596.5</v>
      </c>
      <c r="P307" s="14">
        <v>389</v>
      </c>
      <c r="Q307" s="14">
        <f t="shared" si="4"/>
        <v>43243.7</v>
      </c>
      <c r="R307" s="14">
        <v>43632.7</v>
      </c>
      <c r="S307" s="14" t="s">
        <v>45</v>
      </c>
      <c r="T307" s="14" t="s">
        <v>63</v>
      </c>
      <c r="U307" s="14" t="s">
        <v>95</v>
      </c>
      <c r="V307" s="14" t="s">
        <v>96</v>
      </c>
      <c r="W307" s="14" t="s">
        <v>57</v>
      </c>
      <c r="X307" s="14">
        <v>1</v>
      </c>
      <c r="Y307" s="14" t="s">
        <v>38</v>
      </c>
      <c r="Z307" s="14">
        <v>2</v>
      </c>
      <c r="AA307" s="14" t="s">
        <v>58</v>
      </c>
    </row>
    <row r="308" spans="1:27" x14ac:dyDescent="0.35">
      <c r="A308" s="14" t="s">
        <v>656</v>
      </c>
      <c r="B308" s="15">
        <v>45896</v>
      </c>
      <c r="C308" s="14" t="s">
        <v>657</v>
      </c>
      <c r="D308" s="14" t="s">
        <v>108</v>
      </c>
      <c r="E308" s="14" t="s">
        <v>43</v>
      </c>
      <c r="F308" s="14">
        <v>41</v>
      </c>
      <c r="G308" s="14" t="s">
        <v>74</v>
      </c>
      <c r="H308" s="14" t="s">
        <v>31</v>
      </c>
      <c r="I308" s="14" t="s">
        <v>74</v>
      </c>
      <c r="J308" s="14" t="s">
        <v>53</v>
      </c>
      <c r="K308" s="14">
        <v>3</v>
      </c>
      <c r="L308" s="14">
        <v>4554</v>
      </c>
      <c r="M308" s="14">
        <v>0</v>
      </c>
      <c r="N308" s="14">
        <v>0</v>
      </c>
      <c r="O308" s="14">
        <v>2459.16</v>
      </c>
      <c r="P308" s="14">
        <v>402</v>
      </c>
      <c r="Q308" s="14">
        <f t="shared" si="4"/>
        <v>16121.16</v>
      </c>
      <c r="R308" s="14">
        <v>16523.16</v>
      </c>
      <c r="S308" s="14" t="s">
        <v>54</v>
      </c>
      <c r="T308" s="14" t="s">
        <v>34</v>
      </c>
      <c r="U308" s="14" t="s">
        <v>76</v>
      </c>
      <c r="V308" s="14" t="s">
        <v>77</v>
      </c>
      <c r="W308" s="14" t="s">
        <v>57</v>
      </c>
      <c r="X308" s="14">
        <v>3</v>
      </c>
      <c r="Y308" s="14" t="s">
        <v>38</v>
      </c>
      <c r="Z308" s="14">
        <v>3</v>
      </c>
      <c r="AA308" s="14" t="s">
        <v>91</v>
      </c>
    </row>
    <row r="309" spans="1:27" x14ac:dyDescent="0.35">
      <c r="A309" s="14" t="s">
        <v>658</v>
      </c>
      <c r="B309" s="15">
        <v>46084</v>
      </c>
      <c r="C309" s="14" t="s">
        <v>659</v>
      </c>
      <c r="D309" s="14" t="s">
        <v>73</v>
      </c>
      <c r="E309" s="14" t="s">
        <v>29</v>
      </c>
      <c r="F309" s="14">
        <v>40</v>
      </c>
      <c r="G309" s="14" t="s">
        <v>139</v>
      </c>
      <c r="H309" s="14" t="s">
        <v>31</v>
      </c>
      <c r="I309" s="14" t="s">
        <v>139</v>
      </c>
      <c r="J309" s="14" t="s">
        <v>202</v>
      </c>
      <c r="K309" s="14">
        <v>1</v>
      </c>
      <c r="L309" s="14">
        <v>15911</v>
      </c>
      <c r="M309" s="14">
        <v>0</v>
      </c>
      <c r="N309" s="14">
        <v>0</v>
      </c>
      <c r="O309" s="14">
        <v>2863.98</v>
      </c>
      <c r="P309" s="14">
        <v>246</v>
      </c>
      <c r="Q309" s="14">
        <f t="shared" si="4"/>
        <v>18774.98</v>
      </c>
      <c r="R309" s="14">
        <v>19020.98</v>
      </c>
      <c r="S309" s="14" t="s">
        <v>83</v>
      </c>
      <c r="T309" s="14" t="s">
        <v>34</v>
      </c>
      <c r="U309" s="14" t="s">
        <v>103</v>
      </c>
      <c r="V309" s="14" t="s">
        <v>103</v>
      </c>
      <c r="W309" s="14" t="s">
        <v>57</v>
      </c>
      <c r="X309" s="14">
        <v>7</v>
      </c>
      <c r="Y309" s="14" t="s">
        <v>47</v>
      </c>
      <c r="Z309" s="14">
        <v>3</v>
      </c>
      <c r="AA309" s="14" t="s">
        <v>39</v>
      </c>
    </row>
    <row r="310" spans="1:27" x14ac:dyDescent="0.35">
      <c r="A310" s="14" t="s">
        <v>660</v>
      </c>
      <c r="B310" s="15">
        <v>46107</v>
      </c>
      <c r="C310" s="14" t="s">
        <v>661</v>
      </c>
      <c r="D310" s="14" t="s">
        <v>42</v>
      </c>
      <c r="E310" s="14" t="s">
        <v>29</v>
      </c>
      <c r="F310" s="14">
        <v>48</v>
      </c>
      <c r="G310" s="14" t="s">
        <v>30</v>
      </c>
      <c r="H310" s="14" t="s">
        <v>31</v>
      </c>
      <c r="I310" s="14" t="s">
        <v>30</v>
      </c>
      <c r="J310" s="14" t="s">
        <v>62</v>
      </c>
      <c r="K310" s="14">
        <v>4</v>
      </c>
      <c r="L310" s="14">
        <v>43550</v>
      </c>
      <c r="M310" s="14">
        <v>10</v>
      </c>
      <c r="N310" s="14">
        <v>17420</v>
      </c>
      <c r="O310" s="14">
        <v>28220.400000000001</v>
      </c>
      <c r="P310" s="14">
        <v>291</v>
      </c>
      <c r="Q310" s="14">
        <f t="shared" si="4"/>
        <v>185000.4</v>
      </c>
      <c r="R310" s="14">
        <v>185291.4</v>
      </c>
      <c r="S310" s="14" t="s">
        <v>54</v>
      </c>
      <c r="T310" s="14" t="s">
        <v>63</v>
      </c>
      <c r="U310" s="14" t="s">
        <v>103</v>
      </c>
      <c r="V310" s="14" t="s">
        <v>103</v>
      </c>
      <c r="W310" s="14" t="s">
        <v>57</v>
      </c>
      <c r="X310" s="14">
        <v>5</v>
      </c>
      <c r="Y310" s="14" t="s">
        <v>38</v>
      </c>
      <c r="Z310" s="14">
        <v>2</v>
      </c>
      <c r="AA310" s="14" t="s">
        <v>39</v>
      </c>
    </row>
    <row r="311" spans="1:27" x14ac:dyDescent="0.35">
      <c r="A311" s="14" t="s">
        <v>662</v>
      </c>
      <c r="B311" s="15">
        <v>45954</v>
      </c>
      <c r="C311" s="14" t="s">
        <v>232</v>
      </c>
      <c r="D311" s="14" t="s">
        <v>61</v>
      </c>
      <c r="E311" s="14" t="s">
        <v>43</v>
      </c>
      <c r="F311" s="14">
        <v>60</v>
      </c>
      <c r="G311" s="14" t="s">
        <v>134</v>
      </c>
      <c r="H311" s="14" t="s">
        <v>31</v>
      </c>
      <c r="I311" s="14" t="s">
        <v>134</v>
      </c>
      <c r="J311" s="14" t="s">
        <v>75</v>
      </c>
      <c r="K311" s="14">
        <v>3</v>
      </c>
      <c r="L311" s="14">
        <v>22416</v>
      </c>
      <c r="M311" s="14">
        <v>0</v>
      </c>
      <c r="N311" s="14">
        <v>0</v>
      </c>
      <c r="O311" s="14">
        <v>12104.64</v>
      </c>
      <c r="P311" s="14">
        <v>410</v>
      </c>
      <c r="Q311" s="14">
        <f t="shared" si="4"/>
        <v>79352.639999999999</v>
      </c>
      <c r="R311" s="14">
        <v>79762.64</v>
      </c>
      <c r="S311" s="14" t="s">
        <v>54</v>
      </c>
      <c r="T311" s="14" t="s">
        <v>34</v>
      </c>
      <c r="U311" s="14" t="s">
        <v>55</v>
      </c>
      <c r="V311" s="14" t="s">
        <v>56</v>
      </c>
      <c r="W311" s="14" t="s">
        <v>57</v>
      </c>
      <c r="X311" s="14">
        <v>9</v>
      </c>
      <c r="Y311" s="14" t="s">
        <v>47</v>
      </c>
      <c r="Z311" s="14">
        <v>3</v>
      </c>
      <c r="AA311" s="14" t="s">
        <v>47</v>
      </c>
    </row>
    <row r="312" spans="1:27" x14ac:dyDescent="0.35">
      <c r="A312" s="14" t="s">
        <v>663</v>
      </c>
      <c r="B312" s="15">
        <v>45781</v>
      </c>
      <c r="C312" s="14" t="s">
        <v>378</v>
      </c>
      <c r="D312" s="14" t="s">
        <v>28</v>
      </c>
      <c r="E312" s="14" t="s">
        <v>29</v>
      </c>
      <c r="F312" s="14">
        <v>23</v>
      </c>
      <c r="G312" s="14" t="s">
        <v>51</v>
      </c>
      <c r="H312" s="14" t="s">
        <v>52</v>
      </c>
      <c r="I312" s="14" t="s">
        <v>51</v>
      </c>
      <c r="J312" s="14" t="s">
        <v>202</v>
      </c>
      <c r="K312" s="14">
        <v>4</v>
      </c>
      <c r="L312" s="14">
        <v>29172</v>
      </c>
      <c r="M312" s="14">
        <v>15</v>
      </c>
      <c r="N312" s="14">
        <v>17503.2</v>
      </c>
      <c r="O312" s="14">
        <v>17853.259999999998</v>
      </c>
      <c r="P312" s="14">
        <v>97</v>
      </c>
      <c r="Q312" s="14">
        <f t="shared" si="4"/>
        <v>117038.06</v>
      </c>
      <c r="R312" s="14">
        <v>117135.06</v>
      </c>
      <c r="S312" s="14" t="s">
        <v>54</v>
      </c>
      <c r="T312" s="14" t="s">
        <v>63</v>
      </c>
      <c r="U312" s="14" t="s">
        <v>46</v>
      </c>
      <c r="V312" s="14" t="s">
        <v>36</v>
      </c>
      <c r="W312" s="14" t="s">
        <v>37</v>
      </c>
      <c r="X312" s="14">
        <v>4</v>
      </c>
      <c r="Y312" s="14" t="s">
        <v>47</v>
      </c>
      <c r="Z312" s="14">
        <v>2</v>
      </c>
      <c r="AA312" s="14" t="s">
        <v>91</v>
      </c>
    </row>
    <row r="313" spans="1:27" x14ac:dyDescent="0.35">
      <c r="A313" s="14" t="s">
        <v>664</v>
      </c>
      <c r="B313" s="15">
        <v>45863</v>
      </c>
      <c r="C313" s="14" t="s">
        <v>626</v>
      </c>
      <c r="D313" s="14" t="s">
        <v>80</v>
      </c>
      <c r="E313" s="14" t="s">
        <v>29</v>
      </c>
      <c r="F313" s="14">
        <v>35</v>
      </c>
      <c r="G313" s="14" t="s">
        <v>134</v>
      </c>
      <c r="H313" s="14" t="s">
        <v>31</v>
      </c>
      <c r="I313" s="14" t="s">
        <v>134</v>
      </c>
      <c r="J313" s="14" t="s">
        <v>32</v>
      </c>
      <c r="K313" s="14">
        <v>5</v>
      </c>
      <c r="L313" s="14">
        <v>44748</v>
      </c>
      <c r="M313" s="14">
        <v>15</v>
      </c>
      <c r="N313" s="14">
        <v>33561</v>
      </c>
      <c r="O313" s="14">
        <v>34232.22</v>
      </c>
      <c r="P313" s="14">
        <v>34</v>
      </c>
      <c r="Q313" s="14">
        <f t="shared" si="4"/>
        <v>224411.22</v>
      </c>
      <c r="R313" s="14">
        <v>224445.22</v>
      </c>
      <c r="S313" s="14" t="s">
        <v>45</v>
      </c>
      <c r="T313" s="14" t="s">
        <v>63</v>
      </c>
      <c r="U313" s="14" t="s">
        <v>35</v>
      </c>
      <c r="V313" s="14" t="s">
        <v>36</v>
      </c>
      <c r="W313" s="14" t="s">
        <v>37</v>
      </c>
      <c r="X313" s="14">
        <v>1</v>
      </c>
      <c r="Y313" s="14" t="s">
        <v>38</v>
      </c>
      <c r="Z313" s="14">
        <v>2</v>
      </c>
      <c r="AA313" s="14" t="s">
        <v>91</v>
      </c>
    </row>
    <row r="314" spans="1:27" x14ac:dyDescent="0.35">
      <c r="A314" s="14" t="s">
        <v>665</v>
      </c>
      <c r="B314" s="15">
        <v>45963</v>
      </c>
      <c r="C314" s="14" t="s">
        <v>666</v>
      </c>
      <c r="D314" s="14" t="s">
        <v>108</v>
      </c>
      <c r="E314" s="14" t="s">
        <v>43</v>
      </c>
      <c r="F314" s="14">
        <v>42</v>
      </c>
      <c r="G314" s="14" t="s">
        <v>99</v>
      </c>
      <c r="H314" s="14" t="s">
        <v>52</v>
      </c>
      <c r="I314" s="14" t="s">
        <v>99</v>
      </c>
      <c r="J314" s="14" t="s">
        <v>62</v>
      </c>
      <c r="K314" s="14">
        <v>5</v>
      </c>
      <c r="L314" s="14">
        <v>23381</v>
      </c>
      <c r="M314" s="14">
        <v>5</v>
      </c>
      <c r="N314" s="14">
        <v>5845.25</v>
      </c>
      <c r="O314" s="14">
        <v>19990.759999999998</v>
      </c>
      <c r="P314" s="14">
        <v>214</v>
      </c>
      <c r="Q314" s="14">
        <f t="shared" si="4"/>
        <v>131050.51000000001</v>
      </c>
      <c r="R314" s="14">
        <v>131264.51</v>
      </c>
      <c r="S314" s="14" t="s">
        <v>54</v>
      </c>
      <c r="T314" s="14" t="s">
        <v>34</v>
      </c>
      <c r="U314" s="14" t="s">
        <v>76</v>
      </c>
      <c r="V314" s="14" t="s">
        <v>77</v>
      </c>
      <c r="W314" s="14" t="s">
        <v>57</v>
      </c>
      <c r="X314" s="14">
        <v>3</v>
      </c>
      <c r="Y314" s="14" t="s">
        <v>47</v>
      </c>
      <c r="Z314" s="14">
        <v>4</v>
      </c>
      <c r="AA314" s="14" t="s">
        <v>58</v>
      </c>
    </row>
    <row r="315" spans="1:27" x14ac:dyDescent="0.35">
      <c r="A315" s="14" t="s">
        <v>667</v>
      </c>
      <c r="B315" s="15">
        <v>45868</v>
      </c>
      <c r="C315" s="14" t="s">
        <v>668</v>
      </c>
      <c r="D315" s="14" t="s">
        <v>80</v>
      </c>
      <c r="E315" s="14" t="s">
        <v>29</v>
      </c>
      <c r="F315" s="14">
        <v>44</v>
      </c>
      <c r="G315" s="14" t="s">
        <v>51</v>
      </c>
      <c r="H315" s="14" t="s">
        <v>52</v>
      </c>
      <c r="I315" s="14" t="s">
        <v>51</v>
      </c>
      <c r="J315" s="14" t="s">
        <v>102</v>
      </c>
      <c r="K315" s="14">
        <v>3</v>
      </c>
      <c r="L315" s="14">
        <v>21630</v>
      </c>
      <c r="M315" s="14">
        <v>15</v>
      </c>
      <c r="N315" s="14">
        <v>9733.5</v>
      </c>
      <c r="O315" s="14">
        <v>9928.17</v>
      </c>
      <c r="P315" s="14">
        <v>379</v>
      </c>
      <c r="Q315" s="14">
        <f t="shared" si="4"/>
        <v>65084.67</v>
      </c>
      <c r="R315" s="14">
        <v>65463.67</v>
      </c>
      <c r="S315" s="14" t="s">
        <v>54</v>
      </c>
      <c r="T315" s="14" t="s">
        <v>63</v>
      </c>
      <c r="U315" s="14" t="s">
        <v>46</v>
      </c>
      <c r="V315" s="14" t="s">
        <v>36</v>
      </c>
      <c r="W315" s="14" t="s">
        <v>37</v>
      </c>
      <c r="X315" s="14">
        <v>3</v>
      </c>
      <c r="Y315" s="14" t="s">
        <v>47</v>
      </c>
      <c r="Z315" s="14">
        <v>2</v>
      </c>
      <c r="AA315" s="14" t="s">
        <v>91</v>
      </c>
    </row>
    <row r="316" spans="1:27" x14ac:dyDescent="0.35">
      <c r="A316" s="14" t="s">
        <v>669</v>
      </c>
      <c r="B316" s="15">
        <v>45930</v>
      </c>
      <c r="C316" s="14" t="s">
        <v>670</v>
      </c>
      <c r="D316" s="14" t="s">
        <v>50</v>
      </c>
      <c r="E316" s="14" t="s">
        <v>43</v>
      </c>
      <c r="F316" s="14">
        <v>40</v>
      </c>
      <c r="G316" s="14" t="s">
        <v>90</v>
      </c>
      <c r="H316" s="14" t="s">
        <v>31</v>
      </c>
      <c r="I316" s="14" t="s">
        <v>90</v>
      </c>
      <c r="J316" s="14" t="s">
        <v>202</v>
      </c>
      <c r="K316" s="14">
        <v>2</v>
      </c>
      <c r="L316" s="14">
        <v>41791</v>
      </c>
      <c r="M316" s="14">
        <v>20</v>
      </c>
      <c r="N316" s="14">
        <v>16716.400000000001</v>
      </c>
      <c r="O316" s="14">
        <v>12035.81</v>
      </c>
      <c r="P316" s="14">
        <v>371</v>
      </c>
      <c r="Q316" s="14">
        <f t="shared" si="4"/>
        <v>78901.41</v>
      </c>
      <c r="R316" s="14">
        <v>79272.41</v>
      </c>
      <c r="S316" s="14" t="s">
        <v>45</v>
      </c>
      <c r="T316" s="14" t="s">
        <v>34</v>
      </c>
      <c r="U316" s="14" t="s">
        <v>55</v>
      </c>
      <c r="V316" s="14" t="s">
        <v>56</v>
      </c>
      <c r="W316" s="14" t="s">
        <v>57</v>
      </c>
      <c r="X316" s="14">
        <v>7</v>
      </c>
      <c r="Y316" s="14" t="s">
        <v>47</v>
      </c>
      <c r="Z316" s="14">
        <v>2</v>
      </c>
      <c r="AA316" s="14" t="s">
        <v>47</v>
      </c>
    </row>
    <row r="317" spans="1:27" x14ac:dyDescent="0.35">
      <c r="A317" s="14" t="s">
        <v>671</v>
      </c>
      <c r="B317" s="15">
        <v>45794</v>
      </c>
      <c r="C317" s="14" t="s">
        <v>672</v>
      </c>
      <c r="D317" s="14" t="s">
        <v>108</v>
      </c>
      <c r="E317" s="14" t="s">
        <v>43</v>
      </c>
      <c r="F317" s="14">
        <v>40</v>
      </c>
      <c r="G317" s="14" t="s">
        <v>90</v>
      </c>
      <c r="H317" s="14" t="s">
        <v>31</v>
      </c>
      <c r="I317" s="14" t="s">
        <v>90</v>
      </c>
      <c r="J317" s="14" t="s">
        <v>150</v>
      </c>
      <c r="K317" s="14">
        <v>2</v>
      </c>
      <c r="L317" s="14">
        <v>5799</v>
      </c>
      <c r="M317" s="14">
        <v>5</v>
      </c>
      <c r="N317" s="14">
        <v>579.9</v>
      </c>
      <c r="O317" s="14">
        <v>1983.26</v>
      </c>
      <c r="P317" s="14">
        <v>221</v>
      </c>
      <c r="Q317" s="14">
        <f t="shared" si="4"/>
        <v>13001.36</v>
      </c>
      <c r="R317" s="14">
        <v>13222.36</v>
      </c>
      <c r="S317" s="14" t="s">
        <v>54</v>
      </c>
      <c r="T317" s="14" t="s">
        <v>34</v>
      </c>
      <c r="U317" s="14" t="s">
        <v>55</v>
      </c>
      <c r="V317" s="14" t="s">
        <v>56</v>
      </c>
      <c r="W317" s="14" t="s">
        <v>57</v>
      </c>
      <c r="X317" s="14">
        <v>5</v>
      </c>
      <c r="Y317" s="14" t="s">
        <v>38</v>
      </c>
      <c r="Z317" s="14">
        <v>1</v>
      </c>
      <c r="AA317" s="14" t="s">
        <v>47</v>
      </c>
    </row>
    <row r="318" spans="1:27" x14ac:dyDescent="0.35">
      <c r="A318" s="14" t="s">
        <v>673</v>
      </c>
      <c r="B318" s="15">
        <v>45900</v>
      </c>
      <c r="C318" s="14" t="s">
        <v>478</v>
      </c>
      <c r="D318" s="14" t="s">
        <v>61</v>
      </c>
      <c r="E318" s="14" t="s">
        <v>29</v>
      </c>
      <c r="F318" s="14">
        <v>26</v>
      </c>
      <c r="G318" s="14" t="s">
        <v>51</v>
      </c>
      <c r="H318" s="14" t="s">
        <v>52</v>
      </c>
      <c r="I318" s="14" t="s">
        <v>51</v>
      </c>
      <c r="J318" s="14" t="s">
        <v>150</v>
      </c>
      <c r="K318" s="14">
        <v>2</v>
      </c>
      <c r="L318" s="14">
        <v>23634</v>
      </c>
      <c r="M318" s="14">
        <v>5</v>
      </c>
      <c r="N318" s="14">
        <v>2363.4</v>
      </c>
      <c r="O318" s="14">
        <v>8082.83</v>
      </c>
      <c r="P318" s="14">
        <v>450</v>
      </c>
      <c r="Q318" s="14">
        <f t="shared" si="4"/>
        <v>52987.43</v>
      </c>
      <c r="R318" s="14">
        <v>53437.43</v>
      </c>
      <c r="S318" s="14" t="s">
        <v>54</v>
      </c>
      <c r="T318" s="14" t="s">
        <v>63</v>
      </c>
      <c r="U318" s="14" t="s">
        <v>84</v>
      </c>
      <c r="V318" s="14" t="s">
        <v>85</v>
      </c>
      <c r="W318" s="14" t="s">
        <v>86</v>
      </c>
      <c r="X318" s="14">
        <v>9</v>
      </c>
      <c r="Y318" s="14" t="s">
        <v>47</v>
      </c>
      <c r="Z318" s="14">
        <v>2</v>
      </c>
      <c r="AA318" s="14" t="s">
        <v>47</v>
      </c>
    </row>
    <row r="319" spans="1:27" x14ac:dyDescent="0.35">
      <c r="A319" s="14" t="s">
        <v>674</v>
      </c>
      <c r="B319" s="15">
        <v>45963</v>
      </c>
      <c r="C319" s="14" t="s">
        <v>675</v>
      </c>
      <c r="D319" s="14" t="s">
        <v>80</v>
      </c>
      <c r="E319" s="14" t="s">
        <v>43</v>
      </c>
      <c r="F319" s="14">
        <v>51</v>
      </c>
      <c r="G319" s="14" t="s">
        <v>139</v>
      </c>
      <c r="H319" s="14" t="s">
        <v>31</v>
      </c>
      <c r="I319" s="14" t="s">
        <v>139</v>
      </c>
      <c r="J319" s="14" t="s">
        <v>102</v>
      </c>
      <c r="K319" s="14">
        <v>3</v>
      </c>
      <c r="L319" s="14">
        <v>21565</v>
      </c>
      <c r="M319" s="14">
        <v>15</v>
      </c>
      <c r="N319" s="14">
        <v>9704.25</v>
      </c>
      <c r="O319" s="14">
        <v>9898.33</v>
      </c>
      <c r="P319" s="14">
        <v>46</v>
      </c>
      <c r="Q319" s="14">
        <f t="shared" si="4"/>
        <v>64889.08</v>
      </c>
      <c r="R319" s="14">
        <v>64935.08</v>
      </c>
      <c r="S319" s="14" t="s">
        <v>83</v>
      </c>
      <c r="T319" s="14" t="s">
        <v>34</v>
      </c>
      <c r="U319" s="14" t="s">
        <v>84</v>
      </c>
      <c r="V319" s="14" t="s">
        <v>85</v>
      </c>
      <c r="W319" s="14" t="s">
        <v>86</v>
      </c>
      <c r="X319" s="14">
        <v>10</v>
      </c>
      <c r="Y319" s="14" t="s">
        <v>38</v>
      </c>
      <c r="Z319" s="14">
        <v>2</v>
      </c>
      <c r="AA319" s="14" t="s">
        <v>39</v>
      </c>
    </row>
    <row r="320" spans="1:27" x14ac:dyDescent="0.35">
      <c r="A320" s="14" t="s">
        <v>676</v>
      </c>
      <c r="B320" s="15">
        <v>45870</v>
      </c>
      <c r="C320" s="14" t="s">
        <v>677</v>
      </c>
      <c r="D320" s="14" t="s">
        <v>108</v>
      </c>
      <c r="E320" s="14" t="s">
        <v>29</v>
      </c>
      <c r="F320" s="14">
        <v>49</v>
      </c>
      <c r="G320" s="14" t="s">
        <v>30</v>
      </c>
      <c r="H320" s="14" t="s">
        <v>31</v>
      </c>
      <c r="I320" s="14" t="s">
        <v>30</v>
      </c>
      <c r="J320" s="14" t="s">
        <v>32</v>
      </c>
      <c r="K320" s="14">
        <v>5</v>
      </c>
      <c r="L320" s="14">
        <v>41024</v>
      </c>
      <c r="M320" s="14">
        <v>20</v>
      </c>
      <c r="N320" s="14">
        <v>41024</v>
      </c>
      <c r="O320" s="14">
        <v>29537.279999999999</v>
      </c>
      <c r="P320" s="14">
        <v>262</v>
      </c>
      <c r="Q320" s="14">
        <f t="shared" si="4"/>
        <v>193633.28</v>
      </c>
      <c r="R320" s="14">
        <v>193895.28</v>
      </c>
      <c r="S320" s="14" t="s">
        <v>33</v>
      </c>
      <c r="T320" s="14" t="s">
        <v>63</v>
      </c>
      <c r="U320" s="14" t="s">
        <v>84</v>
      </c>
      <c r="V320" s="14" t="s">
        <v>85</v>
      </c>
      <c r="W320" s="14" t="s">
        <v>86</v>
      </c>
      <c r="X320" s="14">
        <v>5</v>
      </c>
      <c r="Y320" s="14" t="s">
        <v>47</v>
      </c>
      <c r="Z320" s="14">
        <v>4</v>
      </c>
      <c r="AA320" s="14" t="s">
        <v>91</v>
      </c>
    </row>
    <row r="321" spans="1:27" x14ac:dyDescent="0.35">
      <c r="A321" s="14" t="s">
        <v>678</v>
      </c>
      <c r="B321" s="15">
        <v>45881</v>
      </c>
      <c r="C321" s="14" t="s">
        <v>679</v>
      </c>
      <c r="D321" s="14" t="s">
        <v>50</v>
      </c>
      <c r="E321" s="14" t="s">
        <v>43</v>
      </c>
      <c r="F321" s="14">
        <v>37</v>
      </c>
      <c r="G321" s="14" t="s">
        <v>134</v>
      </c>
      <c r="H321" s="14" t="s">
        <v>31</v>
      </c>
      <c r="I321" s="14" t="s">
        <v>134</v>
      </c>
      <c r="J321" s="14" t="s">
        <v>32</v>
      </c>
      <c r="K321" s="14">
        <v>2</v>
      </c>
      <c r="L321" s="14">
        <v>49704</v>
      </c>
      <c r="M321" s="14">
        <v>20</v>
      </c>
      <c r="N321" s="14">
        <v>19881.599999999999</v>
      </c>
      <c r="O321" s="14">
        <v>14314.75</v>
      </c>
      <c r="P321" s="14">
        <v>174</v>
      </c>
      <c r="Q321" s="14">
        <f t="shared" si="4"/>
        <v>93841.15</v>
      </c>
      <c r="R321" s="14">
        <v>94015.15</v>
      </c>
      <c r="S321" s="14" t="s">
        <v>45</v>
      </c>
      <c r="T321" s="14" t="s">
        <v>34</v>
      </c>
      <c r="U321" s="14" t="s">
        <v>84</v>
      </c>
      <c r="V321" s="14" t="s">
        <v>85</v>
      </c>
      <c r="W321" s="14" t="s">
        <v>86</v>
      </c>
      <c r="X321" s="14">
        <v>8</v>
      </c>
      <c r="Y321" s="14" t="s">
        <v>47</v>
      </c>
      <c r="Z321" s="14">
        <v>3</v>
      </c>
      <c r="AA321" s="14" t="s">
        <v>91</v>
      </c>
    </row>
    <row r="322" spans="1:27" x14ac:dyDescent="0.35">
      <c r="A322" s="14" t="s">
        <v>680</v>
      </c>
      <c r="B322" s="15">
        <v>45892</v>
      </c>
      <c r="C322" s="14" t="s">
        <v>681</v>
      </c>
      <c r="D322" s="14" t="s">
        <v>108</v>
      </c>
      <c r="E322" s="14" t="s">
        <v>29</v>
      </c>
      <c r="F322" s="14">
        <v>38</v>
      </c>
      <c r="G322" s="14" t="s">
        <v>74</v>
      </c>
      <c r="H322" s="14" t="s">
        <v>31</v>
      </c>
      <c r="I322" s="14" t="s">
        <v>74</v>
      </c>
      <c r="J322" s="14" t="s">
        <v>125</v>
      </c>
      <c r="K322" s="14">
        <v>1</v>
      </c>
      <c r="L322" s="14">
        <v>7179</v>
      </c>
      <c r="M322" s="14">
        <v>15</v>
      </c>
      <c r="N322" s="14">
        <v>1076.8499999999999</v>
      </c>
      <c r="O322" s="14">
        <v>1098.3900000000001</v>
      </c>
      <c r="P322" s="14">
        <v>459</v>
      </c>
      <c r="Q322" s="14">
        <f t="shared" si="4"/>
        <v>7200.54</v>
      </c>
      <c r="R322" s="14">
        <v>7659.54</v>
      </c>
      <c r="S322" s="14" t="s">
        <v>33</v>
      </c>
      <c r="T322" s="14" t="s">
        <v>34</v>
      </c>
      <c r="U322" s="14" t="s">
        <v>35</v>
      </c>
      <c r="V322" s="14" t="s">
        <v>36</v>
      </c>
      <c r="W322" s="14" t="s">
        <v>37</v>
      </c>
      <c r="X322" s="14">
        <v>7</v>
      </c>
      <c r="Y322" s="14" t="s">
        <v>38</v>
      </c>
      <c r="Z322" s="14">
        <v>5</v>
      </c>
      <c r="AA322" s="14" t="s">
        <v>91</v>
      </c>
    </row>
    <row r="323" spans="1:27" x14ac:dyDescent="0.35">
      <c r="A323" s="14" t="s">
        <v>682</v>
      </c>
      <c r="B323" s="15">
        <v>45796</v>
      </c>
      <c r="C323" s="14" t="s">
        <v>683</v>
      </c>
      <c r="D323" s="14" t="s">
        <v>61</v>
      </c>
      <c r="E323" s="14" t="s">
        <v>43</v>
      </c>
      <c r="F323" s="14">
        <v>55</v>
      </c>
      <c r="G323" s="14" t="s">
        <v>90</v>
      </c>
      <c r="H323" s="14" t="s">
        <v>31</v>
      </c>
      <c r="I323" s="14" t="s">
        <v>90</v>
      </c>
      <c r="J323" s="14" t="s">
        <v>53</v>
      </c>
      <c r="K323" s="14">
        <v>1</v>
      </c>
      <c r="L323" s="14">
        <v>48043</v>
      </c>
      <c r="M323" s="14">
        <v>5</v>
      </c>
      <c r="N323" s="14">
        <v>2402.15</v>
      </c>
      <c r="O323" s="14">
        <v>8215.35</v>
      </c>
      <c r="P323" s="14">
        <v>151</v>
      </c>
      <c r="Q323" s="14">
        <f t="shared" ref="Q323:Q386" si="5">R323-P323</f>
        <v>53856.2</v>
      </c>
      <c r="R323" s="14">
        <v>54007.199999999997</v>
      </c>
      <c r="S323" s="14" t="s">
        <v>54</v>
      </c>
      <c r="T323" s="14" t="s">
        <v>63</v>
      </c>
      <c r="U323" s="14" t="s">
        <v>95</v>
      </c>
      <c r="V323" s="14" t="s">
        <v>96</v>
      </c>
      <c r="W323" s="14" t="s">
        <v>57</v>
      </c>
      <c r="X323" s="14">
        <v>3</v>
      </c>
      <c r="Y323" s="14" t="s">
        <v>38</v>
      </c>
      <c r="Z323" s="14">
        <v>3</v>
      </c>
      <c r="AA323" s="14" t="s">
        <v>91</v>
      </c>
    </row>
    <row r="324" spans="1:27" x14ac:dyDescent="0.35">
      <c r="A324" s="14" t="s">
        <v>684</v>
      </c>
      <c r="B324" s="15">
        <v>45922</v>
      </c>
      <c r="C324" s="14" t="s">
        <v>685</v>
      </c>
      <c r="D324" s="14" t="s">
        <v>50</v>
      </c>
      <c r="E324" s="14" t="s">
        <v>43</v>
      </c>
      <c r="F324" s="14">
        <v>49</v>
      </c>
      <c r="G324" s="14" t="s">
        <v>51</v>
      </c>
      <c r="H324" s="14" t="s">
        <v>52</v>
      </c>
      <c r="I324" s="14" t="s">
        <v>51</v>
      </c>
      <c r="J324" s="14" t="s">
        <v>150</v>
      </c>
      <c r="K324" s="14">
        <v>5</v>
      </c>
      <c r="L324" s="14">
        <v>49415</v>
      </c>
      <c r="M324" s="14">
        <v>0</v>
      </c>
      <c r="N324" s="14">
        <v>0</v>
      </c>
      <c r="O324" s="14">
        <v>44473.5</v>
      </c>
      <c r="P324" s="14">
        <v>97</v>
      </c>
      <c r="Q324" s="14">
        <f t="shared" si="5"/>
        <v>291548.5</v>
      </c>
      <c r="R324" s="14">
        <v>291645.5</v>
      </c>
      <c r="S324" s="14" t="s">
        <v>83</v>
      </c>
      <c r="T324" s="14" t="s">
        <v>34</v>
      </c>
      <c r="U324" s="14" t="s">
        <v>70</v>
      </c>
      <c r="V324" s="14" t="s">
        <v>56</v>
      </c>
      <c r="W324" s="14" t="s">
        <v>57</v>
      </c>
      <c r="X324" s="14">
        <v>3</v>
      </c>
      <c r="Y324" s="14" t="s">
        <v>47</v>
      </c>
      <c r="Z324" s="14">
        <v>2</v>
      </c>
      <c r="AA324" s="14" t="s">
        <v>58</v>
      </c>
    </row>
    <row r="325" spans="1:27" x14ac:dyDescent="0.35">
      <c r="A325" s="14" t="s">
        <v>686</v>
      </c>
      <c r="B325" s="15">
        <v>46018</v>
      </c>
      <c r="C325" s="14" t="s">
        <v>687</v>
      </c>
      <c r="D325" s="14" t="s">
        <v>66</v>
      </c>
      <c r="E325" s="14" t="s">
        <v>43</v>
      </c>
      <c r="F325" s="14">
        <v>34</v>
      </c>
      <c r="G325" s="14" t="s">
        <v>94</v>
      </c>
      <c r="H325" s="14" t="s">
        <v>31</v>
      </c>
      <c r="I325" s="14" t="s">
        <v>94</v>
      </c>
      <c r="J325" s="14" t="s">
        <v>202</v>
      </c>
      <c r="K325" s="14">
        <v>3</v>
      </c>
      <c r="L325" s="14">
        <v>19786</v>
      </c>
      <c r="M325" s="14">
        <v>10</v>
      </c>
      <c r="N325" s="14">
        <v>5935.8</v>
      </c>
      <c r="O325" s="14">
        <v>9616</v>
      </c>
      <c r="P325" s="14">
        <v>78</v>
      </c>
      <c r="Q325" s="14">
        <f t="shared" si="5"/>
        <v>63038.2</v>
      </c>
      <c r="R325" s="14">
        <v>63116.2</v>
      </c>
      <c r="S325" s="14" t="s">
        <v>33</v>
      </c>
      <c r="T325" s="14" t="s">
        <v>34</v>
      </c>
      <c r="U325" s="14" t="s">
        <v>35</v>
      </c>
      <c r="V325" s="14" t="s">
        <v>36</v>
      </c>
      <c r="W325" s="14" t="s">
        <v>37</v>
      </c>
      <c r="X325" s="14">
        <v>1</v>
      </c>
      <c r="Y325" s="14" t="s">
        <v>38</v>
      </c>
      <c r="Z325" s="14">
        <v>4</v>
      </c>
      <c r="AA325" s="14" t="s">
        <v>39</v>
      </c>
    </row>
    <row r="326" spans="1:27" x14ac:dyDescent="0.35">
      <c r="A326" s="14" t="s">
        <v>688</v>
      </c>
      <c r="B326" s="15">
        <v>45970</v>
      </c>
      <c r="C326" s="14" t="s">
        <v>331</v>
      </c>
      <c r="D326" s="14" t="s">
        <v>89</v>
      </c>
      <c r="E326" s="14" t="s">
        <v>29</v>
      </c>
      <c r="F326" s="14">
        <v>26</v>
      </c>
      <c r="G326" s="14" t="s">
        <v>44</v>
      </c>
      <c r="H326" s="14" t="s">
        <v>31</v>
      </c>
      <c r="I326" s="14" t="s">
        <v>44</v>
      </c>
      <c r="J326" s="14" t="s">
        <v>53</v>
      </c>
      <c r="K326" s="14">
        <v>5</v>
      </c>
      <c r="L326" s="14">
        <v>30964</v>
      </c>
      <c r="M326" s="14">
        <v>20</v>
      </c>
      <c r="N326" s="14">
        <v>30964</v>
      </c>
      <c r="O326" s="14">
        <v>22294.080000000002</v>
      </c>
      <c r="P326" s="14">
        <v>420</v>
      </c>
      <c r="Q326" s="14">
        <f t="shared" si="5"/>
        <v>146150.07999999999</v>
      </c>
      <c r="R326" s="14">
        <v>146570.07999999999</v>
      </c>
      <c r="S326" s="14" t="s">
        <v>33</v>
      </c>
      <c r="T326" s="14" t="s">
        <v>34</v>
      </c>
      <c r="U326" s="14" t="s">
        <v>55</v>
      </c>
      <c r="V326" s="14" t="s">
        <v>56</v>
      </c>
      <c r="W326" s="14" t="s">
        <v>57</v>
      </c>
      <c r="X326" s="14">
        <v>7</v>
      </c>
      <c r="Y326" s="14" t="s">
        <v>38</v>
      </c>
      <c r="Z326" s="14">
        <v>4</v>
      </c>
      <c r="AA326" s="14" t="s">
        <v>47</v>
      </c>
    </row>
    <row r="327" spans="1:27" x14ac:dyDescent="0.35">
      <c r="A327" s="14" t="s">
        <v>689</v>
      </c>
      <c r="B327" s="15">
        <v>46103</v>
      </c>
      <c r="C327" s="14" t="s">
        <v>182</v>
      </c>
      <c r="D327" s="14" t="s">
        <v>89</v>
      </c>
      <c r="E327" s="14" t="s">
        <v>29</v>
      </c>
      <c r="F327" s="14">
        <v>58</v>
      </c>
      <c r="G327" s="14" t="s">
        <v>30</v>
      </c>
      <c r="H327" s="14" t="s">
        <v>31</v>
      </c>
      <c r="I327" s="14" t="s">
        <v>30</v>
      </c>
      <c r="J327" s="14" t="s">
        <v>112</v>
      </c>
      <c r="K327" s="14">
        <v>4</v>
      </c>
      <c r="L327" s="14">
        <v>49969</v>
      </c>
      <c r="M327" s="14">
        <v>5</v>
      </c>
      <c r="N327" s="14">
        <v>9993.7999999999993</v>
      </c>
      <c r="O327" s="14">
        <v>34178.800000000003</v>
      </c>
      <c r="P327" s="14">
        <v>218</v>
      </c>
      <c r="Q327" s="14">
        <f t="shared" si="5"/>
        <v>224061</v>
      </c>
      <c r="R327" s="14">
        <v>224279</v>
      </c>
      <c r="S327" s="14" t="s">
        <v>83</v>
      </c>
      <c r="T327" s="14" t="s">
        <v>34</v>
      </c>
      <c r="U327" s="14" t="s">
        <v>46</v>
      </c>
      <c r="V327" s="14" t="s">
        <v>36</v>
      </c>
      <c r="W327" s="14" t="s">
        <v>37</v>
      </c>
      <c r="X327" s="14">
        <v>9</v>
      </c>
      <c r="Y327" s="14" t="s">
        <v>47</v>
      </c>
      <c r="Z327" s="14">
        <v>1</v>
      </c>
      <c r="AA327" s="14" t="s">
        <v>39</v>
      </c>
    </row>
    <row r="328" spans="1:27" x14ac:dyDescent="0.35">
      <c r="A328" s="14" t="s">
        <v>690</v>
      </c>
      <c r="B328" s="15">
        <v>46101</v>
      </c>
      <c r="C328" s="14" t="s">
        <v>691</v>
      </c>
      <c r="D328" s="14" t="s">
        <v>42</v>
      </c>
      <c r="E328" s="14" t="s">
        <v>43</v>
      </c>
      <c r="F328" s="14">
        <v>33</v>
      </c>
      <c r="G328" s="14" t="s">
        <v>99</v>
      </c>
      <c r="H328" s="14" t="s">
        <v>52</v>
      </c>
      <c r="I328" s="14" t="s">
        <v>99</v>
      </c>
      <c r="J328" s="14" t="s">
        <v>32</v>
      </c>
      <c r="K328" s="14">
        <v>2</v>
      </c>
      <c r="L328" s="14">
        <v>42028</v>
      </c>
      <c r="M328" s="14">
        <v>15</v>
      </c>
      <c r="N328" s="14">
        <v>12608.4</v>
      </c>
      <c r="O328" s="14">
        <v>12860.57</v>
      </c>
      <c r="P328" s="14">
        <v>190</v>
      </c>
      <c r="Q328" s="14">
        <f t="shared" si="5"/>
        <v>84308.17</v>
      </c>
      <c r="R328" s="14">
        <v>84498.17</v>
      </c>
      <c r="S328" s="14" t="s">
        <v>54</v>
      </c>
      <c r="T328" s="14" t="s">
        <v>34</v>
      </c>
      <c r="U328" s="14" t="s">
        <v>55</v>
      </c>
      <c r="V328" s="14" t="s">
        <v>56</v>
      </c>
      <c r="W328" s="14" t="s">
        <v>57</v>
      </c>
      <c r="X328" s="14">
        <v>7</v>
      </c>
      <c r="Y328" s="14" t="s">
        <v>47</v>
      </c>
      <c r="Z328" s="14">
        <v>2</v>
      </c>
      <c r="AA328" s="14" t="s">
        <v>58</v>
      </c>
    </row>
    <row r="329" spans="1:27" x14ac:dyDescent="0.35">
      <c r="A329" s="14" t="s">
        <v>692</v>
      </c>
      <c r="B329" s="15">
        <v>45869</v>
      </c>
      <c r="C329" s="14" t="s">
        <v>628</v>
      </c>
      <c r="D329" s="14" t="s">
        <v>28</v>
      </c>
      <c r="E329" s="14" t="s">
        <v>29</v>
      </c>
      <c r="F329" s="14">
        <v>59</v>
      </c>
      <c r="G329" s="14" t="s">
        <v>30</v>
      </c>
      <c r="H329" s="14" t="s">
        <v>31</v>
      </c>
      <c r="I329" s="14" t="s">
        <v>30</v>
      </c>
      <c r="J329" s="14" t="s">
        <v>112</v>
      </c>
      <c r="K329" s="14">
        <v>3</v>
      </c>
      <c r="L329" s="14">
        <v>40430</v>
      </c>
      <c r="M329" s="14">
        <v>20</v>
      </c>
      <c r="N329" s="14">
        <v>24258</v>
      </c>
      <c r="O329" s="14">
        <v>17465.759999999998</v>
      </c>
      <c r="P329" s="14">
        <v>15</v>
      </c>
      <c r="Q329" s="14">
        <f t="shared" si="5"/>
        <v>114497.76</v>
      </c>
      <c r="R329" s="14">
        <v>114512.76</v>
      </c>
      <c r="S329" s="14" t="s">
        <v>33</v>
      </c>
      <c r="T329" s="14" t="s">
        <v>34</v>
      </c>
      <c r="U329" s="14" t="s">
        <v>84</v>
      </c>
      <c r="V329" s="14" t="s">
        <v>85</v>
      </c>
      <c r="W329" s="14" t="s">
        <v>86</v>
      </c>
      <c r="X329" s="14">
        <v>6</v>
      </c>
      <c r="Y329" s="14" t="s">
        <v>38</v>
      </c>
      <c r="Z329" s="14">
        <v>4</v>
      </c>
      <c r="AA329" s="14" t="s">
        <v>91</v>
      </c>
    </row>
    <row r="330" spans="1:27" x14ac:dyDescent="0.35">
      <c r="A330" s="14" t="s">
        <v>693</v>
      </c>
      <c r="B330" s="15">
        <v>46006</v>
      </c>
      <c r="C330" s="14" t="s">
        <v>694</v>
      </c>
      <c r="D330" s="14" t="s">
        <v>61</v>
      </c>
      <c r="E330" s="14" t="s">
        <v>29</v>
      </c>
      <c r="F330" s="14">
        <v>60</v>
      </c>
      <c r="G330" s="14" t="s">
        <v>44</v>
      </c>
      <c r="H330" s="14" t="s">
        <v>31</v>
      </c>
      <c r="I330" s="14" t="s">
        <v>44</v>
      </c>
      <c r="J330" s="14" t="s">
        <v>150</v>
      </c>
      <c r="K330" s="14">
        <v>5</v>
      </c>
      <c r="L330" s="14">
        <v>34114</v>
      </c>
      <c r="M330" s="14">
        <v>0</v>
      </c>
      <c r="N330" s="14">
        <v>0</v>
      </c>
      <c r="O330" s="14">
        <v>30702.6</v>
      </c>
      <c r="P330" s="14">
        <v>3</v>
      </c>
      <c r="Q330" s="14">
        <f t="shared" si="5"/>
        <v>201272.6</v>
      </c>
      <c r="R330" s="14">
        <v>201275.6</v>
      </c>
      <c r="S330" s="14" t="s">
        <v>45</v>
      </c>
      <c r="T330" s="14" t="s">
        <v>63</v>
      </c>
      <c r="U330" s="14" t="s">
        <v>84</v>
      </c>
      <c r="V330" s="14" t="s">
        <v>85</v>
      </c>
      <c r="W330" s="14" t="s">
        <v>86</v>
      </c>
      <c r="X330" s="14">
        <v>7</v>
      </c>
      <c r="Y330" s="14" t="s">
        <v>47</v>
      </c>
      <c r="Z330" s="14">
        <v>1</v>
      </c>
      <c r="AA330" s="14" t="s">
        <v>47</v>
      </c>
    </row>
    <row r="331" spans="1:27" x14ac:dyDescent="0.35">
      <c r="A331" s="14" t="s">
        <v>695</v>
      </c>
      <c r="B331" s="15">
        <v>46044</v>
      </c>
      <c r="C331" s="14" t="s">
        <v>696</v>
      </c>
      <c r="D331" s="14" t="s">
        <v>73</v>
      </c>
      <c r="E331" s="14" t="s">
        <v>43</v>
      </c>
      <c r="F331" s="14">
        <v>20</v>
      </c>
      <c r="G331" s="14" t="s">
        <v>67</v>
      </c>
      <c r="H331" s="14" t="s">
        <v>68</v>
      </c>
      <c r="I331" s="14" t="s">
        <v>67</v>
      </c>
      <c r="J331" s="14" t="s">
        <v>75</v>
      </c>
      <c r="K331" s="14">
        <v>2</v>
      </c>
      <c r="L331" s="14">
        <v>23052</v>
      </c>
      <c r="M331" s="14">
        <v>20</v>
      </c>
      <c r="N331" s="14">
        <v>9220.7999999999993</v>
      </c>
      <c r="O331" s="14">
        <v>6638.98</v>
      </c>
      <c r="P331" s="14">
        <v>141</v>
      </c>
      <c r="Q331" s="14">
        <f t="shared" si="5"/>
        <v>43522.18</v>
      </c>
      <c r="R331" s="14">
        <v>43663.18</v>
      </c>
      <c r="S331" s="14" t="s">
        <v>54</v>
      </c>
      <c r="T331" s="14" t="s">
        <v>34</v>
      </c>
      <c r="U331" s="14" t="s">
        <v>35</v>
      </c>
      <c r="V331" s="14" t="s">
        <v>36</v>
      </c>
      <c r="W331" s="14" t="s">
        <v>37</v>
      </c>
      <c r="X331" s="14">
        <v>2</v>
      </c>
      <c r="Y331" s="14" t="s">
        <v>38</v>
      </c>
      <c r="Z331" s="14">
        <v>4</v>
      </c>
      <c r="AA331" s="14" t="s">
        <v>39</v>
      </c>
    </row>
    <row r="332" spans="1:27" x14ac:dyDescent="0.35">
      <c r="A332" s="14" t="s">
        <v>697</v>
      </c>
      <c r="B332" s="15">
        <v>45831</v>
      </c>
      <c r="C332" s="14" t="s">
        <v>698</v>
      </c>
      <c r="D332" s="14" t="s">
        <v>42</v>
      </c>
      <c r="E332" s="14" t="s">
        <v>43</v>
      </c>
      <c r="F332" s="14">
        <v>30</v>
      </c>
      <c r="G332" s="14" t="s">
        <v>94</v>
      </c>
      <c r="H332" s="14" t="s">
        <v>31</v>
      </c>
      <c r="I332" s="14" t="s">
        <v>94</v>
      </c>
      <c r="J332" s="14" t="s">
        <v>62</v>
      </c>
      <c r="K332" s="14">
        <v>5</v>
      </c>
      <c r="L332" s="14">
        <v>26141</v>
      </c>
      <c r="M332" s="14">
        <v>0</v>
      </c>
      <c r="N332" s="14">
        <v>0</v>
      </c>
      <c r="O332" s="14">
        <v>23526.9</v>
      </c>
      <c r="P332" s="14">
        <v>51</v>
      </c>
      <c r="Q332" s="14">
        <f t="shared" si="5"/>
        <v>154231.9</v>
      </c>
      <c r="R332" s="14">
        <v>154282.9</v>
      </c>
      <c r="S332" s="14" t="s">
        <v>83</v>
      </c>
      <c r="T332" s="14" t="s">
        <v>63</v>
      </c>
      <c r="U332" s="14" t="s">
        <v>103</v>
      </c>
      <c r="V332" s="14" t="s">
        <v>103</v>
      </c>
      <c r="W332" s="14" t="s">
        <v>57</v>
      </c>
      <c r="X332" s="14">
        <v>10</v>
      </c>
      <c r="Y332" s="14" t="s">
        <v>38</v>
      </c>
      <c r="Z332" s="14">
        <v>1</v>
      </c>
      <c r="AA332" s="14" t="s">
        <v>39</v>
      </c>
    </row>
    <row r="333" spans="1:27" x14ac:dyDescent="0.35">
      <c r="A333" s="14" t="s">
        <v>699</v>
      </c>
      <c r="B333" s="15">
        <v>46027</v>
      </c>
      <c r="C333" s="14" t="s">
        <v>343</v>
      </c>
      <c r="D333" s="14" t="s">
        <v>111</v>
      </c>
      <c r="E333" s="14" t="s">
        <v>43</v>
      </c>
      <c r="F333" s="14">
        <v>23</v>
      </c>
      <c r="G333" s="14" t="s">
        <v>90</v>
      </c>
      <c r="H333" s="14" t="s">
        <v>31</v>
      </c>
      <c r="I333" s="14" t="s">
        <v>90</v>
      </c>
      <c r="J333" s="14" t="s">
        <v>32</v>
      </c>
      <c r="K333" s="14">
        <v>3</v>
      </c>
      <c r="L333" s="14">
        <v>3051</v>
      </c>
      <c r="M333" s="14">
        <v>15</v>
      </c>
      <c r="N333" s="14">
        <v>1372.95</v>
      </c>
      <c r="O333" s="14">
        <v>1400.41</v>
      </c>
      <c r="P333" s="14">
        <v>107</v>
      </c>
      <c r="Q333" s="14">
        <f t="shared" si="5"/>
        <v>9180.4599999999991</v>
      </c>
      <c r="R333" s="14">
        <v>9287.4599999999991</v>
      </c>
      <c r="S333" s="14" t="s">
        <v>45</v>
      </c>
      <c r="T333" s="14" t="s">
        <v>63</v>
      </c>
      <c r="U333" s="14" t="s">
        <v>95</v>
      </c>
      <c r="V333" s="14" t="s">
        <v>96</v>
      </c>
      <c r="W333" s="14" t="s">
        <v>57</v>
      </c>
      <c r="X333" s="14">
        <v>7</v>
      </c>
      <c r="Y333" s="14" t="s">
        <v>38</v>
      </c>
      <c r="Z333" s="14">
        <v>5</v>
      </c>
      <c r="AA333" s="14" t="s">
        <v>91</v>
      </c>
    </row>
    <row r="334" spans="1:27" x14ac:dyDescent="0.35">
      <c r="A334" s="14" t="s">
        <v>700</v>
      </c>
      <c r="B334" s="15">
        <v>45925</v>
      </c>
      <c r="C334" s="14" t="s">
        <v>701</v>
      </c>
      <c r="D334" s="14" t="s">
        <v>28</v>
      </c>
      <c r="E334" s="14" t="s">
        <v>29</v>
      </c>
      <c r="F334" s="14">
        <v>27</v>
      </c>
      <c r="G334" s="14" t="s">
        <v>94</v>
      </c>
      <c r="H334" s="14" t="s">
        <v>31</v>
      </c>
      <c r="I334" s="14" t="s">
        <v>94</v>
      </c>
      <c r="J334" s="14" t="s">
        <v>32</v>
      </c>
      <c r="K334" s="14">
        <v>1</v>
      </c>
      <c r="L334" s="14">
        <v>48655</v>
      </c>
      <c r="M334" s="14">
        <v>0</v>
      </c>
      <c r="N334" s="14">
        <v>0</v>
      </c>
      <c r="O334" s="14">
        <v>8757.9</v>
      </c>
      <c r="P334" s="14">
        <v>391</v>
      </c>
      <c r="Q334" s="14">
        <f t="shared" si="5"/>
        <v>57412.9</v>
      </c>
      <c r="R334" s="14">
        <v>57803.9</v>
      </c>
      <c r="S334" s="14" t="s">
        <v>83</v>
      </c>
      <c r="T334" s="14" t="s">
        <v>63</v>
      </c>
      <c r="U334" s="14" t="s">
        <v>70</v>
      </c>
      <c r="V334" s="14" t="s">
        <v>56</v>
      </c>
      <c r="W334" s="14" t="s">
        <v>57</v>
      </c>
      <c r="X334" s="14">
        <v>1</v>
      </c>
      <c r="Y334" s="14" t="s">
        <v>38</v>
      </c>
      <c r="Z334" s="14">
        <v>3</v>
      </c>
      <c r="AA334" s="14" t="s">
        <v>58</v>
      </c>
    </row>
    <row r="335" spans="1:27" x14ac:dyDescent="0.35">
      <c r="A335" s="14" t="s">
        <v>702</v>
      </c>
      <c r="B335" s="15">
        <v>45834</v>
      </c>
      <c r="C335" s="14" t="s">
        <v>703</v>
      </c>
      <c r="D335" s="14" t="s">
        <v>111</v>
      </c>
      <c r="E335" s="14" t="s">
        <v>29</v>
      </c>
      <c r="F335" s="14">
        <v>57</v>
      </c>
      <c r="G335" s="14" t="s">
        <v>90</v>
      </c>
      <c r="H335" s="14" t="s">
        <v>31</v>
      </c>
      <c r="I335" s="14" t="s">
        <v>90</v>
      </c>
      <c r="J335" s="14" t="s">
        <v>150</v>
      </c>
      <c r="K335" s="14">
        <v>4</v>
      </c>
      <c r="L335" s="14">
        <v>1414</v>
      </c>
      <c r="M335" s="14">
        <v>20</v>
      </c>
      <c r="N335" s="14">
        <v>1131.2</v>
      </c>
      <c r="O335" s="14">
        <v>814.46</v>
      </c>
      <c r="P335" s="14">
        <v>128</v>
      </c>
      <c r="Q335" s="14">
        <f t="shared" si="5"/>
        <v>5339.26</v>
      </c>
      <c r="R335" s="14">
        <v>5467.26</v>
      </c>
      <c r="S335" s="14" t="s">
        <v>54</v>
      </c>
      <c r="T335" s="14" t="s">
        <v>34</v>
      </c>
      <c r="U335" s="14" t="s">
        <v>46</v>
      </c>
      <c r="V335" s="14" t="s">
        <v>36</v>
      </c>
      <c r="W335" s="14" t="s">
        <v>37</v>
      </c>
      <c r="X335" s="14">
        <v>10</v>
      </c>
      <c r="Y335" s="14" t="s">
        <v>38</v>
      </c>
      <c r="Z335" s="14">
        <v>3</v>
      </c>
      <c r="AA335" s="14" t="s">
        <v>47</v>
      </c>
    </row>
    <row r="336" spans="1:27" x14ac:dyDescent="0.35">
      <c r="A336" s="14" t="s">
        <v>704</v>
      </c>
      <c r="B336" s="15">
        <v>45763</v>
      </c>
      <c r="C336" s="14" t="s">
        <v>187</v>
      </c>
      <c r="D336" s="14" t="s">
        <v>50</v>
      </c>
      <c r="E336" s="14" t="s">
        <v>29</v>
      </c>
      <c r="F336" s="14">
        <v>53</v>
      </c>
      <c r="G336" s="14" t="s">
        <v>44</v>
      </c>
      <c r="H336" s="14" t="s">
        <v>31</v>
      </c>
      <c r="I336" s="14" t="s">
        <v>44</v>
      </c>
      <c r="J336" s="14" t="s">
        <v>62</v>
      </c>
      <c r="K336" s="14">
        <v>2</v>
      </c>
      <c r="L336" s="14">
        <v>48474</v>
      </c>
      <c r="M336" s="14">
        <v>10</v>
      </c>
      <c r="N336" s="14">
        <v>9694.7999999999993</v>
      </c>
      <c r="O336" s="14">
        <v>15705.58</v>
      </c>
      <c r="P336" s="14">
        <v>419</v>
      </c>
      <c r="Q336" s="14">
        <f t="shared" si="5"/>
        <v>102958.78</v>
      </c>
      <c r="R336" s="14">
        <v>103377.78</v>
      </c>
      <c r="S336" s="14" t="s">
        <v>45</v>
      </c>
      <c r="T336" s="14" t="s">
        <v>63</v>
      </c>
      <c r="U336" s="14" t="s">
        <v>84</v>
      </c>
      <c r="V336" s="14" t="s">
        <v>85</v>
      </c>
      <c r="W336" s="14" t="s">
        <v>86</v>
      </c>
      <c r="X336" s="14">
        <v>6</v>
      </c>
      <c r="Y336" s="14" t="s">
        <v>47</v>
      </c>
      <c r="Z336" s="14">
        <v>3</v>
      </c>
      <c r="AA336" s="14" t="s">
        <v>39</v>
      </c>
    </row>
    <row r="337" spans="1:27" x14ac:dyDescent="0.35">
      <c r="A337" s="14" t="s">
        <v>705</v>
      </c>
      <c r="B337" s="15">
        <v>46111</v>
      </c>
      <c r="C337" s="14" t="s">
        <v>280</v>
      </c>
      <c r="D337" s="14" t="s">
        <v>73</v>
      </c>
      <c r="E337" s="14" t="s">
        <v>29</v>
      </c>
      <c r="F337" s="14">
        <v>60</v>
      </c>
      <c r="G337" s="14" t="s">
        <v>94</v>
      </c>
      <c r="H337" s="14" t="s">
        <v>31</v>
      </c>
      <c r="I337" s="14" t="s">
        <v>94</v>
      </c>
      <c r="J337" s="14" t="s">
        <v>62</v>
      </c>
      <c r="K337" s="14">
        <v>2</v>
      </c>
      <c r="L337" s="14">
        <v>4505</v>
      </c>
      <c r="M337" s="14">
        <v>15</v>
      </c>
      <c r="N337" s="14">
        <v>1351.5</v>
      </c>
      <c r="O337" s="14">
        <v>1378.53</v>
      </c>
      <c r="P337" s="14">
        <v>135</v>
      </c>
      <c r="Q337" s="14">
        <f t="shared" si="5"/>
        <v>9037.0300000000007</v>
      </c>
      <c r="R337" s="14">
        <v>9172.0300000000007</v>
      </c>
      <c r="S337" s="14" t="s">
        <v>45</v>
      </c>
      <c r="T337" s="14" t="s">
        <v>63</v>
      </c>
      <c r="U337" s="14" t="s">
        <v>55</v>
      </c>
      <c r="V337" s="14" t="s">
        <v>56</v>
      </c>
      <c r="W337" s="14" t="s">
        <v>57</v>
      </c>
      <c r="X337" s="14">
        <v>8</v>
      </c>
      <c r="Y337" s="14" t="s">
        <v>38</v>
      </c>
      <c r="Z337" s="14">
        <v>1</v>
      </c>
      <c r="AA337" s="14" t="s">
        <v>47</v>
      </c>
    </row>
    <row r="338" spans="1:27" x14ac:dyDescent="0.35">
      <c r="A338" s="14" t="s">
        <v>706</v>
      </c>
      <c r="B338" s="15">
        <v>46020</v>
      </c>
      <c r="C338" s="14" t="s">
        <v>707</v>
      </c>
      <c r="D338" s="14" t="s">
        <v>42</v>
      </c>
      <c r="E338" s="14" t="s">
        <v>43</v>
      </c>
      <c r="F338" s="14">
        <v>35</v>
      </c>
      <c r="G338" s="14" t="s">
        <v>90</v>
      </c>
      <c r="H338" s="14" t="s">
        <v>31</v>
      </c>
      <c r="I338" s="14" t="s">
        <v>90</v>
      </c>
      <c r="J338" s="14" t="s">
        <v>32</v>
      </c>
      <c r="K338" s="14">
        <v>2</v>
      </c>
      <c r="L338" s="14">
        <v>24276</v>
      </c>
      <c r="M338" s="14">
        <v>0</v>
      </c>
      <c r="N338" s="14">
        <v>0</v>
      </c>
      <c r="O338" s="14">
        <v>8739.36</v>
      </c>
      <c r="P338" s="14">
        <v>242</v>
      </c>
      <c r="Q338" s="14">
        <f t="shared" si="5"/>
        <v>57291.360000000001</v>
      </c>
      <c r="R338" s="14">
        <v>57533.36</v>
      </c>
      <c r="S338" s="14" t="s">
        <v>83</v>
      </c>
      <c r="T338" s="14" t="s">
        <v>34</v>
      </c>
      <c r="U338" s="14" t="s">
        <v>35</v>
      </c>
      <c r="V338" s="14" t="s">
        <v>36</v>
      </c>
      <c r="W338" s="14" t="s">
        <v>37</v>
      </c>
      <c r="X338" s="14">
        <v>5</v>
      </c>
      <c r="Y338" s="14" t="s">
        <v>47</v>
      </c>
      <c r="Z338" s="14">
        <v>3</v>
      </c>
      <c r="AA338" s="14" t="s">
        <v>91</v>
      </c>
    </row>
    <row r="339" spans="1:27" x14ac:dyDescent="0.35">
      <c r="A339" s="14" t="s">
        <v>708</v>
      </c>
      <c r="B339" s="15">
        <v>45886</v>
      </c>
      <c r="C339" s="14" t="s">
        <v>569</v>
      </c>
      <c r="D339" s="14" t="s">
        <v>89</v>
      </c>
      <c r="E339" s="14" t="s">
        <v>43</v>
      </c>
      <c r="F339" s="14">
        <v>60</v>
      </c>
      <c r="G339" s="14" t="s">
        <v>51</v>
      </c>
      <c r="H339" s="14" t="s">
        <v>52</v>
      </c>
      <c r="I339" s="14" t="s">
        <v>51</v>
      </c>
      <c r="J339" s="14" t="s">
        <v>32</v>
      </c>
      <c r="K339" s="14">
        <v>3</v>
      </c>
      <c r="L339" s="14">
        <v>2724</v>
      </c>
      <c r="M339" s="14">
        <v>15</v>
      </c>
      <c r="N339" s="14">
        <v>1225.8</v>
      </c>
      <c r="O339" s="14">
        <v>1250.32</v>
      </c>
      <c r="P339" s="14">
        <v>21</v>
      </c>
      <c r="Q339" s="14">
        <f t="shared" si="5"/>
        <v>8196.52</v>
      </c>
      <c r="R339" s="14">
        <v>8217.52</v>
      </c>
      <c r="S339" s="14" t="s">
        <v>45</v>
      </c>
      <c r="T339" s="14" t="s">
        <v>34</v>
      </c>
      <c r="U339" s="14" t="s">
        <v>84</v>
      </c>
      <c r="V339" s="14" t="s">
        <v>85</v>
      </c>
      <c r="W339" s="14" t="s">
        <v>86</v>
      </c>
      <c r="X339" s="14">
        <v>2</v>
      </c>
      <c r="Y339" s="14" t="s">
        <v>47</v>
      </c>
      <c r="Z339" s="14">
        <v>2</v>
      </c>
      <c r="AA339" s="14" t="s">
        <v>39</v>
      </c>
    </row>
    <row r="340" spans="1:27" x14ac:dyDescent="0.35">
      <c r="A340" s="14" t="s">
        <v>709</v>
      </c>
      <c r="B340" s="15">
        <v>46019</v>
      </c>
      <c r="C340" s="14" t="s">
        <v>710</v>
      </c>
      <c r="D340" s="14" t="s">
        <v>66</v>
      </c>
      <c r="E340" s="14" t="s">
        <v>29</v>
      </c>
      <c r="F340" s="14">
        <v>36</v>
      </c>
      <c r="G340" s="14" t="s">
        <v>30</v>
      </c>
      <c r="H340" s="14" t="s">
        <v>31</v>
      </c>
      <c r="I340" s="14" t="s">
        <v>30</v>
      </c>
      <c r="J340" s="14" t="s">
        <v>125</v>
      </c>
      <c r="K340" s="14">
        <v>4</v>
      </c>
      <c r="L340" s="14">
        <v>37327</v>
      </c>
      <c r="M340" s="14">
        <v>15</v>
      </c>
      <c r="N340" s="14">
        <v>22396.2</v>
      </c>
      <c r="O340" s="14">
        <v>22844.12</v>
      </c>
      <c r="P340" s="14">
        <v>36</v>
      </c>
      <c r="Q340" s="14">
        <f t="shared" si="5"/>
        <v>149755.92000000001</v>
      </c>
      <c r="R340" s="14">
        <v>149791.92000000001</v>
      </c>
      <c r="S340" s="14" t="s">
        <v>83</v>
      </c>
      <c r="T340" s="14" t="s">
        <v>63</v>
      </c>
      <c r="U340" s="14" t="s">
        <v>95</v>
      </c>
      <c r="V340" s="14" t="s">
        <v>96</v>
      </c>
      <c r="W340" s="14" t="s">
        <v>57</v>
      </c>
      <c r="X340" s="14">
        <v>10</v>
      </c>
      <c r="Y340" s="14" t="s">
        <v>38</v>
      </c>
      <c r="Z340" s="14">
        <v>4</v>
      </c>
      <c r="AA340" s="14" t="s">
        <v>47</v>
      </c>
    </row>
    <row r="341" spans="1:27" x14ac:dyDescent="0.35">
      <c r="A341" s="14" t="s">
        <v>711</v>
      </c>
      <c r="B341" s="15">
        <v>46072</v>
      </c>
      <c r="C341" s="14" t="s">
        <v>712</v>
      </c>
      <c r="D341" s="14" t="s">
        <v>108</v>
      </c>
      <c r="E341" s="14" t="s">
        <v>29</v>
      </c>
      <c r="F341" s="14">
        <v>28</v>
      </c>
      <c r="G341" s="14" t="s">
        <v>90</v>
      </c>
      <c r="H341" s="14" t="s">
        <v>31</v>
      </c>
      <c r="I341" s="14" t="s">
        <v>90</v>
      </c>
      <c r="J341" s="14" t="s">
        <v>112</v>
      </c>
      <c r="K341" s="14">
        <v>5</v>
      </c>
      <c r="L341" s="14">
        <v>26465</v>
      </c>
      <c r="M341" s="14">
        <v>5</v>
      </c>
      <c r="N341" s="14">
        <v>6616.25</v>
      </c>
      <c r="O341" s="14">
        <v>22627.58</v>
      </c>
      <c r="P341" s="14">
        <v>473</v>
      </c>
      <c r="Q341" s="14">
        <f t="shared" si="5"/>
        <v>148336.32999999999</v>
      </c>
      <c r="R341" s="14">
        <v>148809.32999999999</v>
      </c>
      <c r="S341" s="14" t="s">
        <v>33</v>
      </c>
      <c r="T341" s="14" t="s">
        <v>63</v>
      </c>
      <c r="U341" s="14" t="s">
        <v>35</v>
      </c>
      <c r="V341" s="14" t="s">
        <v>36</v>
      </c>
      <c r="W341" s="14" t="s">
        <v>37</v>
      </c>
      <c r="X341" s="14">
        <v>1</v>
      </c>
      <c r="Y341" s="14" t="s">
        <v>38</v>
      </c>
      <c r="Z341" s="14">
        <v>5</v>
      </c>
      <c r="AA341" s="14" t="s">
        <v>58</v>
      </c>
    </row>
    <row r="342" spans="1:27" x14ac:dyDescent="0.35">
      <c r="A342" s="14" t="s">
        <v>713</v>
      </c>
      <c r="B342" s="15">
        <v>46104</v>
      </c>
      <c r="C342" s="14" t="s">
        <v>714</v>
      </c>
      <c r="D342" s="14" t="s">
        <v>50</v>
      </c>
      <c r="E342" s="14" t="s">
        <v>43</v>
      </c>
      <c r="F342" s="14">
        <v>37</v>
      </c>
      <c r="G342" s="14" t="s">
        <v>67</v>
      </c>
      <c r="H342" s="14" t="s">
        <v>68</v>
      </c>
      <c r="I342" s="14" t="s">
        <v>67</v>
      </c>
      <c r="J342" s="14" t="s">
        <v>69</v>
      </c>
      <c r="K342" s="14">
        <v>2</v>
      </c>
      <c r="L342" s="14">
        <v>27129</v>
      </c>
      <c r="M342" s="14">
        <v>15</v>
      </c>
      <c r="N342" s="14">
        <v>8138.7</v>
      </c>
      <c r="O342" s="14">
        <v>8301.4699999999993</v>
      </c>
      <c r="P342" s="14">
        <v>47</v>
      </c>
      <c r="Q342" s="14">
        <f t="shared" si="5"/>
        <v>54420.77</v>
      </c>
      <c r="R342" s="14">
        <v>54467.77</v>
      </c>
      <c r="S342" s="14" t="s">
        <v>83</v>
      </c>
      <c r="T342" s="14" t="s">
        <v>34</v>
      </c>
      <c r="U342" s="14" t="s">
        <v>95</v>
      </c>
      <c r="V342" s="14" t="s">
        <v>96</v>
      </c>
      <c r="W342" s="14" t="s">
        <v>57</v>
      </c>
      <c r="X342" s="14">
        <v>3</v>
      </c>
      <c r="Y342" s="14" t="s">
        <v>38</v>
      </c>
      <c r="Z342" s="14">
        <v>4</v>
      </c>
      <c r="AA342" s="14" t="s">
        <v>58</v>
      </c>
    </row>
    <row r="343" spans="1:27" x14ac:dyDescent="0.35">
      <c r="A343" s="14" t="s">
        <v>715</v>
      </c>
      <c r="B343" s="15">
        <v>45848</v>
      </c>
      <c r="C343" s="14" t="s">
        <v>716</v>
      </c>
      <c r="D343" s="14" t="s">
        <v>111</v>
      </c>
      <c r="E343" s="14" t="s">
        <v>43</v>
      </c>
      <c r="F343" s="14">
        <v>44</v>
      </c>
      <c r="G343" s="14" t="s">
        <v>134</v>
      </c>
      <c r="H343" s="14" t="s">
        <v>31</v>
      </c>
      <c r="I343" s="14" t="s">
        <v>134</v>
      </c>
      <c r="J343" s="14" t="s">
        <v>69</v>
      </c>
      <c r="K343" s="14">
        <v>2</v>
      </c>
      <c r="L343" s="14">
        <v>37005</v>
      </c>
      <c r="M343" s="14">
        <v>0</v>
      </c>
      <c r="N343" s="14">
        <v>0</v>
      </c>
      <c r="O343" s="14">
        <v>13321.8</v>
      </c>
      <c r="P343" s="14">
        <v>458</v>
      </c>
      <c r="Q343" s="14">
        <f t="shared" si="5"/>
        <v>87331.8</v>
      </c>
      <c r="R343" s="14">
        <v>87789.8</v>
      </c>
      <c r="S343" s="14" t="s">
        <v>33</v>
      </c>
      <c r="T343" s="14" t="s">
        <v>34</v>
      </c>
      <c r="U343" s="14" t="s">
        <v>35</v>
      </c>
      <c r="V343" s="14" t="s">
        <v>36</v>
      </c>
      <c r="W343" s="14" t="s">
        <v>37</v>
      </c>
      <c r="X343" s="14">
        <v>8</v>
      </c>
      <c r="Y343" s="14" t="s">
        <v>47</v>
      </c>
      <c r="Z343" s="14">
        <v>4</v>
      </c>
      <c r="AA343" s="14" t="s">
        <v>47</v>
      </c>
    </row>
    <row r="344" spans="1:27" x14ac:dyDescent="0.35">
      <c r="A344" s="14" t="s">
        <v>717</v>
      </c>
      <c r="B344" s="15">
        <v>45820</v>
      </c>
      <c r="C344" s="14" t="s">
        <v>343</v>
      </c>
      <c r="D344" s="14" t="s">
        <v>61</v>
      </c>
      <c r="E344" s="14" t="s">
        <v>29</v>
      </c>
      <c r="F344" s="14">
        <v>36</v>
      </c>
      <c r="G344" s="14" t="s">
        <v>30</v>
      </c>
      <c r="H344" s="14" t="s">
        <v>31</v>
      </c>
      <c r="I344" s="14" t="s">
        <v>30</v>
      </c>
      <c r="J344" s="14" t="s">
        <v>75</v>
      </c>
      <c r="K344" s="14">
        <v>1</v>
      </c>
      <c r="L344" s="14">
        <v>42523</v>
      </c>
      <c r="M344" s="14">
        <v>10</v>
      </c>
      <c r="N344" s="14">
        <v>4252.3</v>
      </c>
      <c r="O344" s="14">
        <v>6888.73</v>
      </c>
      <c r="P344" s="14">
        <v>150</v>
      </c>
      <c r="Q344" s="14">
        <f t="shared" si="5"/>
        <v>45159.43</v>
      </c>
      <c r="R344" s="14">
        <v>45309.43</v>
      </c>
      <c r="S344" s="14" t="s">
        <v>33</v>
      </c>
      <c r="T344" s="14" t="s">
        <v>34</v>
      </c>
      <c r="U344" s="14" t="s">
        <v>76</v>
      </c>
      <c r="V344" s="14" t="s">
        <v>77</v>
      </c>
      <c r="W344" s="14" t="s">
        <v>57</v>
      </c>
      <c r="X344" s="14">
        <v>9</v>
      </c>
      <c r="Y344" s="14" t="s">
        <v>47</v>
      </c>
      <c r="Z344" s="14">
        <v>2</v>
      </c>
      <c r="AA344" s="14" t="s">
        <v>58</v>
      </c>
    </row>
    <row r="345" spans="1:27" x14ac:dyDescent="0.35">
      <c r="A345" s="14" t="s">
        <v>718</v>
      </c>
      <c r="B345" s="15">
        <v>46118</v>
      </c>
      <c r="C345" s="14" t="s">
        <v>101</v>
      </c>
      <c r="D345" s="14" t="s">
        <v>28</v>
      </c>
      <c r="E345" s="14" t="s">
        <v>43</v>
      </c>
      <c r="F345" s="14">
        <v>45</v>
      </c>
      <c r="G345" s="14" t="s">
        <v>44</v>
      </c>
      <c r="H345" s="14" t="s">
        <v>31</v>
      </c>
      <c r="I345" s="14" t="s">
        <v>44</v>
      </c>
      <c r="J345" s="14" t="s">
        <v>62</v>
      </c>
      <c r="K345" s="14">
        <v>4</v>
      </c>
      <c r="L345" s="14">
        <v>20804</v>
      </c>
      <c r="M345" s="14">
        <v>0</v>
      </c>
      <c r="N345" s="14">
        <v>0</v>
      </c>
      <c r="O345" s="14">
        <v>14978.88</v>
      </c>
      <c r="P345" s="14">
        <v>308</v>
      </c>
      <c r="Q345" s="14">
        <f t="shared" si="5"/>
        <v>98194.880000000005</v>
      </c>
      <c r="R345" s="14">
        <v>98502.88</v>
      </c>
      <c r="S345" s="14" t="s">
        <v>54</v>
      </c>
      <c r="T345" s="14" t="s">
        <v>34</v>
      </c>
      <c r="U345" s="14" t="s">
        <v>70</v>
      </c>
      <c r="V345" s="14" t="s">
        <v>56</v>
      </c>
      <c r="W345" s="14" t="s">
        <v>57</v>
      </c>
      <c r="X345" s="14">
        <v>4</v>
      </c>
      <c r="Y345" s="14" t="s">
        <v>38</v>
      </c>
      <c r="Z345" s="14">
        <v>1</v>
      </c>
      <c r="AA345" s="14" t="s">
        <v>47</v>
      </c>
    </row>
    <row r="346" spans="1:27" x14ac:dyDescent="0.35">
      <c r="A346" s="14" t="s">
        <v>719</v>
      </c>
      <c r="B346" s="15">
        <v>46038</v>
      </c>
      <c r="C346" s="14" t="s">
        <v>720</v>
      </c>
      <c r="D346" s="14" t="s">
        <v>73</v>
      </c>
      <c r="E346" s="14" t="s">
        <v>43</v>
      </c>
      <c r="F346" s="14">
        <v>28</v>
      </c>
      <c r="G346" s="14" t="s">
        <v>90</v>
      </c>
      <c r="H346" s="14" t="s">
        <v>31</v>
      </c>
      <c r="I346" s="14" t="s">
        <v>90</v>
      </c>
      <c r="J346" s="14" t="s">
        <v>53</v>
      </c>
      <c r="K346" s="14">
        <v>1</v>
      </c>
      <c r="L346" s="14">
        <v>15992</v>
      </c>
      <c r="M346" s="14">
        <v>5</v>
      </c>
      <c r="N346" s="14">
        <v>799.6</v>
      </c>
      <c r="O346" s="14">
        <v>2734.63</v>
      </c>
      <c r="P346" s="14">
        <v>229</v>
      </c>
      <c r="Q346" s="14">
        <f t="shared" si="5"/>
        <v>17927.03</v>
      </c>
      <c r="R346" s="14">
        <v>18156.03</v>
      </c>
      <c r="S346" s="14" t="s">
        <v>83</v>
      </c>
      <c r="T346" s="14" t="s">
        <v>63</v>
      </c>
      <c r="U346" s="14" t="s">
        <v>46</v>
      </c>
      <c r="V346" s="14" t="s">
        <v>36</v>
      </c>
      <c r="W346" s="14" t="s">
        <v>37</v>
      </c>
      <c r="X346" s="14">
        <v>9</v>
      </c>
      <c r="Y346" s="14" t="s">
        <v>38</v>
      </c>
      <c r="Z346" s="14">
        <v>5</v>
      </c>
      <c r="AA346" s="14" t="s">
        <v>58</v>
      </c>
    </row>
    <row r="347" spans="1:27" x14ac:dyDescent="0.35">
      <c r="A347" s="14" t="s">
        <v>721</v>
      </c>
      <c r="B347" s="15">
        <v>46045</v>
      </c>
      <c r="C347" s="14" t="s">
        <v>82</v>
      </c>
      <c r="D347" s="14" t="s">
        <v>89</v>
      </c>
      <c r="E347" s="14" t="s">
        <v>43</v>
      </c>
      <c r="F347" s="14">
        <v>25</v>
      </c>
      <c r="G347" s="14" t="s">
        <v>51</v>
      </c>
      <c r="H347" s="14" t="s">
        <v>52</v>
      </c>
      <c r="I347" s="14" t="s">
        <v>51</v>
      </c>
      <c r="J347" s="14" t="s">
        <v>53</v>
      </c>
      <c r="K347" s="14">
        <v>5</v>
      </c>
      <c r="L347" s="14">
        <v>11797</v>
      </c>
      <c r="M347" s="14">
        <v>0</v>
      </c>
      <c r="N347" s="14">
        <v>0</v>
      </c>
      <c r="O347" s="14">
        <v>10617.3</v>
      </c>
      <c r="P347" s="14">
        <v>45</v>
      </c>
      <c r="Q347" s="14">
        <f t="shared" si="5"/>
        <v>69602.3</v>
      </c>
      <c r="R347" s="14">
        <v>69647.3</v>
      </c>
      <c r="S347" s="14" t="s">
        <v>54</v>
      </c>
      <c r="T347" s="14" t="s">
        <v>63</v>
      </c>
      <c r="U347" s="14" t="s">
        <v>35</v>
      </c>
      <c r="V347" s="14" t="s">
        <v>36</v>
      </c>
      <c r="W347" s="14" t="s">
        <v>37</v>
      </c>
      <c r="X347" s="14">
        <v>3</v>
      </c>
      <c r="Y347" s="14" t="s">
        <v>38</v>
      </c>
      <c r="Z347" s="14">
        <v>4</v>
      </c>
      <c r="AA347" s="14" t="s">
        <v>39</v>
      </c>
    </row>
    <row r="348" spans="1:27" x14ac:dyDescent="0.35">
      <c r="A348" s="14" t="s">
        <v>722</v>
      </c>
      <c r="B348" s="15">
        <v>45766</v>
      </c>
      <c r="C348" s="14" t="s">
        <v>723</v>
      </c>
      <c r="D348" s="14" t="s">
        <v>111</v>
      </c>
      <c r="E348" s="14" t="s">
        <v>43</v>
      </c>
      <c r="F348" s="14">
        <v>27</v>
      </c>
      <c r="G348" s="14" t="s">
        <v>67</v>
      </c>
      <c r="H348" s="14" t="s">
        <v>68</v>
      </c>
      <c r="I348" s="14" t="s">
        <v>67</v>
      </c>
      <c r="J348" s="14" t="s">
        <v>202</v>
      </c>
      <c r="K348" s="14">
        <v>1</v>
      </c>
      <c r="L348" s="14">
        <v>46166</v>
      </c>
      <c r="M348" s="14">
        <v>15</v>
      </c>
      <c r="N348" s="14">
        <v>6924.9</v>
      </c>
      <c r="O348" s="14">
        <v>7063.4</v>
      </c>
      <c r="P348" s="14">
        <v>461</v>
      </c>
      <c r="Q348" s="14">
        <f t="shared" si="5"/>
        <v>46304.5</v>
      </c>
      <c r="R348" s="14">
        <v>46765.5</v>
      </c>
      <c r="S348" s="14" t="s">
        <v>54</v>
      </c>
      <c r="T348" s="14" t="s">
        <v>34</v>
      </c>
      <c r="U348" s="14" t="s">
        <v>46</v>
      </c>
      <c r="V348" s="14" t="s">
        <v>36</v>
      </c>
      <c r="W348" s="14" t="s">
        <v>37</v>
      </c>
      <c r="X348" s="14">
        <v>10</v>
      </c>
      <c r="Y348" s="14" t="s">
        <v>47</v>
      </c>
      <c r="Z348" s="14">
        <v>5</v>
      </c>
      <c r="AA348" s="14" t="s">
        <v>47</v>
      </c>
    </row>
    <row r="349" spans="1:27" x14ac:dyDescent="0.35">
      <c r="A349" s="14" t="s">
        <v>724</v>
      </c>
      <c r="B349" s="15">
        <v>45763</v>
      </c>
      <c r="C349" s="14" t="s">
        <v>725</v>
      </c>
      <c r="D349" s="14" t="s">
        <v>50</v>
      </c>
      <c r="E349" s="14" t="s">
        <v>29</v>
      </c>
      <c r="F349" s="14">
        <v>37</v>
      </c>
      <c r="G349" s="14" t="s">
        <v>90</v>
      </c>
      <c r="H349" s="14" t="s">
        <v>31</v>
      </c>
      <c r="I349" s="14" t="s">
        <v>90</v>
      </c>
      <c r="J349" s="14" t="s">
        <v>53</v>
      </c>
      <c r="K349" s="14">
        <v>1</v>
      </c>
      <c r="L349" s="14">
        <v>36991</v>
      </c>
      <c r="M349" s="14">
        <v>10</v>
      </c>
      <c r="N349" s="14">
        <v>3699.1</v>
      </c>
      <c r="O349" s="14">
        <v>5992.54</v>
      </c>
      <c r="P349" s="14">
        <v>357</v>
      </c>
      <c r="Q349" s="14">
        <f t="shared" si="5"/>
        <v>39284.44</v>
      </c>
      <c r="R349" s="14">
        <v>39641.440000000002</v>
      </c>
      <c r="S349" s="14" t="s">
        <v>54</v>
      </c>
      <c r="T349" s="14" t="s">
        <v>63</v>
      </c>
      <c r="U349" s="14" t="s">
        <v>103</v>
      </c>
      <c r="V349" s="14" t="s">
        <v>103</v>
      </c>
      <c r="W349" s="14" t="s">
        <v>57</v>
      </c>
      <c r="X349" s="14">
        <v>1</v>
      </c>
      <c r="Y349" s="14" t="s">
        <v>38</v>
      </c>
      <c r="Z349" s="14">
        <v>3</v>
      </c>
      <c r="AA349" s="14" t="s">
        <v>39</v>
      </c>
    </row>
    <row r="350" spans="1:27" x14ac:dyDescent="0.35">
      <c r="A350" s="14" t="s">
        <v>726</v>
      </c>
      <c r="B350" s="15">
        <v>45862</v>
      </c>
      <c r="C350" s="14" t="s">
        <v>527</v>
      </c>
      <c r="D350" s="14" t="s">
        <v>73</v>
      </c>
      <c r="E350" s="14" t="s">
        <v>29</v>
      </c>
      <c r="F350" s="14">
        <v>30</v>
      </c>
      <c r="G350" s="14" t="s">
        <v>51</v>
      </c>
      <c r="H350" s="14" t="s">
        <v>52</v>
      </c>
      <c r="I350" s="14" t="s">
        <v>51</v>
      </c>
      <c r="J350" s="14" t="s">
        <v>150</v>
      </c>
      <c r="K350" s="14">
        <v>4</v>
      </c>
      <c r="L350" s="14">
        <v>28780</v>
      </c>
      <c r="M350" s="14">
        <v>15</v>
      </c>
      <c r="N350" s="14">
        <v>17268</v>
      </c>
      <c r="O350" s="14">
        <v>17613.36</v>
      </c>
      <c r="P350" s="14">
        <v>127</v>
      </c>
      <c r="Q350" s="14">
        <f t="shared" si="5"/>
        <v>115465.36</v>
      </c>
      <c r="R350" s="14">
        <v>115592.36</v>
      </c>
      <c r="S350" s="14" t="s">
        <v>83</v>
      </c>
      <c r="T350" s="14" t="s">
        <v>63</v>
      </c>
      <c r="U350" s="14" t="s">
        <v>70</v>
      </c>
      <c r="V350" s="14" t="s">
        <v>56</v>
      </c>
      <c r="W350" s="14" t="s">
        <v>57</v>
      </c>
      <c r="X350" s="14">
        <v>6</v>
      </c>
      <c r="Y350" s="14" t="s">
        <v>47</v>
      </c>
      <c r="Z350" s="14">
        <v>3</v>
      </c>
      <c r="AA350" s="14" t="s">
        <v>39</v>
      </c>
    </row>
    <row r="351" spans="1:27" x14ac:dyDescent="0.35">
      <c r="A351" s="14" t="s">
        <v>727</v>
      </c>
      <c r="B351" s="15">
        <v>45832</v>
      </c>
      <c r="C351" s="14" t="s">
        <v>632</v>
      </c>
      <c r="D351" s="14" t="s">
        <v>50</v>
      </c>
      <c r="E351" s="14" t="s">
        <v>29</v>
      </c>
      <c r="F351" s="14">
        <v>54</v>
      </c>
      <c r="G351" s="14" t="s">
        <v>94</v>
      </c>
      <c r="H351" s="14" t="s">
        <v>31</v>
      </c>
      <c r="I351" s="14" t="s">
        <v>94</v>
      </c>
      <c r="J351" s="14" t="s">
        <v>75</v>
      </c>
      <c r="K351" s="14">
        <v>4</v>
      </c>
      <c r="L351" s="14">
        <v>18388</v>
      </c>
      <c r="M351" s="14">
        <v>20</v>
      </c>
      <c r="N351" s="14">
        <v>14710.4</v>
      </c>
      <c r="O351" s="14">
        <v>10591.49</v>
      </c>
      <c r="P351" s="14">
        <v>469</v>
      </c>
      <c r="Q351" s="14">
        <f t="shared" si="5"/>
        <v>69433.09</v>
      </c>
      <c r="R351" s="14">
        <v>69902.09</v>
      </c>
      <c r="S351" s="14" t="s">
        <v>83</v>
      </c>
      <c r="T351" s="14" t="s">
        <v>63</v>
      </c>
      <c r="U351" s="14" t="s">
        <v>35</v>
      </c>
      <c r="V351" s="14" t="s">
        <v>36</v>
      </c>
      <c r="W351" s="14" t="s">
        <v>37</v>
      </c>
      <c r="X351" s="14">
        <v>4</v>
      </c>
      <c r="Y351" s="14" t="s">
        <v>47</v>
      </c>
      <c r="Z351" s="14">
        <v>4</v>
      </c>
      <c r="AA351" s="14" t="s">
        <v>91</v>
      </c>
    </row>
    <row r="352" spans="1:27" x14ac:dyDescent="0.35">
      <c r="A352" s="14" t="s">
        <v>728</v>
      </c>
      <c r="B352" s="15">
        <v>46108</v>
      </c>
      <c r="C352" s="14" t="s">
        <v>729</v>
      </c>
      <c r="D352" s="14" t="s">
        <v>111</v>
      </c>
      <c r="E352" s="14" t="s">
        <v>43</v>
      </c>
      <c r="F352" s="14">
        <v>50</v>
      </c>
      <c r="G352" s="14" t="s">
        <v>44</v>
      </c>
      <c r="H352" s="14" t="s">
        <v>31</v>
      </c>
      <c r="I352" s="14" t="s">
        <v>44</v>
      </c>
      <c r="J352" s="14" t="s">
        <v>53</v>
      </c>
      <c r="K352" s="14">
        <v>4</v>
      </c>
      <c r="L352" s="14">
        <v>31950</v>
      </c>
      <c r="M352" s="14">
        <v>0</v>
      </c>
      <c r="N352" s="14">
        <v>0</v>
      </c>
      <c r="O352" s="14">
        <v>23004</v>
      </c>
      <c r="P352" s="14">
        <v>50</v>
      </c>
      <c r="Q352" s="14">
        <f t="shared" si="5"/>
        <v>150804</v>
      </c>
      <c r="R352" s="14">
        <v>150854</v>
      </c>
      <c r="S352" s="14" t="s">
        <v>83</v>
      </c>
      <c r="T352" s="14" t="s">
        <v>34</v>
      </c>
      <c r="U352" s="14" t="s">
        <v>35</v>
      </c>
      <c r="V352" s="14" t="s">
        <v>36</v>
      </c>
      <c r="W352" s="14" t="s">
        <v>37</v>
      </c>
      <c r="X352" s="14">
        <v>6</v>
      </c>
      <c r="Y352" s="14" t="s">
        <v>38</v>
      </c>
      <c r="Z352" s="14">
        <v>4</v>
      </c>
      <c r="AA352" s="14" t="s">
        <v>58</v>
      </c>
    </row>
    <row r="353" spans="1:27" x14ac:dyDescent="0.35">
      <c r="A353" s="14" t="s">
        <v>730</v>
      </c>
      <c r="B353" s="15">
        <v>46025</v>
      </c>
      <c r="C353" s="14" t="s">
        <v>731</v>
      </c>
      <c r="D353" s="14" t="s">
        <v>111</v>
      </c>
      <c r="E353" s="14" t="s">
        <v>29</v>
      </c>
      <c r="F353" s="14">
        <v>38</v>
      </c>
      <c r="G353" s="14" t="s">
        <v>44</v>
      </c>
      <c r="H353" s="14" t="s">
        <v>31</v>
      </c>
      <c r="I353" s="14" t="s">
        <v>44</v>
      </c>
      <c r="J353" s="14" t="s">
        <v>75</v>
      </c>
      <c r="K353" s="14">
        <v>1</v>
      </c>
      <c r="L353" s="14">
        <v>35608</v>
      </c>
      <c r="M353" s="14">
        <v>20</v>
      </c>
      <c r="N353" s="14">
        <v>7121.6</v>
      </c>
      <c r="O353" s="14">
        <v>5127.55</v>
      </c>
      <c r="P353" s="14">
        <v>412</v>
      </c>
      <c r="Q353" s="14">
        <f t="shared" si="5"/>
        <v>33613.949999999997</v>
      </c>
      <c r="R353" s="14">
        <v>34025.949999999997</v>
      </c>
      <c r="S353" s="14" t="s">
        <v>83</v>
      </c>
      <c r="T353" s="14" t="s">
        <v>63</v>
      </c>
      <c r="U353" s="14" t="s">
        <v>70</v>
      </c>
      <c r="V353" s="14" t="s">
        <v>56</v>
      </c>
      <c r="W353" s="14" t="s">
        <v>57</v>
      </c>
      <c r="X353" s="14">
        <v>10</v>
      </c>
      <c r="Y353" s="14" t="s">
        <v>47</v>
      </c>
      <c r="Z353" s="14">
        <v>2</v>
      </c>
      <c r="AA353" s="14" t="s">
        <v>91</v>
      </c>
    </row>
    <row r="354" spans="1:27" x14ac:dyDescent="0.35">
      <c r="A354" s="14" t="s">
        <v>732</v>
      </c>
      <c r="B354" s="15">
        <v>45910</v>
      </c>
      <c r="C354" s="14" t="s">
        <v>138</v>
      </c>
      <c r="D354" s="14" t="s">
        <v>42</v>
      </c>
      <c r="E354" s="14" t="s">
        <v>29</v>
      </c>
      <c r="F354" s="14">
        <v>56</v>
      </c>
      <c r="G354" s="14" t="s">
        <v>30</v>
      </c>
      <c r="H354" s="14" t="s">
        <v>31</v>
      </c>
      <c r="I354" s="14" t="s">
        <v>30</v>
      </c>
      <c r="J354" s="14" t="s">
        <v>102</v>
      </c>
      <c r="K354" s="14">
        <v>5</v>
      </c>
      <c r="L354" s="14">
        <v>23093</v>
      </c>
      <c r="M354" s="14">
        <v>0</v>
      </c>
      <c r="N354" s="14">
        <v>0</v>
      </c>
      <c r="O354" s="14">
        <v>20783.7</v>
      </c>
      <c r="P354" s="14">
        <v>59</v>
      </c>
      <c r="Q354" s="14">
        <f t="shared" si="5"/>
        <v>136248.70000000001</v>
      </c>
      <c r="R354" s="14">
        <v>136307.70000000001</v>
      </c>
      <c r="S354" s="14" t="s">
        <v>45</v>
      </c>
      <c r="T354" s="14" t="s">
        <v>63</v>
      </c>
      <c r="U354" s="14" t="s">
        <v>76</v>
      </c>
      <c r="V354" s="14" t="s">
        <v>77</v>
      </c>
      <c r="W354" s="14" t="s">
        <v>57</v>
      </c>
      <c r="X354" s="14">
        <v>6</v>
      </c>
      <c r="Y354" s="14" t="s">
        <v>38</v>
      </c>
      <c r="Z354" s="14">
        <v>2</v>
      </c>
      <c r="AA354" s="14" t="s">
        <v>58</v>
      </c>
    </row>
    <row r="355" spans="1:27" x14ac:dyDescent="0.35">
      <c r="A355" s="14" t="s">
        <v>733</v>
      </c>
      <c r="B355" s="15">
        <v>45986</v>
      </c>
      <c r="C355" s="14" t="s">
        <v>456</v>
      </c>
      <c r="D355" s="14" t="s">
        <v>42</v>
      </c>
      <c r="E355" s="14" t="s">
        <v>43</v>
      </c>
      <c r="F355" s="14">
        <v>54</v>
      </c>
      <c r="G355" s="14" t="s">
        <v>90</v>
      </c>
      <c r="H355" s="14" t="s">
        <v>31</v>
      </c>
      <c r="I355" s="14" t="s">
        <v>90</v>
      </c>
      <c r="J355" s="14" t="s">
        <v>102</v>
      </c>
      <c r="K355" s="14">
        <v>4</v>
      </c>
      <c r="L355" s="14">
        <v>27882</v>
      </c>
      <c r="M355" s="14">
        <v>10</v>
      </c>
      <c r="N355" s="14">
        <v>11152.8</v>
      </c>
      <c r="O355" s="14">
        <v>18067.54</v>
      </c>
      <c r="P355" s="14">
        <v>288</v>
      </c>
      <c r="Q355" s="14">
        <f t="shared" si="5"/>
        <v>118442.74</v>
      </c>
      <c r="R355" s="14">
        <v>118730.74</v>
      </c>
      <c r="S355" s="14" t="s">
        <v>33</v>
      </c>
      <c r="T355" s="14" t="s">
        <v>63</v>
      </c>
      <c r="U355" s="14" t="s">
        <v>35</v>
      </c>
      <c r="V355" s="14" t="s">
        <v>36</v>
      </c>
      <c r="W355" s="14" t="s">
        <v>37</v>
      </c>
      <c r="X355" s="14">
        <v>7</v>
      </c>
      <c r="Y355" s="14" t="s">
        <v>47</v>
      </c>
      <c r="Z355" s="14">
        <v>1</v>
      </c>
      <c r="AA355" s="14" t="s">
        <v>47</v>
      </c>
    </row>
    <row r="356" spans="1:27" x14ac:dyDescent="0.35">
      <c r="A356" s="14" t="s">
        <v>734</v>
      </c>
      <c r="B356" s="15">
        <v>46059</v>
      </c>
      <c r="C356" s="14" t="s">
        <v>735</v>
      </c>
      <c r="D356" s="14" t="s">
        <v>61</v>
      </c>
      <c r="E356" s="14" t="s">
        <v>43</v>
      </c>
      <c r="F356" s="14">
        <v>39</v>
      </c>
      <c r="G356" s="14" t="s">
        <v>134</v>
      </c>
      <c r="H356" s="14" t="s">
        <v>31</v>
      </c>
      <c r="I356" s="14" t="s">
        <v>134</v>
      </c>
      <c r="J356" s="14" t="s">
        <v>150</v>
      </c>
      <c r="K356" s="14">
        <v>2</v>
      </c>
      <c r="L356" s="14">
        <v>44930</v>
      </c>
      <c r="M356" s="14">
        <v>10</v>
      </c>
      <c r="N356" s="14">
        <v>8986</v>
      </c>
      <c r="O356" s="14">
        <v>14557.32</v>
      </c>
      <c r="P356" s="14">
        <v>262</v>
      </c>
      <c r="Q356" s="14">
        <f t="shared" si="5"/>
        <v>95431.32</v>
      </c>
      <c r="R356" s="14">
        <v>95693.32</v>
      </c>
      <c r="S356" s="14" t="s">
        <v>54</v>
      </c>
      <c r="T356" s="14" t="s">
        <v>34</v>
      </c>
      <c r="U356" s="14" t="s">
        <v>46</v>
      </c>
      <c r="V356" s="14" t="s">
        <v>36</v>
      </c>
      <c r="W356" s="14" t="s">
        <v>37</v>
      </c>
      <c r="X356" s="14">
        <v>4</v>
      </c>
      <c r="Y356" s="14" t="s">
        <v>38</v>
      </c>
      <c r="Z356" s="14">
        <v>1</v>
      </c>
      <c r="AA356" s="14" t="s">
        <v>91</v>
      </c>
    </row>
    <row r="357" spans="1:27" x14ac:dyDescent="0.35">
      <c r="A357" s="14" t="s">
        <v>736</v>
      </c>
      <c r="B357" s="15">
        <v>46010</v>
      </c>
      <c r="C357" s="14" t="s">
        <v>306</v>
      </c>
      <c r="D357" s="14" t="s">
        <v>42</v>
      </c>
      <c r="E357" s="14" t="s">
        <v>43</v>
      </c>
      <c r="F357" s="14">
        <v>51</v>
      </c>
      <c r="G357" s="14" t="s">
        <v>139</v>
      </c>
      <c r="H357" s="14" t="s">
        <v>31</v>
      </c>
      <c r="I357" s="14" t="s">
        <v>139</v>
      </c>
      <c r="J357" s="14" t="s">
        <v>53</v>
      </c>
      <c r="K357" s="14">
        <v>2</v>
      </c>
      <c r="L357" s="14">
        <v>32991</v>
      </c>
      <c r="M357" s="14">
        <v>5</v>
      </c>
      <c r="N357" s="14">
        <v>3299.1</v>
      </c>
      <c r="O357" s="14">
        <v>11282.92</v>
      </c>
      <c r="P357" s="14">
        <v>307</v>
      </c>
      <c r="Q357" s="14">
        <f t="shared" si="5"/>
        <v>73965.820000000007</v>
      </c>
      <c r="R357" s="14">
        <v>74272.820000000007</v>
      </c>
      <c r="S357" s="14" t="s">
        <v>54</v>
      </c>
      <c r="T357" s="14" t="s">
        <v>63</v>
      </c>
      <c r="U357" s="14" t="s">
        <v>35</v>
      </c>
      <c r="V357" s="14" t="s">
        <v>36</v>
      </c>
      <c r="W357" s="14" t="s">
        <v>37</v>
      </c>
      <c r="X357" s="14">
        <v>6</v>
      </c>
      <c r="Y357" s="14" t="s">
        <v>47</v>
      </c>
      <c r="Z357" s="14">
        <v>4</v>
      </c>
      <c r="AA357" s="14" t="s">
        <v>47</v>
      </c>
    </row>
    <row r="358" spans="1:27" x14ac:dyDescent="0.35">
      <c r="A358" s="14" t="s">
        <v>737</v>
      </c>
      <c r="B358" s="15">
        <v>46051</v>
      </c>
      <c r="C358" s="14" t="s">
        <v>333</v>
      </c>
      <c r="D358" s="14" t="s">
        <v>108</v>
      </c>
      <c r="E358" s="14" t="s">
        <v>43</v>
      </c>
      <c r="F358" s="14">
        <v>41</v>
      </c>
      <c r="G358" s="14" t="s">
        <v>44</v>
      </c>
      <c r="H358" s="14" t="s">
        <v>31</v>
      </c>
      <c r="I358" s="14" t="s">
        <v>44</v>
      </c>
      <c r="J358" s="14" t="s">
        <v>69</v>
      </c>
      <c r="K358" s="14">
        <v>5</v>
      </c>
      <c r="L358" s="14">
        <v>45961</v>
      </c>
      <c r="M358" s="14">
        <v>15</v>
      </c>
      <c r="N358" s="14">
        <v>34470.75</v>
      </c>
      <c r="O358" s="14">
        <v>35160.17</v>
      </c>
      <c r="P358" s="14">
        <v>329</v>
      </c>
      <c r="Q358" s="14">
        <f t="shared" si="5"/>
        <v>230494.42</v>
      </c>
      <c r="R358" s="14">
        <v>230823.42</v>
      </c>
      <c r="S358" s="14" t="s">
        <v>54</v>
      </c>
      <c r="T358" s="14" t="s">
        <v>34</v>
      </c>
      <c r="U358" s="14" t="s">
        <v>84</v>
      </c>
      <c r="V358" s="14" t="s">
        <v>85</v>
      </c>
      <c r="W358" s="14" t="s">
        <v>86</v>
      </c>
      <c r="X358" s="14">
        <v>10</v>
      </c>
      <c r="Y358" s="14" t="s">
        <v>47</v>
      </c>
      <c r="Z358" s="14">
        <v>1</v>
      </c>
      <c r="AA358" s="14" t="s">
        <v>58</v>
      </c>
    </row>
    <row r="359" spans="1:27" x14ac:dyDescent="0.35">
      <c r="A359" s="14" t="s">
        <v>738</v>
      </c>
      <c r="B359" s="15">
        <v>45907</v>
      </c>
      <c r="C359" s="14" t="s">
        <v>739</v>
      </c>
      <c r="D359" s="14" t="s">
        <v>28</v>
      </c>
      <c r="E359" s="14" t="s">
        <v>43</v>
      </c>
      <c r="F359" s="14">
        <v>35</v>
      </c>
      <c r="G359" s="14" t="s">
        <v>90</v>
      </c>
      <c r="H359" s="14" t="s">
        <v>31</v>
      </c>
      <c r="I359" s="14" t="s">
        <v>90</v>
      </c>
      <c r="J359" s="14" t="s">
        <v>69</v>
      </c>
      <c r="K359" s="14">
        <v>1</v>
      </c>
      <c r="L359" s="14">
        <v>31904</v>
      </c>
      <c r="M359" s="14">
        <v>5</v>
      </c>
      <c r="N359" s="14">
        <v>1595.2</v>
      </c>
      <c r="O359" s="14">
        <v>5455.58</v>
      </c>
      <c r="P359" s="14">
        <v>374</v>
      </c>
      <c r="Q359" s="14">
        <f t="shared" si="5"/>
        <v>35764.379999999997</v>
      </c>
      <c r="R359" s="14">
        <v>36138.379999999997</v>
      </c>
      <c r="S359" s="14" t="s">
        <v>54</v>
      </c>
      <c r="T359" s="14" t="s">
        <v>63</v>
      </c>
      <c r="U359" s="14" t="s">
        <v>84</v>
      </c>
      <c r="V359" s="14" t="s">
        <v>85</v>
      </c>
      <c r="W359" s="14" t="s">
        <v>86</v>
      </c>
      <c r="X359" s="14">
        <v>6</v>
      </c>
      <c r="Y359" s="14" t="s">
        <v>47</v>
      </c>
      <c r="Z359" s="14">
        <v>3</v>
      </c>
      <c r="AA359" s="14" t="s">
        <v>47</v>
      </c>
    </row>
    <row r="360" spans="1:27" x14ac:dyDescent="0.35">
      <c r="A360" s="14" t="s">
        <v>740</v>
      </c>
      <c r="B360" s="15">
        <v>46081</v>
      </c>
      <c r="C360" s="14" t="s">
        <v>741</v>
      </c>
      <c r="D360" s="14" t="s">
        <v>108</v>
      </c>
      <c r="E360" s="14" t="s">
        <v>43</v>
      </c>
      <c r="F360" s="14">
        <v>46</v>
      </c>
      <c r="G360" s="14" t="s">
        <v>134</v>
      </c>
      <c r="H360" s="14" t="s">
        <v>31</v>
      </c>
      <c r="I360" s="14" t="s">
        <v>134</v>
      </c>
      <c r="J360" s="14" t="s">
        <v>125</v>
      </c>
      <c r="K360" s="14">
        <v>1</v>
      </c>
      <c r="L360" s="14">
        <v>33120</v>
      </c>
      <c r="M360" s="14">
        <v>0</v>
      </c>
      <c r="N360" s="14">
        <v>0</v>
      </c>
      <c r="O360" s="14">
        <v>5961.6</v>
      </c>
      <c r="P360" s="14">
        <v>154</v>
      </c>
      <c r="Q360" s="14">
        <f t="shared" si="5"/>
        <v>39081.599999999999</v>
      </c>
      <c r="R360" s="14">
        <v>39235.599999999999</v>
      </c>
      <c r="S360" s="14" t="s">
        <v>83</v>
      </c>
      <c r="T360" s="14" t="s">
        <v>63</v>
      </c>
      <c r="U360" s="14" t="s">
        <v>84</v>
      </c>
      <c r="V360" s="14" t="s">
        <v>85</v>
      </c>
      <c r="W360" s="14" t="s">
        <v>86</v>
      </c>
      <c r="X360" s="14">
        <v>2</v>
      </c>
      <c r="Y360" s="14" t="s">
        <v>47</v>
      </c>
      <c r="Z360" s="14">
        <v>4</v>
      </c>
      <c r="AA360" s="14" t="s">
        <v>58</v>
      </c>
    </row>
    <row r="361" spans="1:27" x14ac:dyDescent="0.35">
      <c r="A361" s="14" t="s">
        <v>742</v>
      </c>
      <c r="B361" s="15">
        <v>45899</v>
      </c>
      <c r="C361" s="14" t="s">
        <v>743</v>
      </c>
      <c r="D361" s="14" t="s">
        <v>61</v>
      </c>
      <c r="E361" s="14" t="s">
        <v>43</v>
      </c>
      <c r="F361" s="14">
        <v>47</v>
      </c>
      <c r="G361" s="14" t="s">
        <v>44</v>
      </c>
      <c r="H361" s="14" t="s">
        <v>31</v>
      </c>
      <c r="I361" s="14" t="s">
        <v>44</v>
      </c>
      <c r="J361" s="14" t="s">
        <v>75</v>
      </c>
      <c r="K361" s="14">
        <v>2</v>
      </c>
      <c r="L361" s="14">
        <v>39261</v>
      </c>
      <c r="M361" s="14">
        <v>0</v>
      </c>
      <c r="N361" s="14">
        <v>0</v>
      </c>
      <c r="O361" s="14">
        <v>14133.96</v>
      </c>
      <c r="P361" s="14">
        <v>437</v>
      </c>
      <c r="Q361" s="14">
        <f t="shared" si="5"/>
        <v>92655.96</v>
      </c>
      <c r="R361" s="14">
        <v>93092.96</v>
      </c>
      <c r="S361" s="14" t="s">
        <v>54</v>
      </c>
      <c r="T361" s="14" t="s">
        <v>63</v>
      </c>
      <c r="U361" s="14" t="s">
        <v>84</v>
      </c>
      <c r="V361" s="14" t="s">
        <v>85</v>
      </c>
      <c r="W361" s="14" t="s">
        <v>86</v>
      </c>
      <c r="X361" s="14">
        <v>8</v>
      </c>
      <c r="Y361" s="14" t="s">
        <v>47</v>
      </c>
      <c r="Z361" s="14">
        <v>1</v>
      </c>
      <c r="AA361" s="14" t="s">
        <v>47</v>
      </c>
    </row>
    <row r="362" spans="1:27" x14ac:dyDescent="0.35">
      <c r="A362" s="14" t="s">
        <v>744</v>
      </c>
      <c r="B362" s="15">
        <v>45990</v>
      </c>
      <c r="C362" s="14" t="s">
        <v>745</v>
      </c>
      <c r="D362" s="14" t="s">
        <v>80</v>
      </c>
      <c r="E362" s="14" t="s">
        <v>43</v>
      </c>
      <c r="F362" s="14">
        <v>56</v>
      </c>
      <c r="G362" s="14" t="s">
        <v>67</v>
      </c>
      <c r="H362" s="14" t="s">
        <v>68</v>
      </c>
      <c r="I362" s="14" t="s">
        <v>67</v>
      </c>
      <c r="J362" s="14" t="s">
        <v>53</v>
      </c>
      <c r="K362" s="14">
        <v>4</v>
      </c>
      <c r="L362" s="14">
        <v>20027</v>
      </c>
      <c r="M362" s="14">
        <v>10</v>
      </c>
      <c r="N362" s="14">
        <v>8010.8</v>
      </c>
      <c r="O362" s="14">
        <v>12977.5</v>
      </c>
      <c r="P362" s="14">
        <v>0</v>
      </c>
      <c r="Q362" s="14">
        <f t="shared" si="5"/>
        <v>85074.7</v>
      </c>
      <c r="R362" s="14">
        <v>85074.7</v>
      </c>
      <c r="S362" s="14" t="s">
        <v>45</v>
      </c>
      <c r="T362" s="14" t="s">
        <v>63</v>
      </c>
      <c r="U362" s="14" t="s">
        <v>103</v>
      </c>
      <c r="V362" s="14" t="s">
        <v>103</v>
      </c>
      <c r="W362" s="14" t="s">
        <v>57</v>
      </c>
      <c r="X362" s="14">
        <v>1</v>
      </c>
      <c r="Y362" s="14" t="s">
        <v>38</v>
      </c>
      <c r="Z362" s="14">
        <v>5</v>
      </c>
      <c r="AA362" s="14" t="s">
        <v>91</v>
      </c>
    </row>
    <row r="363" spans="1:27" x14ac:dyDescent="0.35">
      <c r="A363" s="14" t="s">
        <v>746</v>
      </c>
      <c r="B363" s="15">
        <v>45877</v>
      </c>
      <c r="C363" s="14" t="s">
        <v>747</v>
      </c>
      <c r="D363" s="14" t="s">
        <v>66</v>
      </c>
      <c r="E363" s="14" t="s">
        <v>29</v>
      </c>
      <c r="F363" s="14">
        <v>33</v>
      </c>
      <c r="G363" s="14" t="s">
        <v>139</v>
      </c>
      <c r="H363" s="14" t="s">
        <v>31</v>
      </c>
      <c r="I363" s="14" t="s">
        <v>139</v>
      </c>
      <c r="J363" s="14" t="s">
        <v>69</v>
      </c>
      <c r="K363" s="14">
        <v>2</v>
      </c>
      <c r="L363" s="14">
        <v>29124</v>
      </c>
      <c r="M363" s="14">
        <v>0</v>
      </c>
      <c r="N363" s="14">
        <v>0</v>
      </c>
      <c r="O363" s="14">
        <v>10484.64</v>
      </c>
      <c r="P363" s="14">
        <v>260</v>
      </c>
      <c r="Q363" s="14">
        <f t="shared" si="5"/>
        <v>68732.639999999999</v>
      </c>
      <c r="R363" s="14">
        <v>68992.639999999999</v>
      </c>
      <c r="S363" s="14" t="s">
        <v>33</v>
      </c>
      <c r="T363" s="14" t="s">
        <v>63</v>
      </c>
      <c r="U363" s="14" t="s">
        <v>103</v>
      </c>
      <c r="V363" s="14" t="s">
        <v>103</v>
      </c>
      <c r="W363" s="14" t="s">
        <v>57</v>
      </c>
      <c r="X363" s="14">
        <v>8</v>
      </c>
      <c r="Y363" s="14" t="s">
        <v>38</v>
      </c>
      <c r="Z363" s="14">
        <v>5</v>
      </c>
      <c r="AA363" s="14" t="s">
        <v>58</v>
      </c>
    </row>
    <row r="364" spans="1:27" x14ac:dyDescent="0.35">
      <c r="A364" s="14" t="s">
        <v>748</v>
      </c>
      <c r="B364" s="15">
        <v>46029</v>
      </c>
      <c r="C364" s="14" t="s">
        <v>749</v>
      </c>
      <c r="D364" s="14" t="s">
        <v>89</v>
      </c>
      <c r="E364" s="14" t="s">
        <v>29</v>
      </c>
      <c r="F364" s="14">
        <v>24</v>
      </c>
      <c r="G364" s="14" t="s">
        <v>67</v>
      </c>
      <c r="H364" s="14" t="s">
        <v>68</v>
      </c>
      <c r="I364" s="14" t="s">
        <v>67</v>
      </c>
      <c r="J364" s="14" t="s">
        <v>150</v>
      </c>
      <c r="K364" s="14">
        <v>3</v>
      </c>
      <c r="L364" s="14">
        <v>34423</v>
      </c>
      <c r="M364" s="14">
        <v>10</v>
      </c>
      <c r="N364" s="14">
        <v>10326.9</v>
      </c>
      <c r="O364" s="14">
        <v>16729.580000000002</v>
      </c>
      <c r="P364" s="14">
        <v>223</v>
      </c>
      <c r="Q364" s="14">
        <f t="shared" si="5"/>
        <v>109671.67999999999</v>
      </c>
      <c r="R364" s="14">
        <v>109894.68</v>
      </c>
      <c r="S364" s="14" t="s">
        <v>83</v>
      </c>
      <c r="T364" s="14" t="s">
        <v>34</v>
      </c>
      <c r="U364" s="14" t="s">
        <v>95</v>
      </c>
      <c r="V364" s="14" t="s">
        <v>96</v>
      </c>
      <c r="W364" s="14" t="s">
        <v>57</v>
      </c>
      <c r="X364" s="14">
        <v>7</v>
      </c>
      <c r="Y364" s="14" t="s">
        <v>47</v>
      </c>
      <c r="Z364" s="14">
        <v>4</v>
      </c>
      <c r="AA364" s="14" t="s">
        <v>91</v>
      </c>
    </row>
    <row r="365" spans="1:27" x14ac:dyDescent="0.35">
      <c r="A365" s="14" t="s">
        <v>750</v>
      </c>
      <c r="B365" s="15">
        <v>46027</v>
      </c>
      <c r="C365" s="14" t="s">
        <v>280</v>
      </c>
      <c r="D365" s="14" t="s">
        <v>108</v>
      </c>
      <c r="E365" s="14" t="s">
        <v>43</v>
      </c>
      <c r="F365" s="14">
        <v>36</v>
      </c>
      <c r="G365" s="14" t="s">
        <v>74</v>
      </c>
      <c r="H365" s="14" t="s">
        <v>31</v>
      </c>
      <c r="I365" s="14" t="s">
        <v>74</v>
      </c>
      <c r="J365" s="14" t="s">
        <v>202</v>
      </c>
      <c r="K365" s="14">
        <v>4</v>
      </c>
      <c r="L365" s="14">
        <v>33019</v>
      </c>
      <c r="M365" s="14">
        <v>20</v>
      </c>
      <c r="N365" s="14">
        <v>26415.200000000001</v>
      </c>
      <c r="O365" s="14">
        <v>19018.939999999999</v>
      </c>
      <c r="P365" s="14">
        <v>47</v>
      </c>
      <c r="Q365" s="14">
        <f t="shared" si="5"/>
        <v>124679.74</v>
      </c>
      <c r="R365" s="14">
        <v>124726.74</v>
      </c>
      <c r="S365" s="14" t="s">
        <v>54</v>
      </c>
      <c r="T365" s="14" t="s">
        <v>63</v>
      </c>
      <c r="U365" s="14" t="s">
        <v>35</v>
      </c>
      <c r="V365" s="14" t="s">
        <v>36</v>
      </c>
      <c r="W365" s="14" t="s">
        <v>37</v>
      </c>
      <c r="X365" s="14">
        <v>4</v>
      </c>
      <c r="Y365" s="14" t="s">
        <v>38</v>
      </c>
      <c r="Z365" s="14">
        <v>2</v>
      </c>
      <c r="AA365" s="14" t="s">
        <v>91</v>
      </c>
    </row>
    <row r="366" spans="1:27" x14ac:dyDescent="0.35">
      <c r="A366" s="14" t="s">
        <v>751</v>
      </c>
      <c r="B366" s="15">
        <v>45957</v>
      </c>
      <c r="C366" s="14" t="s">
        <v>752</v>
      </c>
      <c r="D366" s="14" t="s">
        <v>108</v>
      </c>
      <c r="E366" s="14" t="s">
        <v>43</v>
      </c>
      <c r="F366" s="14">
        <v>40</v>
      </c>
      <c r="G366" s="14" t="s">
        <v>44</v>
      </c>
      <c r="H366" s="14" t="s">
        <v>31</v>
      </c>
      <c r="I366" s="14" t="s">
        <v>44</v>
      </c>
      <c r="J366" s="14" t="s">
        <v>75</v>
      </c>
      <c r="K366" s="14">
        <v>3</v>
      </c>
      <c r="L366" s="14">
        <v>42953</v>
      </c>
      <c r="M366" s="14">
        <v>5</v>
      </c>
      <c r="N366" s="14">
        <v>6442.95</v>
      </c>
      <c r="O366" s="14">
        <v>22034.89</v>
      </c>
      <c r="P366" s="14">
        <v>312</v>
      </c>
      <c r="Q366" s="14">
        <f t="shared" si="5"/>
        <v>144450.94</v>
      </c>
      <c r="R366" s="14">
        <v>144762.94</v>
      </c>
      <c r="S366" s="14" t="s">
        <v>33</v>
      </c>
      <c r="T366" s="14" t="s">
        <v>63</v>
      </c>
      <c r="U366" s="14" t="s">
        <v>103</v>
      </c>
      <c r="V366" s="14" t="s">
        <v>103</v>
      </c>
      <c r="W366" s="14" t="s">
        <v>57</v>
      </c>
      <c r="X366" s="14">
        <v>10</v>
      </c>
      <c r="Y366" s="14" t="s">
        <v>47</v>
      </c>
      <c r="Z366" s="14">
        <v>1</v>
      </c>
      <c r="AA366" s="14" t="s">
        <v>91</v>
      </c>
    </row>
    <row r="367" spans="1:27" x14ac:dyDescent="0.35">
      <c r="A367" s="14" t="s">
        <v>753</v>
      </c>
      <c r="B367" s="15">
        <v>45862</v>
      </c>
      <c r="C367" s="14" t="s">
        <v>754</v>
      </c>
      <c r="D367" s="14" t="s">
        <v>111</v>
      </c>
      <c r="E367" s="14" t="s">
        <v>29</v>
      </c>
      <c r="F367" s="14">
        <v>34</v>
      </c>
      <c r="G367" s="14" t="s">
        <v>99</v>
      </c>
      <c r="H367" s="14" t="s">
        <v>52</v>
      </c>
      <c r="I367" s="14" t="s">
        <v>99</v>
      </c>
      <c r="J367" s="14" t="s">
        <v>32</v>
      </c>
      <c r="K367" s="14">
        <v>4</v>
      </c>
      <c r="L367" s="14">
        <v>20988</v>
      </c>
      <c r="M367" s="14">
        <v>10</v>
      </c>
      <c r="N367" s="14">
        <v>8395.2000000000007</v>
      </c>
      <c r="O367" s="14">
        <v>13600.22</v>
      </c>
      <c r="P367" s="14">
        <v>300</v>
      </c>
      <c r="Q367" s="14">
        <f t="shared" si="5"/>
        <v>89157.02</v>
      </c>
      <c r="R367" s="14">
        <v>89457.02</v>
      </c>
      <c r="S367" s="14" t="s">
        <v>45</v>
      </c>
      <c r="T367" s="14" t="s">
        <v>63</v>
      </c>
      <c r="U367" s="14" t="s">
        <v>95</v>
      </c>
      <c r="V367" s="14" t="s">
        <v>96</v>
      </c>
      <c r="W367" s="14" t="s">
        <v>57</v>
      </c>
      <c r="X367" s="14">
        <v>8</v>
      </c>
      <c r="Y367" s="14" t="s">
        <v>38</v>
      </c>
      <c r="Z367" s="14">
        <v>3</v>
      </c>
      <c r="AA367" s="14" t="s">
        <v>91</v>
      </c>
    </row>
    <row r="368" spans="1:27" x14ac:dyDescent="0.35">
      <c r="A368" s="14" t="s">
        <v>755</v>
      </c>
      <c r="B368" s="15">
        <v>45909</v>
      </c>
      <c r="C368" s="14" t="s">
        <v>756</v>
      </c>
      <c r="D368" s="14" t="s">
        <v>66</v>
      </c>
      <c r="E368" s="14" t="s">
        <v>29</v>
      </c>
      <c r="F368" s="14">
        <v>40</v>
      </c>
      <c r="G368" s="14" t="s">
        <v>44</v>
      </c>
      <c r="H368" s="14" t="s">
        <v>31</v>
      </c>
      <c r="I368" s="14" t="s">
        <v>44</v>
      </c>
      <c r="J368" s="14" t="s">
        <v>32</v>
      </c>
      <c r="K368" s="14">
        <v>5</v>
      </c>
      <c r="L368" s="14">
        <v>29902</v>
      </c>
      <c r="M368" s="14">
        <v>0</v>
      </c>
      <c r="N368" s="14">
        <v>0</v>
      </c>
      <c r="O368" s="14">
        <v>26911.8</v>
      </c>
      <c r="P368" s="14">
        <v>252</v>
      </c>
      <c r="Q368" s="14">
        <f t="shared" si="5"/>
        <v>176421.8</v>
      </c>
      <c r="R368" s="14">
        <v>176673.8</v>
      </c>
      <c r="S368" s="14" t="s">
        <v>45</v>
      </c>
      <c r="T368" s="14" t="s">
        <v>34</v>
      </c>
      <c r="U368" s="14" t="s">
        <v>95</v>
      </c>
      <c r="V368" s="14" t="s">
        <v>96</v>
      </c>
      <c r="W368" s="14" t="s">
        <v>57</v>
      </c>
      <c r="X368" s="14">
        <v>4</v>
      </c>
      <c r="Y368" s="14" t="s">
        <v>38</v>
      </c>
      <c r="Z368" s="14">
        <v>2</v>
      </c>
      <c r="AA368" s="14" t="s">
        <v>91</v>
      </c>
    </row>
    <row r="369" spans="1:27" x14ac:dyDescent="0.35">
      <c r="A369" s="14" t="s">
        <v>757</v>
      </c>
      <c r="B369" s="15">
        <v>46010</v>
      </c>
      <c r="C369" s="14" t="s">
        <v>758</v>
      </c>
      <c r="D369" s="14" t="s">
        <v>66</v>
      </c>
      <c r="E369" s="14" t="s">
        <v>43</v>
      </c>
      <c r="F369" s="14">
        <v>35</v>
      </c>
      <c r="G369" s="14" t="s">
        <v>90</v>
      </c>
      <c r="H369" s="14" t="s">
        <v>31</v>
      </c>
      <c r="I369" s="14" t="s">
        <v>90</v>
      </c>
      <c r="J369" s="14" t="s">
        <v>32</v>
      </c>
      <c r="K369" s="14">
        <v>5</v>
      </c>
      <c r="L369" s="14">
        <v>8265</v>
      </c>
      <c r="M369" s="14">
        <v>20</v>
      </c>
      <c r="N369" s="14">
        <v>8265</v>
      </c>
      <c r="O369" s="14">
        <v>5950.8</v>
      </c>
      <c r="P369" s="14">
        <v>487</v>
      </c>
      <c r="Q369" s="14">
        <f t="shared" si="5"/>
        <v>39010.800000000003</v>
      </c>
      <c r="R369" s="14">
        <v>39497.800000000003</v>
      </c>
      <c r="S369" s="14" t="s">
        <v>83</v>
      </c>
      <c r="T369" s="14" t="s">
        <v>63</v>
      </c>
      <c r="U369" s="14" t="s">
        <v>76</v>
      </c>
      <c r="V369" s="14" t="s">
        <v>77</v>
      </c>
      <c r="W369" s="14" t="s">
        <v>57</v>
      </c>
      <c r="X369" s="14">
        <v>7</v>
      </c>
      <c r="Y369" s="14" t="s">
        <v>47</v>
      </c>
      <c r="Z369" s="14">
        <v>2</v>
      </c>
      <c r="AA369" s="14" t="s">
        <v>39</v>
      </c>
    </row>
    <row r="370" spans="1:27" x14ac:dyDescent="0.35">
      <c r="A370" s="14" t="s">
        <v>759</v>
      </c>
      <c r="B370" s="15">
        <v>46118</v>
      </c>
      <c r="C370" s="14" t="s">
        <v>350</v>
      </c>
      <c r="D370" s="14" t="s">
        <v>28</v>
      </c>
      <c r="E370" s="14" t="s">
        <v>29</v>
      </c>
      <c r="F370" s="14">
        <v>31</v>
      </c>
      <c r="G370" s="14" t="s">
        <v>139</v>
      </c>
      <c r="H370" s="14" t="s">
        <v>31</v>
      </c>
      <c r="I370" s="14" t="s">
        <v>139</v>
      </c>
      <c r="J370" s="14" t="s">
        <v>53</v>
      </c>
      <c r="K370" s="14">
        <v>1</v>
      </c>
      <c r="L370" s="14">
        <v>44313</v>
      </c>
      <c r="M370" s="14">
        <v>10</v>
      </c>
      <c r="N370" s="14">
        <v>4431.3</v>
      </c>
      <c r="O370" s="14">
        <v>7178.71</v>
      </c>
      <c r="P370" s="14">
        <v>103</v>
      </c>
      <c r="Q370" s="14">
        <f t="shared" si="5"/>
        <v>47060.41</v>
      </c>
      <c r="R370" s="14">
        <v>47163.41</v>
      </c>
      <c r="S370" s="14" t="s">
        <v>45</v>
      </c>
      <c r="T370" s="14" t="s">
        <v>34</v>
      </c>
      <c r="U370" s="14" t="s">
        <v>84</v>
      </c>
      <c r="V370" s="14" t="s">
        <v>85</v>
      </c>
      <c r="W370" s="14" t="s">
        <v>86</v>
      </c>
      <c r="X370" s="14">
        <v>1</v>
      </c>
      <c r="Y370" s="14" t="s">
        <v>47</v>
      </c>
      <c r="Z370" s="14">
        <v>5</v>
      </c>
      <c r="AA370" s="14" t="s">
        <v>91</v>
      </c>
    </row>
    <row r="371" spans="1:27" x14ac:dyDescent="0.35">
      <c r="A371" s="14" t="s">
        <v>760</v>
      </c>
      <c r="B371" s="15">
        <v>45886</v>
      </c>
      <c r="C371" s="14" t="s">
        <v>761</v>
      </c>
      <c r="D371" s="14" t="s">
        <v>89</v>
      </c>
      <c r="E371" s="14" t="s">
        <v>43</v>
      </c>
      <c r="F371" s="14">
        <v>35</v>
      </c>
      <c r="G371" s="14" t="s">
        <v>90</v>
      </c>
      <c r="H371" s="14" t="s">
        <v>31</v>
      </c>
      <c r="I371" s="14" t="s">
        <v>90</v>
      </c>
      <c r="J371" s="14" t="s">
        <v>150</v>
      </c>
      <c r="K371" s="14">
        <v>5</v>
      </c>
      <c r="L371" s="14">
        <v>30235</v>
      </c>
      <c r="M371" s="14">
        <v>20</v>
      </c>
      <c r="N371" s="14">
        <v>30235</v>
      </c>
      <c r="O371" s="14">
        <v>21769.200000000001</v>
      </c>
      <c r="P371" s="14">
        <v>120</v>
      </c>
      <c r="Q371" s="14">
        <f t="shared" si="5"/>
        <v>142709.20000000001</v>
      </c>
      <c r="R371" s="14">
        <v>142829.20000000001</v>
      </c>
      <c r="S371" s="14" t="s">
        <v>54</v>
      </c>
      <c r="T371" s="14" t="s">
        <v>34</v>
      </c>
      <c r="U371" s="14" t="s">
        <v>95</v>
      </c>
      <c r="V371" s="14" t="s">
        <v>96</v>
      </c>
      <c r="W371" s="14" t="s">
        <v>57</v>
      </c>
      <c r="X371" s="14">
        <v>4</v>
      </c>
      <c r="Y371" s="14" t="s">
        <v>38</v>
      </c>
      <c r="Z371" s="14">
        <v>1</v>
      </c>
      <c r="AA371" s="14" t="s">
        <v>58</v>
      </c>
    </row>
    <row r="372" spans="1:27" x14ac:dyDescent="0.35">
      <c r="A372" s="14" t="s">
        <v>762</v>
      </c>
      <c r="B372" s="15">
        <v>45789</v>
      </c>
      <c r="C372" s="14" t="s">
        <v>763</v>
      </c>
      <c r="D372" s="14" t="s">
        <v>61</v>
      </c>
      <c r="E372" s="14" t="s">
        <v>43</v>
      </c>
      <c r="F372" s="14">
        <v>40</v>
      </c>
      <c r="G372" s="14" t="s">
        <v>94</v>
      </c>
      <c r="H372" s="14" t="s">
        <v>31</v>
      </c>
      <c r="I372" s="14" t="s">
        <v>94</v>
      </c>
      <c r="J372" s="14" t="s">
        <v>112</v>
      </c>
      <c r="K372" s="14">
        <v>1</v>
      </c>
      <c r="L372" s="14">
        <v>47817</v>
      </c>
      <c r="M372" s="14">
        <v>20</v>
      </c>
      <c r="N372" s="14">
        <v>9563.4</v>
      </c>
      <c r="O372" s="14">
        <v>6885.65</v>
      </c>
      <c r="P372" s="14">
        <v>434</v>
      </c>
      <c r="Q372" s="14">
        <f t="shared" si="5"/>
        <v>45139.25</v>
      </c>
      <c r="R372" s="14">
        <v>45573.25</v>
      </c>
      <c r="S372" s="14" t="s">
        <v>54</v>
      </c>
      <c r="T372" s="14" t="s">
        <v>34</v>
      </c>
      <c r="U372" s="14" t="s">
        <v>35</v>
      </c>
      <c r="V372" s="14" t="s">
        <v>36</v>
      </c>
      <c r="W372" s="14" t="s">
        <v>37</v>
      </c>
      <c r="X372" s="14">
        <v>1</v>
      </c>
      <c r="Y372" s="14" t="s">
        <v>38</v>
      </c>
      <c r="Z372" s="14">
        <v>2</v>
      </c>
      <c r="AA372" s="14" t="s">
        <v>39</v>
      </c>
    </row>
    <row r="373" spans="1:27" x14ac:dyDescent="0.35">
      <c r="A373" s="14" t="s">
        <v>764</v>
      </c>
      <c r="B373" s="15">
        <v>45974</v>
      </c>
      <c r="C373" s="14" t="s">
        <v>765</v>
      </c>
      <c r="D373" s="14" t="s">
        <v>111</v>
      </c>
      <c r="E373" s="14" t="s">
        <v>43</v>
      </c>
      <c r="F373" s="14">
        <v>18</v>
      </c>
      <c r="G373" s="14" t="s">
        <v>51</v>
      </c>
      <c r="H373" s="14" t="s">
        <v>52</v>
      </c>
      <c r="I373" s="14" t="s">
        <v>51</v>
      </c>
      <c r="J373" s="14" t="s">
        <v>102</v>
      </c>
      <c r="K373" s="14">
        <v>3</v>
      </c>
      <c r="L373" s="14">
        <v>3210</v>
      </c>
      <c r="M373" s="14">
        <v>0</v>
      </c>
      <c r="N373" s="14">
        <v>0</v>
      </c>
      <c r="O373" s="14">
        <v>1733.4</v>
      </c>
      <c r="P373" s="14">
        <v>177</v>
      </c>
      <c r="Q373" s="14">
        <f t="shared" si="5"/>
        <v>11363.4</v>
      </c>
      <c r="R373" s="14">
        <v>11540.4</v>
      </c>
      <c r="S373" s="14" t="s">
        <v>33</v>
      </c>
      <c r="T373" s="14" t="s">
        <v>34</v>
      </c>
      <c r="U373" s="14" t="s">
        <v>70</v>
      </c>
      <c r="V373" s="14" t="s">
        <v>56</v>
      </c>
      <c r="W373" s="14" t="s">
        <v>57</v>
      </c>
      <c r="X373" s="14">
        <v>7</v>
      </c>
      <c r="Y373" s="14" t="s">
        <v>38</v>
      </c>
      <c r="Z373" s="14">
        <v>1</v>
      </c>
      <c r="AA373" s="14" t="s">
        <v>47</v>
      </c>
    </row>
    <row r="374" spans="1:27" x14ac:dyDescent="0.35">
      <c r="A374" s="14" t="s">
        <v>766</v>
      </c>
      <c r="B374" s="15">
        <v>45880</v>
      </c>
      <c r="C374" s="14" t="s">
        <v>476</v>
      </c>
      <c r="D374" s="14" t="s">
        <v>89</v>
      </c>
      <c r="E374" s="14" t="s">
        <v>29</v>
      </c>
      <c r="F374" s="14">
        <v>37</v>
      </c>
      <c r="G374" s="14" t="s">
        <v>67</v>
      </c>
      <c r="H374" s="14" t="s">
        <v>68</v>
      </c>
      <c r="I374" s="14" t="s">
        <v>67</v>
      </c>
      <c r="J374" s="14" t="s">
        <v>125</v>
      </c>
      <c r="K374" s="14">
        <v>3</v>
      </c>
      <c r="L374" s="14">
        <v>9055</v>
      </c>
      <c r="M374" s="14">
        <v>0</v>
      </c>
      <c r="N374" s="14">
        <v>0</v>
      </c>
      <c r="O374" s="14">
        <v>4889.7</v>
      </c>
      <c r="P374" s="14">
        <v>444</v>
      </c>
      <c r="Q374" s="14">
        <f t="shared" si="5"/>
        <v>32054.7</v>
      </c>
      <c r="R374" s="14">
        <v>32498.7</v>
      </c>
      <c r="S374" s="14" t="s">
        <v>33</v>
      </c>
      <c r="T374" s="14" t="s">
        <v>34</v>
      </c>
      <c r="U374" s="14" t="s">
        <v>95</v>
      </c>
      <c r="V374" s="14" t="s">
        <v>96</v>
      </c>
      <c r="W374" s="14" t="s">
        <v>57</v>
      </c>
      <c r="X374" s="14">
        <v>4</v>
      </c>
      <c r="Y374" s="14" t="s">
        <v>38</v>
      </c>
      <c r="Z374" s="14">
        <v>2</v>
      </c>
      <c r="AA374" s="14" t="s">
        <v>91</v>
      </c>
    </row>
    <row r="375" spans="1:27" x14ac:dyDescent="0.35">
      <c r="A375" s="14" t="s">
        <v>767</v>
      </c>
      <c r="B375" s="15">
        <v>45878</v>
      </c>
      <c r="C375" s="14" t="s">
        <v>768</v>
      </c>
      <c r="D375" s="14" t="s">
        <v>42</v>
      </c>
      <c r="E375" s="14" t="s">
        <v>29</v>
      </c>
      <c r="F375" s="14">
        <v>48</v>
      </c>
      <c r="G375" s="14" t="s">
        <v>139</v>
      </c>
      <c r="H375" s="14" t="s">
        <v>31</v>
      </c>
      <c r="I375" s="14" t="s">
        <v>139</v>
      </c>
      <c r="J375" s="14" t="s">
        <v>125</v>
      </c>
      <c r="K375" s="14">
        <v>5</v>
      </c>
      <c r="L375" s="14">
        <v>28376</v>
      </c>
      <c r="M375" s="14">
        <v>10</v>
      </c>
      <c r="N375" s="14">
        <v>14188</v>
      </c>
      <c r="O375" s="14">
        <v>22984.560000000001</v>
      </c>
      <c r="P375" s="14">
        <v>491</v>
      </c>
      <c r="Q375" s="14">
        <f t="shared" si="5"/>
        <v>150676.56</v>
      </c>
      <c r="R375" s="14">
        <v>151167.56</v>
      </c>
      <c r="S375" s="14" t="s">
        <v>54</v>
      </c>
      <c r="T375" s="14" t="s">
        <v>34</v>
      </c>
      <c r="U375" s="14" t="s">
        <v>95</v>
      </c>
      <c r="V375" s="14" t="s">
        <v>96</v>
      </c>
      <c r="W375" s="14" t="s">
        <v>57</v>
      </c>
      <c r="X375" s="14">
        <v>2</v>
      </c>
      <c r="Y375" s="14" t="s">
        <v>47</v>
      </c>
      <c r="Z375" s="14">
        <v>4</v>
      </c>
      <c r="AA375" s="14" t="s">
        <v>91</v>
      </c>
    </row>
    <row r="376" spans="1:27" x14ac:dyDescent="0.35">
      <c r="A376" s="14" t="s">
        <v>769</v>
      </c>
      <c r="B376" s="15">
        <v>45917</v>
      </c>
      <c r="C376" s="14" t="s">
        <v>770</v>
      </c>
      <c r="D376" s="14" t="s">
        <v>42</v>
      </c>
      <c r="E376" s="14" t="s">
        <v>43</v>
      </c>
      <c r="F376" s="14">
        <v>59</v>
      </c>
      <c r="G376" s="14" t="s">
        <v>67</v>
      </c>
      <c r="H376" s="14" t="s">
        <v>68</v>
      </c>
      <c r="I376" s="14" t="s">
        <v>67</v>
      </c>
      <c r="J376" s="14" t="s">
        <v>125</v>
      </c>
      <c r="K376" s="14">
        <v>1</v>
      </c>
      <c r="L376" s="14">
        <v>32505</v>
      </c>
      <c r="M376" s="14">
        <v>20</v>
      </c>
      <c r="N376" s="14">
        <v>6501</v>
      </c>
      <c r="O376" s="14">
        <v>4680.72</v>
      </c>
      <c r="P376" s="14">
        <v>395</v>
      </c>
      <c r="Q376" s="14">
        <f t="shared" si="5"/>
        <v>30684.720000000001</v>
      </c>
      <c r="R376" s="14">
        <v>31079.72</v>
      </c>
      <c r="S376" s="14" t="s">
        <v>45</v>
      </c>
      <c r="T376" s="14" t="s">
        <v>34</v>
      </c>
      <c r="U376" s="14" t="s">
        <v>103</v>
      </c>
      <c r="V376" s="14" t="s">
        <v>103</v>
      </c>
      <c r="W376" s="14" t="s">
        <v>57</v>
      </c>
      <c r="X376" s="14">
        <v>3</v>
      </c>
      <c r="Y376" s="14" t="s">
        <v>38</v>
      </c>
      <c r="Z376" s="14">
        <v>1</v>
      </c>
      <c r="AA376" s="14" t="s">
        <v>47</v>
      </c>
    </row>
    <row r="377" spans="1:27" x14ac:dyDescent="0.35">
      <c r="A377" s="14" t="s">
        <v>771</v>
      </c>
      <c r="B377" s="15">
        <v>45959</v>
      </c>
      <c r="C377" s="14" t="s">
        <v>772</v>
      </c>
      <c r="D377" s="14" t="s">
        <v>61</v>
      </c>
      <c r="E377" s="14" t="s">
        <v>29</v>
      </c>
      <c r="F377" s="14">
        <v>37</v>
      </c>
      <c r="G377" s="14" t="s">
        <v>139</v>
      </c>
      <c r="H377" s="14" t="s">
        <v>31</v>
      </c>
      <c r="I377" s="14" t="s">
        <v>139</v>
      </c>
      <c r="J377" s="14" t="s">
        <v>62</v>
      </c>
      <c r="K377" s="14">
        <v>4</v>
      </c>
      <c r="L377" s="14">
        <v>38052</v>
      </c>
      <c r="M377" s="14">
        <v>15</v>
      </c>
      <c r="N377" s="14">
        <v>22831.200000000001</v>
      </c>
      <c r="O377" s="14">
        <v>23287.82</v>
      </c>
      <c r="P377" s="14">
        <v>488</v>
      </c>
      <c r="Q377" s="14">
        <f t="shared" si="5"/>
        <v>152664.62</v>
      </c>
      <c r="R377" s="14">
        <v>153152.62</v>
      </c>
      <c r="S377" s="14" t="s">
        <v>83</v>
      </c>
      <c r="T377" s="14" t="s">
        <v>63</v>
      </c>
      <c r="U377" s="14" t="s">
        <v>103</v>
      </c>
      <c r="V377" s="14" t="s">
        <v>103</v>
      </c>
      <c r="W377" s="14" t="s">
        <v>57</v>
      </c>
      <c r="X377" s="14">
        <v>7</v>
      </c>
      <c r="Y377" s="14" t="s">
        <v>47</v>
      </c>
      <c r="Z377" s="14">
        <v>2</v>
      </c>
      <c r="AA377" s="14" t="s">
        <v>39</v>
      </c>
    </row>
    <row r="378" spans="1:27" x14ac:dyDescent="0.35">
      <c r="A378" s="14" t="s">
        <v>773</v>
      </c>
      <c r="B378" s="15">
        <v>45805</v>
      </c>
      <c r="C378" s="14" t="s">
        <v>741</v>
      </c>
      <c r="D378" s="14" t="s">
        <v>108</v>
      </c>
      <c r="E378" s="14" t="s">
        <v>29</v>
      </c>
      <c r="F378" s="14">
        <v>50</v>
      </c>
      <c r="G378" s="14" t="s">
        <v>94</v>
      </c>
      <c r="H378" s="14" t="s">
        <v>31</v>
      </c>
      <c r="I378" s="14" t="s">
        <v>94</v>
      </c>
      <c r="J378" s="14" t="s">
        <v>202</v>
      </c>
      <c r="K378" s="14">
        <v>1</v>
      </c>
      <c r="L378" s="14">
        <v>44961</v>
      </c>
      <c r="M378" s="14">
        <v>5</v>
      </c>
      <c r="N378" s="14">
        <v>2248.0500000000002</v>
      </c>
      <c r="O378" s="14">
        <v>7688.33</v>
      </c>
      <c r="P378" s="14">
        <v>362</v>
      </c>
      <c r="Q378" s="14">
        <f t="shared" si="5"/>
        <v>50401.279999999999</v>
      </c>
      <c r="R378" s="14">
        <v>50763.28</v>
      </c>
      <c r="S378" s="14" t="s">
        <v>45</v>
      </c>
      <c r="T378" s="14" t="s">
        <v>63</v>
      </c>
      <c r="U378" s="14" t="s">
        <v>95</v>
      </c>
      <c r="V378" s="14" t="s">
        <v>96</v>
      </c>
      <c r="W378" s="14" t="s">
        <v>57</v>
      </c>
      <c r="X378" s="14">
        <v>9</v>
      </c>
      <c r="Y378" s="14" t="s">
        <v>38</v>
      </c>
      <c r="Z378" s="14">
        <v>3</v>
      </c>
      <c r="AA378" s="14" t="s">
        <v>91</v>
      </c>
    </row>
    <row r="379" spans="1:27" x14ac:dyDescent="0.35">
      <c r="A379" s="14" t="s">
        <v>774</v>
      </c>
      <c r="B379" s="15">
        <v>46015</v>
      </c>
      <c r="C379" s="14" t="s">
        <v>775</v>
      </c>
      <c r="D379" s="14" t="s">
        <v>73</v>
      </c>
      <c r="E379" s="14" t="s">
        <v>29</v>
      </c>
      <c r="F379" s="14">
        <v>30</v>
      </c>
      <c r="G379" s="14" t="s">
        <v>94</v>
      </c>
      <c r="H379" s="14" t="s">
        <v>31</v>
      </c>
      <c r="I379" s="14" t="s">
        <v>94</v>
      </c>
      <c r="J379" s="14" t="s">
        <v>150</v>
      </c>
      <c r="K379" s="14">
        <v>2</v>
      </c>
      <c r="L379" s="14">
        <v>33846</v>
      </c>
      <c r="M379" s="14">
        <v>0</v>
      </c>
      <c r="N379" s="14">
        <v>0</v>
      </c>
      <c r="O379" s="14">
        <v>12184.56</v>
      </c>
      <c r="P379" s="14">
        <v>189</v>
      </c>
      <c r="Q379" s="14">
        <f t="shared" si="5"/>
        <v>79876.56</v>
      </c>
      <c r="R379" s="14">
        <v>80065.56</v>
      </c>
      <c r="S379" s="14" t="s">
        <v>83</v>
      </c>
      <c r="T379" s="14" t="s">
        <v>34</v>
      </c>
      <c r="U379" s="14" t="s">
        <v>95</v>
      </c>
      <c r="V379" s="14" t="s">
        <v>96</v>
      </c>
      <c r="W379" s="14" t="s">
        <v>57</v>
      </c>
      <c r="X379" s="14">
        <v>2</v>
      </c>
      <c r="Y379" s="14" t="s">
        <v>47</v>
      </c>
      <c r="Z379" s="14">
        <v>3</v>
      </c>
      <c r="AA379" s="14" t="s">
        <v>39</v>
      </c>
    </row>
    <row r="380" spans="1:27" x14ac:dyDescent="0.35">
      <c r="A380" s="14" t="s">
        <v>776</v>
      </c>
      <c r="B380" s="15">
        <v>46057</v>
      </c>
      <c r="C380" s="14" t="s">
        <v>725</v>
      </c>
      <c r="D380" s="14" t="s">
        <v>73</v>
      </c>
      <c r="E380" s="14" t="s">
        <v>43</v>
      </c>
      <c r="F380" s="14">
        <v>43</v>
      </c>
      <c r="G380" s="14" t="s">
        <v>90</v>
      </c>
      <c r="H380" s="14" t="s">
        <v>31</v>
      </c>
      <c r="I380" s="14" t="s">
        <v>90</v>
      </c>
      <c r="J380" s="14" t="s">
        <v>125</v>
      </c>
      <c r="K380" s="14">
        <v>4</v>
      </c>
      <c r="L380" s="14">
        <v>10257</v>
      </c>
      <c r="M380" s="14">
        <v>15</v>
      </c>
      <c r="N380" s="14">
        <v>6154.2</v>
      </c>
      <c r="O380" s="14">
        <v>6277.28</v>
      </c>
      <c r="P380" s="14">
        <v>295</v>
      </c>
      <c r="Q380" s="14">
        <f t="shared" si="5"/>
        <v>41151.08</v>
      </c>
      <c r="R380" s="14">
        <v>41446.080000000002</v>
      </c>
      <c r="S380" s="14" t="s">
        <v>33</v>
      </c>
      <c r="T380" s="14" t="s">
        <v>63</v>
      </c>
      <c r="U380" s="14" t="s">
        <v>55</v>
      </c>
      <c r="V380" s="14" t="s">
        <v>56</v>
      </c>
      <c r="W380" s="14" t="s">
        <v>57</v>
      </c>
      <c r="X380" s="14">
        <v>7</v>
      </c>
      <c r="Y380" s="14" t="s">
        <v>38</v>
      </c>
      <c r="Z380" s="14">
        <v>3</v>
      </c>
      <c r="AA380" s="14" t="s">
        <v>47</v>
      </c>
    </row>
    <row r="381" spans="1:27" x14ac:dyDescent="0.35">
      <c r="A381" s="14" t="s">
        <v>777</v>
      </c>
      <c r="B381" s="15">
        <v>46036</v>
      </c>
      <c r="C381" s="14" t="s">
        <v>778</v>
      </c>
      <c r="D381" s="14" t="s">
        <v>111</v>
      </c>
      <c r="E381" s="14" t="s">
        <v>29</v>
      </c>
      <c r="F381" s="14">
        <v>26</v>
      </c>
      <c r="G381" s="14" t="s">
        <v>139</v>
      </c>
      <c r="H381" s="14" t="s">
        <v>31</v>
      </c>
      <c r="I381" s="14" t="s">
        <v>139</v>
      </c>
      <c r="J381" s="14" t="s">
        <v>62</v>
      </c>
      <c r="K381" s="14">
        <v>5</v>
      </c>
      <c r="L381" s="14">
        <v>35399</v>
      </c>
      <c r="M381" s="14">
        <v>0</v>
      </c>
      <c r="N381" s="14">
        <v>0</v>
      </c>
      <c r="O381" s="14">
        <v>31859.1</v>
      </c>
      <c r="P381" s="14">
        <v>222</v>
      </c>
      <c r="Q381" s="14">
        <f t="shared" si="5"/>
        <v>208854.1</v>
      </c>
      <c r="R381" s="14">
        <v>209076.1</v>
      </c>
      <c r="S381" s="14" t="s">
        <v>45</v>
      </c>
      <c r="T381" s="14" t="s">
        <v>63</v>
      </c>
      <c r="U381" s="14" t="s">
        <v>84</v>
      </c>
      <c r="V381" s="14" t="s">
        <v>85</v>
      </c>
      <c r="W381" s="14" t="s">
        <v>86</v>
      </c>
      <c r="X381" s="14">
        <v>2</v>
      </c>
      <c r="Y381" s="14" t="s">
        <v>47</v>
      </c>
      <c r="Z381" s="14">
        <v>4</v>
      </c>
      <c r="AA381" s="14" t="s">
        <v>91</v>
      </c>
    </row>
    <row r="382" spans="1:27" x14ac:dyDescent="0.35">
      <c r="A382" s="14" t="s">
        <v>779</v>
      </c>
      <c r="B382" s="15">
        <v>46018</v>
      </c>
      <c r="C382" s="14" t="s">
        <v>780</v>
      </c>
      <c r="D382" s="14" t="s">
        <v>111</v>
      </c>
      <c r="E382" s="14" t="s">
        <v>29</v>
      </c>
      <c r="F382" s="14">
        <v>48</v>
      </c>
      <c r="G382" s="14" t="s">
        <v>67</v>
      </c>
      <c r="H382" s="14" t="s">
        <v>68</v>
      </c>
      <c r="I382" s="14" t="s">
        <v>67</v>
      </c>
      <c r="J382" s="14" t="s">
        <v>125</v>
      </c>
      <c r="K382" s="14">
        <v>3</v>
      </c>
      <c r="L382" s="14">
        <v>38354</v>
      </c>
      <c r="M382" s="14">
        <v>5</v>
      </c>
      <c r="N382" s="14">
        <v>5753.1</v>
      </c>
      <c r="O382" s="14">
        <v>19675.599999999999</v>
      </c>
      <c r="P382" s="14">
        <v>229</v>
      </c>
      <c r="Q382" s="14">
        <f t="shared" si="5"/>
        <v>128984.5</v>
      </c>
      <c r="R382" s="14">
        <v>129213.5</v>
      </c>
      <c r="S382" s="14" t="s">
        <v>33</v>
      </c>
      <c r="T382" s="14" t="s">
        <v>34</v>
      </c>
      <c r="U382" s="14" t="s">
        <v>46</v>
      </c>
      <c r="V382" s="14" t="s">
        <v>36</v>
      </c>
      <c r="W382" s="14" t="s">
        <v>37</v>
      </c>
      <c r="X382" s="14">
        <v>3</v>
      </c>
      <c r="Y382" s="14" t="s">
        <v>47</v>
      </c>
      <c r="Z382" s="14">
        <v>2</v>
      </c>
      <c r="AA382" s="14" t="s">
        <v>47</v>
      </c>
    </row>
    <row r="383" spans="1:27" x14ac:dyDescent="0.35">
      <c r="A383" s="14" t="s">
        <v>781</v>
      </c>
      <c r="B383" s="15">
        <v>46008</v>
      </c>
      <c r="C383" s="14" t="s">
        <v>782</v>
      </c>
      <c r="D383" s="14" t="s">
        <v>28</v>
      </c>
      <c r="E383" s="14" t="s">
        <v>29</v>
      </c>
      <c r="F383" s="14">
        <v>25</v>
      </c>
      <c r="G383" s="14" t="s">
        <v>90</v>
      </c>
      <c r="H383" s="14" t="s">
        <v>31</v>
      </c>
      <c r="I383" s="14" t="s">
        <v>90</v>
      </c>
      <c r="J383" s="14" t="s">
        <v>112</v>
      </c>
      <c r="K383" s="14">
        <v>3</v>
      </c>
      <c r="L383" s="14">
        <v>41789</v>
      </c>
      <c r="M383" s="14">
        <v>10</v>
      </c>
      <c r="N383" s="14">
        <v>12536.7</v>
      </c>
      <c r="O383" s="14">
        <v>20309.45</v>
      </c>
      <c r="P383" s="14">
        <v>460</v>
      </c>
      <c r="Q383" s="14">
        <f t="shared" si="5"/>
        <v>133139.75</v>
      </c>
      <c r="R383" s="14">
        <v>133599.75</v>
      </c>
      <c r="S383" s="14" t="s">
        <v>33</v>
      </c>
      <c r="T383" s="14" t="s">
        <v>63</v>
      </c>
      <c r="U383" s="14" t="s">
        <v>46</v>
      </c>
      <c r="V383" s="14" t="s">
        <v>36</v>
      </c>
      <c r="W383" s="14" t="s">
        <v>37</v>
      </c>
      <c r="X383" s="14">
        <v>1</v>
      </c>
      <c r="Y383" s="14" t="s">
        <v>47</v>
      </c>
      <c r="Z383" s="14">
        <v>4</v>
      </c>
      <c r="AA383" s="14" t="s">
        <v>91</v>
      </c>
    </row>
    <row r="384" spans="1:27" x14ac:dyDescent="0.35">
      <c r="A384" s="14" t="s">
        <v>783</v>
      </c>
      <c r="B384" s="15">
        <v>45802</v>
      </c>
      <c r="C384" s="14" t="s">
        <v>79</v>
      </c>
      <c r="D384" s="14" t="s">
        <v>89</v>
      </c>
      <c r="E384" s="14" t="s">
        <v>43</v>
      </c>
      <c r="F384" s="14">
        <v>50</v>
      </c>
      <c r="G384" s="14" t="s">
        <v>99</v>
      </c>
      <c r="H384" s="14" t="s">
        <v>52</v>
      </c>
      <c r="I384" s="14" t="s">
        <v>99</v>
      </c>
      <c r="J384" s="14" t="s">
        <v>32</v>
      </c>
      <c r="K384" s="14">
        <v>5</v>
      </c>
      <c r="L384" s="14">
        <v>40354</v>
      </c>
      <c r="M384" s="14">
        <v>15</v>
      </c>
      <c r="N384" s="14">
        <v>30265.5</v>
      </c>
      <c r="O384" s="14">
        <v>30870.81</v>
      </c>
      <c r="P384" s="14">
        <v>5</v>
      </c>
      <c r="Q384" s="14">
        <f t="shared" si="5"/>
        <v>202375.31</v>
      </c>
      <c r="R384" s="14">
        <v>202380.31</v>
      </c>
      <c r="S384" s="14" t="s">
        <v>33</v>
      </c>
      <c r="T384" s="14" t="s">
        <v>34</v>
      </c>
      <c r="U384" s="14" t="s">
        <v>70</v>
      </c>
      <c r="V384" s="14" t="s">
        <v>56</v>
      </c>
      <c r="W384" s="14" t="s">
        <v>57</v>
      </c>
      <c r="X384" s="14">
        <v>9</v>
      </c>
      <c r="Y384" s="14" t="s">
        <v>38</v>
      </c>
      <c r="Z384" s="14">
        <v>5</v>
      </c>
      <c r="AA384" s="14" t="s">
        <v>91</v>
      </c>
    </row>
    <row r="385" spans="1:27" x14ac:dyDescent="0.35">
      <c r="A385" s="14" t="s">
        <v>784</v>
      </c>
      <c r="B385" s="15">
        <v>46007</v>
      </c>
      <c r="C385" s="14" t="s">
        <v>785</v>
      </c>
      <c r="D385" s="14" t="s">
        <v>108</v>
      </c>
      <c r="E385" s="14" t="s">
        <v>29</v>
      </c>
      <c r="F385" s="14">
        <v>57</v>
      </c>
      <c r="G385" s="14" t="s">
        <v>90</v>
      </c>
      <c r="H385" s="14" t="s">
        <v>31</v>
      </c>
      <c r="I385" s="14" t="s">
        <v>90</v>
      </c>
      <c r="J385" s="14" t="s">
        <v>112</v>
      </c>
      <c r="K385" s="14">
        <v>3</v>
      </c>
      <c r="L385" s="14">
        <v>44552</v>
      </c>
      <c r="M385" s="14">
        <v>20</v>
      </c>
      <c r="N385" s="14">
        <v>26731.200000000001</v>
      </c>
      <c r="O385" s="14">
        <v>19246.46</v>
      </c>
      <c r="P385" s="14">
        <v>222</v>
      </c>
      <c r="Q385" s="14">
        <f t="shared" si="5"/>
        <v>126171.26</v>
      </c>
      <c r="R385" s="14">
        <v>126393.26</v>
      </c>
      <c r="S385" s="14" t="s">
        <v>45</v>
      </c>
      <c r="T385" s="14" t="s">
        <v>34</v>
      </c>
      <c r="U385" s="14" t="s">
        <v>70</v>
      </c>
      <c r="V385" s="14" t="s">
        <v>56</v>
      </c>
      <c r="W385" s="14" t="s">
        <v>57</v>
      </c>
      <c r="X385" s="14">
        <v>2</v>
      </c>
      <c r="Y385" s="14" t="s">
        <v>47</v>
      </c>
      <c r="Z385" s="14">
        <v>1</v>
      </c>
      <c r="AA385" s="14" t="s">
        <v>39</v>
      </c>
    </row>
    <row r="386" spans="1:27" x14ac:dyDescent="0.35">
      <c r="A386" s="14" t="s">
        <v>786</v>
      </c>
      <c r="B386" s="15">
        <v>45803</v>
      </c>
      <c r="C386" s="14" t="s">
        <v>787</v>
      </c>
      <c r="D386" s="14" t="s">
        <v>42</v>
      </c>
      <c r="E386" s="14" t="s">
        <v>43</v>
      </c>
      <c r="F386" s="14">
        <v>57</v>
      </c>
      <c r="G386" s="14" t="s">
        <v>74</v>
      </c>
      <c r="H386" s="14" t="s">
        <v>31</v>
      </c>
      <c r="I386" s="14" t="s">
        <v>74</v>
      </c>
      <c r="J386" s="14" t="s">
        <v>69</v>
      </c>
      <c r="K386" s="14">
        <v>4</v>
      </c>
      <c r="L386" s="14">
        <v>6838</v>
      </c>
      <c r="M386" s="14">
        <v>5</v>
      </c>
      <c r="N386" s="14">
        <v>1367.6</v>
      </c>
      <c r="O386" s="14">
        <v>4677.1899999999996</v>
      </c>
      <c r="P386" s="14">
        <v>1</v>
      </c>
      <c r="Q386" s="14">
        <f t="shared" si="5"/>
        <v>30661.59</v>
      </c>
      <c r="R386" s="14">
        <v>30662.59</v>
      </c>
      <c r="S386" s="14" t="s">
        <v>54</v>
      </c>
      <c r="T386" s="14" t="s">
        <v>34</v>
      </c>
      <c r="U386" s="14" t="s">
        <v>103</v>
      </c>
      <c r="V386" s="14" t="s">
        <v>103</v>
      </c>
      <c r="W386" s="14" t="s">
        <v>57</v>
      </c>
      <c r="X386" s="14">
        <v>1</v>
      </c>
      <c r="Y386" s="14" t="s">
        <v>38</v>
      </c>
      <c r="Z386" s="14">
        <v>3</v>
      </c>
      <c r="AA386" s="14" t="s">
        <v>91</v>
      </c>
    </row>
    <row r="387" spans="1:27" x14ac:dyDescent="0.35">
      <c r="A387" s="14" t="s">
        <v>788</v>
      </c>
      <c r="B387" s="15">
        <v>45794</v>
      </c>
      <c r="C387" s="14" t="s">
        <v>789</v>
      </c>
      <c r="D387" s="14" t="s">
        <v>108</v>
      </c>
      <c r="E387" s="14" t="s">
        <v>29</v>
      </c>
      <c r="F387" s="14">
        <v>50</v>
      </c>
      <c r="G387" s="14" t="s">
        <v>51</v>
      </c>
      <c r="H387" s="14" t="s">
        <v>52</v>
      </c>
      <c r="I387" s="14" t="s">
        <v>51</v>
      </c>
      <c r="J387" s="14" t="s">
        <v>125</v>
      </c>
      <c r="K387" s="14">
        <v>5</v>
      </c>
      <c r="L387" s="14">
        <v>38147</v>
      </c>
      <c r="M387" s="14">
        <v>15</v>
      </c>
      <c r="N387" s="14">
        <v>28610.25</v>
      </c>
      <c r="O387" s="14">
        <v>29182.45</v>
      </c>
      <c r="P387" s="14">
        <v>184</v>
      </c>
      <c r="Q387" s="14">
        <f t="shared" ref="Q387:Q450" si="6">R387-P387</f>
        <v>191307.2</v>
      </c>
      <c r="R387" s="14">
        <v>191491.20000000001</v>
      </c>
      <c r="S387" s="14" t="s">
        <v>54</v>
      </c>
      <c r="T387" s="14" t="s">
        <v>34</v>
      </c>
      <c r="U387" s="14" t="s">
        <v>35</v>
      </c>
      <c r="V387" s="14" t="s">
        <v>36</v>
      </c>
      <c r="W387" s="14" t="s">
        <v>37</v>
      </c>
      <c r="X387" s="14">
        <v>5</v>
      </c>
      <c r="Y387" s="14" t="s">
        <v>47</v>
      </c>
      <c r="Z387" s="14">
        <v>5</v>
      </c>
      <c r="AA387" s="14" t="s">
        <v>91</v>
      </c>
    </row>
    <row r="388" spans="1:27" x14ac:dyDescent="0.35">
      <c r="A388" s="14" t="s">
        <v>790</v>
      </c>
      <c r="B388" s="15">
        <v>45916</v>
      </c>
      <c r="C388" s="14" t="s">
        <v>791</v>
      </c>
      <c r="D388" s="14" t="s">
        <v>66</v>
      </c>
      <c r="E388" s="14" t="s">
        <v>43</v>
      </c>
      <c r="F388" s="14">
        <v>37</v>
      </c>
      <c r="G388" s="14" t="s">
        <v>44</v>
      </c>
      <c r="H388" s="14" t="s">
        <v>31</v>
      </c>
      <c r="I388" s="14" t="s">
        <v>44</v>
      </c>
      <c r="J388" s="14" t="s">
        <v>32</v>
      </c>
      <c r="K388" s="14">
        <v>4</v>
      </c>
      <c r="L388" s="14">
        <v>47651</v>
      </c>
      <c r="M388" s="14">
        <v>5</v>
      </c>
      <c r="N388" s="14">
        <v>9530.2000000000007</v>
      </c>
      <c r="O388" s="14">
        <v>32593.279999999999</v>
      </c>
      <c r="P388" s="14">
        <v>270</v>
      </c>
      <c r="Q388" s="14">
        <f t="shared" si="6"/>
        <v>213667.08</v>
      </c>
      <c r="R388" s="14">
        <v>213937.08</v>
      </c>
      <c r="S388" s="14" t="s">
        <v>33</v>
      </c>
      <c r="T388" s="14" t="s">
        <v>34</v>
      </c>
      <c r="U388" s="14" t="s">
        <v>84</v>
      </c>
      <c r="V388" s="14" t="s">
        <v>85</v>
      </c>
      <c r="W388" s="14" t="s">
        <v>86</v>
      </c>
      <c r="X388" s="14">
        <v>10</v>
      </c>
      <c r="Y388" s="14" t="s">
        <v>47</v>
      </c>
      <c r="Z388" s="14">
        <v>2</v>
      </c>
      <c r="AA388" s="14" t="s">
        <v>58</v>
      </c>
    </row>
    <row r="389" spans="1:27" x14ac:dyDescent="0.35">
      <c r="A389" s="14" t="s">
        <v>792</v>
      </c>
      <c r="B389" s="15">
        <v>45799</v>
      </c>
      <c r="C389" s="14" t="s">
        <v>793</v>
      </c>
      <c r="D389" s="14" t="s">
        <v>50</v>
      </c>
      <c r="E389" s="14" t="s">
        <v>29</v>
      </c>
      <c r="F389" s="14">
        <v>51</v>
      </c>
      <c r="G389" s="14" t="s">
        <v>67</v>
      </c>
      <c r="H389" s="14" t="s">
        <v>68</v>
      </c>
      <c r="I389" s="14" t="s">
        <v>67</v>
      </c>
      <c r="J389" s="14" t="s">
        <v>102</v>
      </c>
      <c r="K389" s="14">
        <v>1</v>
      </c>
      <c r="L389" s="14">
        <v>35776</v>
      </c>
      <c r="M389" s="14">
        <v>15</v>
      </c>
      <c r="N389" s="14">
        <v>5366.4</v>
      </c>
      <c r="O389" s="14">
        <v>5473.73</v>
      </c>
      <c r="P389" s="14">
        <v>211</v>
      </c>
      <c r="Q389" s="14">
        <f t="shared" si="6"/>
        <v>35883.33</v>
      </c>
      <c r="R389" s="14">
        <v>36094.33</v>
      </c>
      <c r="S389" s="14" t="s">
        <v>54</v>
      </c>
      <c r="T389" s="14" t="s">
        <v>34</v>
      </c>
      <c r="U389" s="14" t="s">
        <v>35</v>
      </c>
      <c r="V389" s="14" t="s">
        <v>36</v>
      </c>
      <c r="W389" s="14" t="s">
        <v>37</v>
      </c>
      <c r="X389" s="14">
        <v>1</v>
      </c>
      <c r="Y389" s="14" t="s">
        <v>47</v>
      </c>
      <c r="Z389" s="14">
        <v>2</v>
      </c>
      <c r="AA389" s="14" t="s">
        <v>39</v>
      </c>
    </row>
    <row r="390" spans="1:27" x14ac:dyDescent="0.35">
      <c r="A390" s="14" t="s">
        <v>794</v>
      </c>
      <c r="B390" s="15">
        <v>45792</v>
      </c>
      <c r="C390" s="14" t="s">
        <v>795</v>
      </c>
      <c r="D390" s="14" t="s">
        <v>89</v>
      </c>
      <c r="E390" s="14" t="s">
        <v>43</v>
      </c>
      <c r="F390" s="14">
        <v>48</v>
      </c>
      <c r="G390" s="14" t="s">
        <v>139</v>
      </c>
      <c r="H390" s="14" t="s">
        <v>31</v>
      </c>
      <c r="I390" s="14" t="s">
        <v>139</v>
      </c>
      <c r="J390" s="14" t="s">
        <v>53</v>
      </c>
      <c r="K390" s="14">
        <v>5</v>
      </c>
      <c r="L390" s="14">
        <v>38786</v>
      </c>
      <c r="M390" s="14">
        <v>20</v>
      </c>
      <c r="N390" s="14">
        <v>38786</v>
      </c>
      <c r="O390" s="14">
        <v>27925.919999999998</v>
      </c>
      <c r="P390" s="14">
        <v>346</v>
      </c>
      <c r="Q390" s="14">
        <f t="shared" si="6"/>
        <v>183069.92</v>
      </c>
      <c r="R390" s="14">
        <v>183415.92</v>
      </c>
      <c r="S390" s="14" t="s">
        <v>33</v>
      </c>
      <c r="T390" s="14" t="s">
        <v>34</v>
      </c>
      <c r="U390" s="14" t="s">
        <v>84</v>
      </c>
      <c r="V390" s="14" t="s">
        <v>85</v>
      </c>
      <c r="W390" s="14" t="s">
        <v>86</v>
      </c>
      <c r="X390" s="14">
        <v>10</v>
      </c>
      <c r="Y390" s="14" t="s">
        <v>38</v>
      </c>
      <c r="Z390" s="14">
        <v>2</v>
      </c>
      <c r="AA390" s="14" t="s">
        <v>39</v>
      </c>
    </row>
    <row r="391" spans="1:27" x14ac:dyDescent="0.35">
      <c r="A391" s="14" t="s">
        <v>796</v>
      </c>
      <c r="B391" s="15">
        <v>46088</v>
      </c>
      <c r="C391" s="14" t="s">
        <v>193</v>
      </c>
      <c r="D391" s="14" t="s">
        <v>50</v>
      </c>
      <c r="E391" s="14" t="s">
        <v>43</v>
      </c>
      <c r="F391" s="14">
        <v>39</v>
      </c>
      <c r="G391" s="14" t="s">
        <v>30</v>
      </c>
      <c r="H391" s="14" t="s">
        <v>31</v>
      </c>
      <c r="I391" s="14" t="s">
        <v>30</v>
      </c>
      <c r="J391" s="14" t="s">
        <v>32</v>
      </c>
      <c r="K391" s="14">
        <v>4</v>
      </c>
      <c r="L391" s="14">
        <v>44570</v>
      </c>
      <c r="M391" s="14">
        <v>15</v>
      </c>
      <c r="N391" s="14">
        <v>26742</v>
      </c>
      <c r="O391" s="14">
        <v>27276.84</v>
      </c>
      <c r="P391" s="14">
        <v>441</v>
      </c>
      <c r="Q391" s="14">
        <f t="shared" si="6"/>
        <v>178814.84</v>
      </c>
      <c r="R391" s="14">
        <v>179255.84</v>
      </c>
      <c r="S391" s="14" t="s">
        <v>33</v>
      </c>
      <c r="T391" s="14" t="s">
        <v>34</v>
      </c>
      <c r="U391" s="14" t="s">
        <v>95</v>
      </c>
      <c r="V391" s="14" t="s">
        <v>96</v>
      </c>
      <c r="W391" s="14" t="s">
        <v>57</v>
      </c>
      <c r="X391" s="14">
        <v>5</v>
      </c>
      <c r="Y391" s="14" t="s">
        <v>47</v>
      </c>
      <c r="Z391" s="14">
        <v>5</v>
      </c>
      <c r="AA391" s="14" t="s">
        <v>47</v>
      </c>
    </row>
    <row r="392" spans="1:27" x14ac:dyDescent="0.35">
      <c r="A392" s="14" t="s">
        <v>797</v>
      </c>
      <c r="B392" s="15">
        <v>45852</v>
      </c>
      <c r="C392" s="14" t="s">
        <v>65</v>
      </c>
      <c r="D392" s="14" t="s">
        <v>108</v>
      </c>
      <c r="E392" s="14" t="s">
        <v>43</v>
      </c>
      <c r="F392" s="14">
        <v>27</v>
      </c>
      <c r="G392" s="14" t="s">
        <v>99</v>
      </c>
      <c r="H392" s="14" t="s">
        <v>52</v>
      </c>
      <c r="I392" s="14" t="s">
        <v>99</v>
      </c>
      <c r="J392" s="14" t="s">
        <v>62</v>
      </c>
      <c r="K392" s="14">
        <v>2</v>
      </c>
      <c r="L392" s="14">
        <v>17897</v>
      </c>
      <c r="M392" s="14">
        <v>15</v>
      </c>
      <c r="N392" s="14">
        <v>5369.1</v>
      </c>
      <c r="O392" s="14">
        <v>5476.48</v>
      </c>
      <c r="P392" s="14">
        <v>381</v>
      </c>
      <c r="Q392" s="14">
        <f t="shared" si="6"/>
        <v>35901.379999999997</v>
      </c>
      <c r="R392" s="14">
        <v>36282.379999999997</v>
      </c>
      <c r="S392" s="14" t="s">
        <v>54</v>
      </c>
      <c r="T392" s="14" t="s">
        <v>34</v>
      </c>
      <c r="U392" s="14" t="s">
        <v>76</v>
      </c>
      <c r="V392" s="14" t="s">
        <v>77</v>
      </c>
      <c r="W392" s="14" t="s">
        <v>57</v>
      </c>
      <c r="X392" s="14">
        <v>2</v>
      </c>
      <c r="Y392" s="14" t="s">
        <v>38</v>
      </c>
      <c r="Z392" s="14">
        <v>3</v>
      </c>
      <c r="AA392" s="14" t="s">
        <v>39</v>
      </c>
    </row>
    <row r="393" spans="1:27" x14ac:dyDescent="0.35">
      <c r="A393" s="14" t="s">
        <v>798</v>
      </c>
      <c r="B393" s="15">
        <v>46082</v>
      </c>
      <c r="C393" s="14" t="s">
        <v>799</v>
      </c>
      <c r="D393" s="14" t="s">
        <v>111</v>
      </c>
      <c r="E393" s="14" t="s">
        <v>43</v>
      </c>
      <c r="F393" s="14">
        <v>29</v>
      </c>
      <c r="G393" s="14" t="s">
        <v>99</v>
      </c>
      <c r="H393" s="14" t="s">
        <v>52</v>
      </c>
      <c r="I393" s="14" t="s">
        <v>99</v>
      </c>
      <c r="J393" s="14" t="s">
        <v>202</v>
      </c>
      <c r="K393" s="14">
        <v>2</v>
      </c>
      <c r="L393" s="14">
        <v>19659</v>
      </c>
      <c r="M393" s="14">
        <v>5</v>
      </c>
      <c r="N393" s="14">
        <v>1965.9</v>
      </c>
      <c r="O393" s="14">
        <v>6723.38</v>
      </c>
      <c r="P393" s="14">
        <v>60</v>
      </c>
      <c r="Q393" s="14">
        <f t="shared" si="6"/>
        <v>44075.48</v>
      </c>
      <c r="R393" s="14">
        <v>44135.48</v>
      </c>
      <c r="S393" s="14" t="s">
        <v>54</v>
      </c>
      <c r="T393" s="14" t="s">
        <v>63</v>
      </c>
      <c r="U393" s="14" t="s">
        <v>55</v>
      </c>
      <c r="V393" s="14" t="s">
        <v>56</v>
      </c>
      <c r="W393" s="14" t="s">
        <v>57</v>
      </c>
      <c r="X393" s="14">
        <v>8</v>
      </c>
      <c r="Y393" s="14" t="s">
        <v>47</v>
      </c>
      <c r="Z393" s="14">
        <v>2</v>
      </c>
      <c r="AA393" s="14" t="s">
        <v>39</v>
      </c>
    </row>
    <row r="394" spans="1:27" x14ac:dyDescent="0.35">
      <c r="A394" s="14" t="s">
        <v>800</v>
      </c>
      <c r="B394" s="15">
        <v>45937</v>
      </c>
      <c r="C394" s="14" t="s">
        <v>801</v>
      </c>
      <c r="D394" s="14" t="s">
        <v>42</v>
      </c>
      <c r="E394" s="14" t="s">
        <v>29</v>
      </c>
      <c r="F394" s="14">
        <v>19</v>
      </c>
      <c r="G394" s="14" t="s">
        <v>44</v>
      </c>
      <c r="H394" s="14" t="s">
        <v>31</v>
      </c>
      <c r="I394" s="14" t="s">
        <v>44</v>
      </c>
      <c r="J394" s="14" t="s">
        <v>202</v>
      </c>
      <c r="K394" s="14">
        <v>2</v>
      </c>
      <c r="L394" s="14">
        <v>5458</v>
      </c>
      <c r="M394" s="14">
        <v>10</v>
      </c>
      <c r="N394" s="14">
        <v>1091.5999999999999</v>
      </c>
      <c r="O394" s="14">
        <v>1768.39</v>
      </c>
      <c r="P394" s="14">
        <v>260</v>
      </c>
      <c r="Q394" s="14">
        <f t="shared" si="6"/>
        <v>11592.79</v>
      </c>
      <c r="R394" s="14">
        <v>11852.79</v>
      </c>
      <c r="S394" s="14" t="s">
        <v>54</v>
      </c>
      <c r="T394" s="14" t="s">
        <v>63</v>
      </c>
      <c r="U394" s="14" t="s">
        <v>95</v>
      </c>
      <c r="V394" s="14" t="s">
        <v>96</v>
      </c>
      <c r="W394" s="14" t="s">
        <v>57</v>
      </c>
      <c r="X394" s="14">
        <v>6</v>
      </c>
      <c r="Y394" s="14" t="s">
        <v>47</v>
      </c>
      <c r="Z394" s="14">
        <v>1</v>
      </c>
      <c r="AA394" s="14" t="s">
        <v>58</v>
      </c>
    </row>
    <row r="395" spans="1:27" x14ac:dyDescent="0.35">
      <c r="A395" s="14" t="s">
        <v>802</v>
      </c>
      <c r="B395" s="15">
        <v>45893</v>
      </c>
      <c r="C395" s="14" t="s">
        <v>803</v>
      </c>
      <c r="D395" s="14" t="s">
        <v>80</v>
      </c>
      <c r="E395" s="14" t="s">
        <v>43</v>
      </c>
      <c r="F395" s="14">
        <v>39</v>
      </c>
      <c r="G395" s="14" t="s">
        <v>51</v>
      </c>
      <c r="H395" s="14" t="s">
        <v>52</v>
      </c>
      <c r="I395" s="14" t="s">
        <v>51</v>
      </c>
      <c r="J395" s="14" t="s">
        <v>53</v>
      </c>
      <c r="K395" s="14">
        <v>5</v>
      </c>
      <c r="L395" s="14">
        <v>11477</v>
      </c>
      <c r="M395" s="14">
        <v>20</v>
      </c>
      <c r="N395" s="14">
        <v>11477</v>
      </c>
      <c r="O395" s="14">
        <v>8263.44</v>
      </c>
      <c r="P395" s="14">
        <v>383</v>
      </c>
      <c r="Q395" s="14">
        <f t="shared" si="6"/>
        <v>54171.44</v>
      </c>
      <c r="R395" s="14">
        <v>54554.44</v>
      </c>
      <c r="S395" s="14" t="s">
        <v>83</v>
      </c>
      <c r="T395" s="14" t="s">
        <v>34</v>
      </c>
      <c r="U395" s="14" t="s">
        <v>103</v>
      </c>
      <c r="V395" s="14" t="s">
        <v>103</v>
      </c>
      <c r="W395" s="14" t="s">
        <v>57</v>
      </c>
      <c r="X395" s="14">
        <v>8</v>
      </c>
      <c r="Y395" s="14" t="s">
        <v>38</v>
      </c>
      <c r="Z395" s="14">
        <v>1</v>
      </c>
      <c r="AA395" s="14" t="s">
        <v>58</v>
      </c>
    </row>
    <row r="396" spans="1:27" x14ac:dyDescent="0.35">
      <c r="A396" s="14" t="s">
        <v>804</v>
      </c>
      <c r="B396" s="15">
        <v>46071</v>
      </c>
      <c r="C396" s="14" t="s">
        <v>707</v>
      </c>
      <c r="D396" s="14" t="s">
        <v>73</v>
      </c>
      <c r="E396" s="14" t="s">
        <v>43</v>
      </c>
      <c r="F396" s="14">
        <v>56</v>
      </c>
      <c r="G396" s="14" t="s">
        <v>134</v>
      </c>
      <c r="H396" s="14" t="s">
        <v>31</v>
      </c>
      <c r="I396" s="14" t="s">
        <v>134</v>
      </c>
      <c r="J396" s="14" t="s">
        <v>150</v>
      </c>
      <c r="K396" s="14">
        <v>5</v>
      </c>
      <c r="L396" s="14">
        <v>8130</v>
      </c>
      <c r="M396" s="14">
        <v>0</v>
      </c>
      <c r="N396" s="14">
        <v>0</v>
      </c>
      <c r="O396" s="14">
        <v>7317</v>
      </c>
      <c r="P396" s="14">
        <v>365</v>
      </c>
      <c r="Q396" s="14">
        <f t="shared" si="6"/>
        <v>47967</v>
      </c>
      <c r="R396" s="14">
        <v>48332</v>
      </c>
      <c r="S396" s="14" t="s">
        <v>54</v>
      </c>
      <c r="T396" s="14" t="s">
        <v>34</v>
      </c>
      <c r="U396" s="14" t="s">
        <v>76</v>
      </c>
      <c r="V396" s="14" t="s">
        <v>77</v>
      </c>
      <c r="W396" s="14" t="s">
        <v>57</v>
      </c>
      <c r="X396" s="14">
        <v>5</v>
      </c>
      <c r="Y396" s="14" t="s">
        <v>47</v>
      </c>
      <c r="Z396" s="14">
        <v>2</v>
      </c>
      <c r="AA396" s="14" t="s">
        <v>58</v>
      </c>
    </row>
    <row r="397" spans="1:27" x14ac:dyDescent="0.35">
      <c r="A397" s="14" t="s">
        <v>805</v>
      </c>
      <c r="B397" s="15">
        <v>45917</v>
      </c>
      <c r="C397" s="14" t="s">
        <v>599</v>
      </c>
      <c r="D397" s="14" t="s">
        <v>89</v>
      </c>
      <c r="E397" s="14" t="s">
        <v>43</v>
      </c>
      <c r="F397" s="14">
        <v>45</v>
      </c>
      <c r="G397" s="14" t="s">
        <v>99</v>
      </c>
      <c r="H397" s="14" t="s">
        <v>52</v>
      </c>
      <c r="I397" s="14" t="s">
        <v>99</v>
      </c>
      <c r="J397" s="14" t="s">
        <v>69</v>
      </c>
      <c r="K397" s="14">
        <v>5</v>
      </c>
      <c r="L397" s="14">
        <v>49785</v>
      </c>
      <c r="M397" s="14">
        <v>10</v>
      </c>
      <c r="N397" s="14">
        <v>24892.5</v>
      </c>
      <c r="O397" s="14">
        <v>40325.85</v>
      </c>
      <c r="P397" s="14">
        <v>307</v>
      </c>
      <c r="Q397" s="14">
        <f t="shared" si="6"/>
        <v>264358.34999999998</v>
      </c>
      <c r="R397" s="14">
        <v>264665.34999999998</v>
      </c>
      <c r="S397" s="14" t="s">
        <v>45</v>
      </c>
      <c r="T397" s="14" t="s">
        <v>34</v>
      </c>
      <c r="U397" s="14" t="s">
        <v>76</v>
      </c>
      <c r="V397" s="14" t="s">
        <v>77</v>
      </c>
      <c r="W397" s="14" t="s">
        <v>57</v>
      </c>
      <c r="X397" s="14">
        <v>10</v>
      </c>
      <c r="Y397" s="14" t="s">
        <v>47</v>
      </c>
      <c r="Z397" s="14">
        <v>1</v>
      </c>
      <c r="AA397" s="14" t="s">
        <v>47</v>
      </c>
    </row>
    <row r="398" spans="1:27" x14ac:dyDescent="0.35">
      <c r="A398" s="14" t="s">
        <v>806</v>
      </c>
      <c r="B398" s="15">
        <v>45999</v>
      </c>
      <c r="C398" s="14" t="s">
        <v>807</v>
      </c>
      <c r="D398" s="14" t="s">
        <v>61</v>
      </c>
      <c r="E398" s="14" t="s">
        <v>43</v>
      </c>
      <c r="F398" s="14">
        <v>45</v>
      </c>
      <c r="G398" s="14" t="s">
        <v>30</v>
      </c>
      <c r="H398" s="14" t="s">
        <v>31</v>
      </c>
      <c r="I398" s="14" t="s">
        <v>30</v>
      </c>
      <c r="J398" s="14" t="s">
        <v>112</v>
      </c>
      <c r="K398" s="14">
        <v>1</v>
      </c>
      <c r="L398" s="14">
        <v>45045</v>
      </c>
      <c r="M398" s="14">
        <v>10</v>
      </c>
      <c r="N398" s="14">
        <v>4504.5</v>
      </c>
      <c r="O398" s="14">
        <v>7297.29</v>
      </c>
      <c r="P398" s="14">
        <v>227</v>
      </c>
      <c r="Q398" s="14">
        <f t="shared" si="6"/>
        <v>47837.79</v>
      </c>
      <c r="R398" s="14">
        <v>48064.79</v>
      </c>
      <c r="S398" s="14" t="s">
        <v>33</v>
      </c>
      <c r="T398" s="14" t="s">
        <v>63</v>
      </c>
      <c r="U398" s="14" t="s">
        <v>70</v>
      </c>
      <c r="V398" s="14" t="s">
        <v>56</v>
      </c>
      <c r="W398" s="14" t="s">
        <v>57</v>
      </c>
      <c r="X398" s="14">
        <v>7</v>
      </c>
      <c r="Y398" s="14" t="s">
        <v>47</v>
      </c>
      <c r="Z398" s="14">
        <v>4</v>
      </c>
      <c r="AA398" s="14" t="s">
        <v>91</v>
      </c>
    </row>
    <row r="399" spans="1:27" x14ac:dyDescent="0.35">
      <c r="A399" s="14" t="s">
        <v>808</v>
      </c>
      <c r="B399" s="15">
        <v>45914</v>
      </c>
      <c r="C399" s="14" t="s">
        <v>809</v>
      </c>
      <c r="D399" s="14" t="s">
        <v>61</v>
      </c>
      <c r="E399" s="14" t="s">
        <v>29</v>
      </c>
      <c r="F399" s="14">
        <v>32</v>
      </c>
      <c r="G399" s="14" t="s">
        <v>67</v>
      </c>
      <c r="H399" s="14" t="s">
        <v>68</v>
      </c>
      <c r="I399" s="14" t="s">
        <v>67</v>
      </c>
      <c r="J399" s="14" t="s">
        <v>62</v>
      </c>
      <c r="K399" s="14">
        <v>2</v>
      </c>
      <c r="L399" s="14">
        <v>37886</v>
      </c>
      <c r="M399" s="14">
        <v>20</v>
      </c>
      <c r="N399" s="14">
        <v>15154.4</v>
      </c>
      <c r="O399" s="14">
        <v>10911.17</v>
      </c>
      <c r="P399" s="14">
        <v>333</v>
      </c>
      <c r="Q399" s="14">
        <f t="shared" si="6"/>
        <v>71528.77</v>
      </c>
      <c r="R399" s="14">
        <v>71861.77</v>
      </c>
      <c r="S399" s="14" t="s">
        <v>54</v>
      </c>
      <c r="T399" s="14" t="s">
        <v>63</v>
      </c>
      <c r="U399" s="14" t="s">
        <v>103</v>
      </c>
      <c r="V399" s="14" t="s">
        <v>103</v>
      </c>
      <c r="W399" s="14" t="s">
        <v>57</v>
      </c>
      <c r="X399" s="14">
        <v>5</v>
      </c>
      <c r="Y399" s="14" t="s">
        <v>47</v>
      </c>
      <c r="Z399" s="14">
        <v>1</v>
      </c>
      <c r="AA399" s="14" t="s">
        <v>39</v>
      </c>
    </row>
    <row r="400" spans="1:27" x14ac:dyDescent="0.35">
      <c r="A400" s="14" t="s">
        <v>810</v>
      </c>
      <c r="B400" s="15">
        <v>45798</v>
      </c>
      <c r="C400" s="14" t="s">
        <v>811</v>
      </c>
      <c r="D400" s="14" t="s">
        <v>61</v>
      </c>
      <c r="E400" s="14" t="s">
        <v>29</v>
      </c>
      <c r="F400" s="14">
        <v>41</v>
      </c>
      <c r="G400" s="14" t="s">
        <v>134</v>
      </c>
      <c r="H400" s="14" t="s">
        <v>31</v>
      </c>
      <c r="I400" s="14" t="s">
        <v>134</v>
      </c>
      <c r="J400" s="14" t="s">
        <v>125</v>
      </c>
      <c r="K400" s="14">
        <v>1</v>
      </c>
      <c r="L400" s="14">
        <v>10479</v>
      </c>
      <c r="M400" s="14">
        <v>20</v>
      </c>
      <c r="N400" s="14">
        <v>2095.8000000000002</v>
      </c>
      <c r="O400" s="14">
        <v>1508.98</v>
      </c>
      <c r="P400" s="14">
        <v>259</v>
      </c>
      <c r="Q400" s="14">
        <f t="shared" si="6"/>
        <v>9892.18</v>
      </c>
      <c r="R400" s="14">
        <v>10151.18</v>
      </c>
      <c r="S400" s="14" t="s">
        <v>83</v>
      </c>
      <c r="T400" s="14" t="s">
        <v>34</v>
      </c>
      <c r="U400" s="14" t="s">
        <v>76</v>
      </c>
      <c r="V400" s="14" t="s">
        <v>77</v>
      </c>
      <c r="W400" s="14" t="s">
        <v>57</v>
      </c>
      <c r="X400" s="14">
        <v>9</v>
      </c>
      <c r="Y400" s="14" t="s">
        <v>38</v>
      </c>
      <c r="Z400" s="14">
        <v>3</v>
      </c>
      <c r="AA400" s="14" t="s">
        <v>47</v>
      </c>
    </row>
    <row r="401" spans="1:27" x14ac:dyDescent="0.35">
      <c r="A401" s="14" t="s">
        <v>812</v>
      </c>
      <c r="B401" s="15">
        <v>45856</v>
      </c>
      <c r="C401" s="14" t="s">
        <v>813</v>
      </c>
      <c r="D401" s="14" t="s">
        <v>111</v>
      </c>
      <c r="E401" s="14" t="s">
        <v>29</v>
      </c>
      <c r="F401" s="14">
        <v>39</v>
      </c>
      <c r="G401" s="14" t="s">
        <v>67</v>
      </c>
      <c r="H401" s="14" t="s">
        <v>68</v>
      </c>
      <c r="I401" s="14" t="s">
        <v>67</v>
      </c>
      <c r="J401" s="14" t="s">
        <v>62</v>
      </c>
      <c r="K401" s="14">
        <v>2</v>
      </c>
      <c r="L401" s="14">
        <v>25677</v>
      </c>
      <c r="M401" s="14">
        <v>20</v>
      </c>
      <c r="N401" s="14">
        <v>10270.799999999999</v>
      </c>
      <c r="O401" s="14">
        <v>7394.98</v>
      </c>
      <c r="P401" s="14">
        <v>360</v>
      </c>
      <c r="Q401" s="14">
        <f t="shared" si="6"/>
        <v>48478.18</v>
      </c>
      <c r="R401" s="14">
        <v>48838.18</v>
      </c>
      <c r="S401" s="14" t="s">
        <v>45</v>
      </c>
      <c r="T401" s="14" t="s">
        <v>63</v>
      </c>
      <c r="U401" s="14" t="s">
        <v>35</v>
      </c>
      <c r="V401" s="14" t="s">
        <v>36</v>
      </c>
      <c r="W401" s="14" t="s">
        <v>37</v>
      </c>
      <c r="X401" s="14">
        <v>4</v>
      </c>
      <c r="Y401" s="14" t="s">
        <v>47</v>
      </c>
      <c r="Z401" s="14">
        <v>4</v>
      </c>
      <c r="AA401" s="14" t="s">
        <v>58</v>
      </c>
    </row>
    <row r="402" spans="1:27" x14ac:dyDescent="0.35">
      <c r="A402" s="14" t="s">
        <v>814</v>
      </c>
      <c r="B402" s="15">
        <v>45941</v>
      </c>
      <c r="C402" s="14" t="s">
        <v>815</v>
      </c>
      <c r="D402" s="14" t="s">
        <v>50</v>
      </c>
      <c r="E402" s="14" t="s">
        <v>43</v>
      </c>
      <c r="F402" s="14">
        <v>45</v>
      </c>
      <c r="G402" s="14" t="s">
        <v>99</v>
      </c>
      <c r="H402" s="14" t="s">
        <v>52</v>
      </c>
      <c r="I402" s="14" t="s">
        <v>99</v>
      </c>
      <c r="J402" s="14" t="s">
        <v>202</v>
      </c>
      <c r="K402" s="14">
        <v>1</v>
      </c>
      <c r="L402" s="14">
        <v>38257</v>
      </c>
      <c r="M402" s="14">
        <v>0</v>
      </c>
      <c r="N402" s="14">
        <v>0</v>
      </c>
      <c r="O402" s="14">
        <v>6886.26</v>
      </c>
      <c r="P402" s="14">
        <v>77</v>
      </c>
      <c r="Q402" s="14">
        <f t="shared" si="6"/>
        <v>45143.26</v>
      </c>
      <c r="R402" s="14">
        <v>45220.26</v>
      </c>
      <c r="S402" s="14" t="s">
        <v>54</v>
      </c>
      <c r="T402" s="14" t="s">
        <v>63</v>
      </c>
      <c r="U402" s="14" t="s">
        <v>55</v>
      </c>
      <c r="V402" s="14" t="s">
        <v>56</v>
      </c>
      <c r="W402" s="14" t="s">
        <v>57</v>
      </c>
      <c r="X402" s="14">
        <v>5</v>
      </c>
      <c r="Y402" s="14" t="s">
        <v>38</v>
      </c>
      <c r="Z402" s="14">
        <v>1</v>
      </c>
      <c r="AA402" s="14" t="s">
        <v>91</v>
      </c>
    </row>
    <row r="403" spans="1:27" x14ac:dyDescent="0.35">
      <c r="A403" s="14" t="s">
        <v>816</v>
      </c>
      <c r="B403" s="15">
        <v>45969</v>
      </c>
      <c r="C403" s="14" t="s">
        <v>817</v>
      </c>
      <c r="D403" s="14" t="s">
        <v>111</v>
      </c>
      <c r="E403" s="14" t="s">
        <v>29</v>
      </c>
      <c r="F403" s="14">
        <v>18</v>
      </c>
      <c r="G403" s="14" t="s">
        <v>67</v>
      </c>
      <c r="H403" s="14" t="s">
        <v>68</v>
      </c>
      <c r="I403" s="14" t="s">
        <v>67</v>
      </c>
      <c r="J403" s="14" t="s">
        <v>75</v>
      </c>
      <c r="K403" s="14">
        <v>3</v>
      </c>
      <c r="L403" s="14">
        <v>42836</v>
      </c>
      <c r="M403" s="14">
        <v>5</v>
      </c>
      <c r="N403" s="14">
        <v>6425.4</v>
      </c>
      <c r="O403" s="14">
        <v>21974.87</v>
      </c>
      <c r="P403" s="14">
        <v>203</v>
      </c>
      <c r="Q403" s="14">
        <f t="shared" si="6"/>
        <v>144057.47</v>
      </c>
      <c r="R403" s="14">
        <v>144260.47</v>
      </c>
      <c r="S403" s="14" t="s">
        <v>54</v>
      </c>
      <c r="T403" s="14" t="s">
        <v>63</v>
      </c>
      <c r="U403" s="14" t="s">
        <v>70</v>
      </c>
      <c r="V403" s="14" t="s">
        <v>56</v>
      </c>
      <c r="W403" s="14" t="s">
        <v>57</v>
      </c>
      <c r="X403" s="14">
        <v>8</v>
      </c>
      <c r="Y403" s="14" t="s">
        <v>38</v>
      </c>
      <c r="Z403" s="14">
        <v>1</v>
      </c>
      <c r="AA403" s="14" t="s">
        <v>47</v>
      </c>
    </row>
    <row r="404" spans="1:27" x14ac:dyDescent="0.35">
      <c r="A404" s="14" t="s">
        <v>818</v>
      </c>
      <c r="B404" s="15">
        <v>45937</v>
      </c>
      <c r="C404" s="14" t="s">
        <v>819</v>
      </c>
      <c r="D404" s="14" t="s">
        <v>80</v>
      </c>
      <c r="E404" s="14" t="s">
        <v>43</v>
      </c>
      <c r="F404" s="14">
        <v>33</v>
      </c>
      <c r="G404" s="14" t="s">
        <v>139</v>
      </c>
      <c r="H404" s="14" t="s">
        <v>31</v>
      </c>
      <c r="I404" s="14" t="s">
        <v>139</v>
      </c>
      <c r="J404" s="14" t="s">
        <v>62</v>
      </c>
      <c r="K404" s="14">
        <v>5</v>
      </c>
      <c r="L404" s="14">
        <v>6082</v>
      </c>
      <c r="M404" s="14">
        <v>10</v>
      </c>
      <c r="N404" s="14">
        <v>3041</v>
      </c>
      <c r="O404" s="14">
        <v>4926.42</v>
      </c>
      <c r="P404" s="14">
        <v>451</v>
      </c>
      <c r="Q404" s="14">
        <f t="shared" si="6"/>
        <v>32295.42</v>
      </c>
      <c r="R404" s="14">
        <v>32746.42</v>
      </c>
      <c r="S404" s="14" t="s">
        <v>54</v>
      </c>
      <c r="T404" s="14" t="s">
        <v>63</v>
      </c>
      <c r="U404" s="14" t="s">
        <v>84</v>
      </c>
      <c r="V404" s="14" t="s">
        <v>85</v>
      </c>
      <c r="W404" s="14" t="s">
        <v>86</v>
      </c>
      <c r="X404" s="14">
        <v>6</v>
      </c>
      <c r="Y404" s="14" t="s">
        <v>38</v>
      </c>
      <c r="Z404" s="14">
        <v>4</v>
      </c>
      <c r="AA404" s="14" t="s">
        <v>58</v>
      </c>
    </row>
    <row r="405" spans="1:27" x14ac:dyDescent="0.35">
      <c r="A405" s="14" t="s">
        <v>820</v>
      </c>
      <c r="B405" s="15">
        <v>45962</v>
      </c>
      <c r="C405" s="14" t="s">
        <v>821</v>
      </c>
      <c r="D405" s="14" t="s">
        <v>80</v>
      </c>
      <c r="E405" s="14" t="s">
        <v>29</v>
      </c>
      <c r="F405" s="14">
        <v>45</v>
      </c>
      <c r="G405" s="14" t="s">
        <v>94</v>
      </c>
      <c r="H405" s="14" t="s">
        <v>31</v>
      </c>
      <c r="I405" s="14" t="s">
        <v>94</v>
      </c>
      <c r="J405" s="14" t="s">
        <v>69</v>
      </c>
      <c r="K405" s="14">
        <v>1</v>
      </c>
      <c r="L405" s="14">
        <v>31058</v>
      </c>
      <c r="M405" s="14">
        <v>20</v>
      </c>
      <c r="N405" s="14">
        <v>6211.6</v>
      </c>
      <c r="O405" s="14">
        <v>4472.3500000000004</v>
      </c>
      <c r="P405" s="14">
        <v>107</v>
      </c>
      <c r="Q405" s="14">
        <f t="shared" si="6"/>
        <v>29318.75</v>
      </c>
      <c r="R405" s="14">
        <v>29425.75</v>
      </c>
      <c r="S405" s="14" t="s">
        <v>33</v>
      </c>
      <c r="T405" s="14" t="s">
        <v>34</v>
      </c>
      <c r="U405" s="14" t="s">
        <v>46</v>
      </c>
      <c r="V405" s="14" t="s">
        <v>36</v>
      </c>
      <c r="W405" s="14" t="s">
        <v>37</v>
      </c>
      <c r="X405" s="14">
        <v>2</v>
      </c>
      <c r="Y405" s="14" t="s">
        <v>38</v>
      </c>
      <c r="Z405" s="14">
        <v>1</v>
      </c>
      <c r="AA405" s="14" t="s">
        <v>39</v>
      </c>
    </row>
    <row r="406" spans="1:27" x14ac:dyDescent="0.35">
      <c r="A406" s="14" t="s">
        <v>822</v>
      </c>
      <c r="B406" s="15">
        <v>45936</v>
      </c>
      <c r="C406" s="14" t="s">
        <v>823</v>
      </c>
      <c r="D406" s="14" t="s">
        <v>50</v>
      </c>
      <c r="E406" s="14" t="s">
        <v>29</v>
      </c>
      <c r="F406" s="14">
        <v>20</v>
      </c>
      <c r="G406" s="14" t="s">
        <v>30</v>
      </c>
      <c r="H406" s="14" t="s">
        <v>31</v>
      </c>
      <c r="I406" s="14" t="s">
        <v>30</v>
      </c>
      <c r="J406" s="14" t="s">
        <v>69</v>
      </c>
      <c r="K406" s="14">
        <v>5</v>
      </c>
      <c r="L406" s="14">
        <v>23952</v>
      </c>
      <c r="M406" s="14">
        <v>15</v>
      </c>
      <c r="N406" s="14">
        <v>17964</v>
      </c>
      <c r="O406" s="14">
        <v>18323.28</v>
      </c>
      <c r="P406" s="14">
        <v>235</v>
      </c>
      <c r="Q406" s="14">
        <f t="shared" si="6"/>
        <v>120119.28</v>
      </c>
      <c r="R406" s="14">
        <v>120354.28</v>
      </c>
      <c r="S406" s="14" t="s">
        <v>54</v>
      </c>
      <c r="T406" s="14" t="s">
        <v>34</v>
      </c>
      <c r="U406" s="14" t="s">
        <v>46</v>
      </c>
      <c r="V406" s="14" t="s">
        <v>36</v>
      </c>
      <c r="W406" s="14" t="s">
        <v>37</v>
      </c>
      <c r="X406" s="14">
        <v>8</v>
      </c>
      <c r="Y406" s="14" t="s">
        <v>38</v>
      </c>
      <c r="Z406" s="14">
        <v>3</v>
      </c>
      <c r="AA406" s="14" t="s">
        <v>58</v>
      </c>
    </row>
    <row r="407" spans="1:27" x14ac:dyDescent="0.35">
      <c r="A407" s="14" t="s">
        <v>824</v>
      </c>
      <c r="B407" s="15">
        <v>45769</v>
      </c>
      <c r="C407" s="14" t="s">
        <v>825</v>
      </c>
      <c r="D407" s="14" t="s">
        <v>111</v>
      </c>
      <c r="E407" s="14" t="s">
        <v>29</v>
      </c>
      <c r="F407" s="14">
        <v>48</v>
      </c>
      <c r="G407" s="14" t="s">
        <v>44</v>
      </c>
      <c r="H407" s="14" t="s">
        <v>31</v>
      </c>
      <c r="I407" s="14" t="s">
        <v>44</v>
      </c>
      <c r="J407" s="14" t="s">
        <v>125</v>
      </c>
      <c r="K407" s="14">
        <v>3</v>
      </c>
      <c r="L407" s="14">
        <v>38091</v>
      </c>
      <c r="M407" s="14">
        <v>20</v>
      </c>
      <c r="N407" s="14">
        <v>22854.6</v>
      </c>
      <c r="O407" s="14">
        <v>16455.310000000001</v>
      </c>
      <c r="P407" s="14">
        <v>45</v>
      </c>
      <c r="Q407" s="14">
        <f t="shared" si="6"/>
        <v>107873.71</v>
      </c>
      <c r="R407" s="14">
        <v>107918.71</v>
      </c>
      <c r="S407" s="14" t="s">
        <v>45</v>
      </c>
      <c r="T407" s="14" t="s">
        <v>63</v>
      </c>
      <c r="U407" s="14" t="s">
        <v>70</v>
      </c>
      <c r="V407" s="14" t="s">
        <v>56</v>
      </c>
      <c r="W407" s="14" t="s">
        <v>57</v>
      </c>
      <c r="X407" s="14">
        <v>4</v>
      </c>
      <c r="Y407" s="14" t="s">
        <v>38</v>
      </c>
      <c r="Z407" s="14">
        <v>2</v>
      </c>
      <c r="AA407" s="14" t="s">
        <v>91</v>
      </c>
    </row>
    <row r="408" spans="1:27" x14ac:dyDescent="0.35">
      <c r="A408" s="14" t="s">
        <v>826</v>
      </c>
      <c r="B408" s="15">
        <v>45874</v>
      </c>
      <c r="C408" s="14" t="s">
        <v>539</v>
      </c>
      <c r="D408" s="14" t="s">
        <v>42</v>
      </c>
      <c r="E408" s="14" t="s">
        <v>43</v>
      </c>
      <c r="F408" s="14">
        <v>52</v>
      </c>
      <c r="G408" s="14" t="s">
        <v>90</v>
      </c>
      <c r="H408" s="14" t="s">
        <v>31</v>
      </c>
      <c r="I408" s="14" t="s">
        <v>90</v>
      </c>
      <c r="J408" s="14" t="s">
        <v>125</v>
      </c>
      <c r="K408" s="14">
        <v>3</v>
      </c>
      <c r="L408" s="14">
        <v>26216</v>
      </c>
      <c r="M408" s="14">
        <v>20</v>
      </c>
      <c r="N408" s="14">
        <v>15729.6</v>
      </c>
      <c r="O408" s="14">
        <v>11325.31</v>
      </c>
      <c r="P408" s="14">
        <v>81</v>
      </c>
      <c r="Q408" s="14">
        <f t="shared" si="6"/>
        <v>74243.710000000006</v>
      </c>
      <c r="R408" s="14">
        <v>74324.710000000006</v>
      </c>
      <c r="S408" s="14" t="s">
        <v>33</v>
      </c>
      <c r="T408" s="14" t="s">
        <v>34</v>
      </c>
      <c r="U408" s="14" t="s">
        <v>35</v>
      </c>
      <c r="V408" s="14" t="s">
        <v>36</v>
      </c>
      <c r="W408" s="14" t="s">
        <v>37</v>
      </c>
      <c r="X408" s="14">
        <v>10</v>
      </c>
      <c r="Y408" s="14" t="s">
        <v>47</v>
      </c>
      <c r="Z408" s="14">
        <v>2</v>
      </c>
      <c r="AA408" s="14" t="s">
        <v>58</v>
      </c>
    </row>
    <row r="409" spans="1:27" x14ac:dyDescent="0.35">
      <c r="A409" s="14" t="s">
        <v>827</v>
      </c>
      <c r="B409" s="15">
        <v>46027</v>
      </c>
      <c r="C409" s="14" t="s">
        <v>228</v>
      </c>
      <c r="D409" s="14" t="s">
        <v>28</v>
      </c>
      <c r="E409" s="14" t="s">
        <v>29</v>
      </c>
      <c r="F409" s="14">
        <v>27</v>
      </c>
      <c r="G409" s="14" t="s">
        <v>139</v>
      </c>
      <c r="H409" s="14" t="s">
        <v>31</v>
      </c>
      <c r="I409" s="14" t="s">
        <v>139</v>
      </c>
      <c r="J409" s="14" t="s">
        <v>202</v>
      </c>
      <c r="K409" s="14">
        <v>1</v>
      </c>
      <c r="L409" s="14">
        <v>39817</v>
      </c>
      <c r="M409" s="14">
        <v>0</v>
      </c>
      <c r="N409" s="14">
        <v>0</v>
      </c>
      <c r="O409" s="14">
        <v>7167.06</v>
      </c>
      <c r="P409" s="14">
        <v>338</v>
      </c>
      <c r="Q409" s="14">
        <f t="shared" si="6"/>
        <v>46984.06</v>
      </c>
      <c r="R409" s="14">
        <v>47322.06</v>
      </c>
      <c r="S409" s="14" t="s">
        <v>83</v>
      </c>
      <c r="T409" s="14" t="s">
        <v>34</v>
      </c>
      <c r="U409" s="14" t="s">
        <v>70</v>
      </c>
      <c r="V409" s="14" t="s">
        <v>56</v>
      </c>
      <c r="W409" s="14" t="s">
        <v>57</v>
      </c>
      <c r="X409" s="14">
        <v>5</v>
      </c>
      <c r="Y409" s="14" t="s">
        <v>38</v>
      </c>
      <c r="Z409" s="14">
        <v>2</v>
      </c>
      <c r="AA409" s="14" t="s">
        <v>39</v>
      </c>
    </row>
    <row r="410" spans="1:27" x14ac:dyDescent="0.35">
      <c r="A410" s="14" t="s">
        <v>828</v>
      </c>
      <c r="B410" s="15">
        <v>45846</v>
      </c>
      <c r="C410" s="14" t="s">
        <v>829</v>
      </c>
      <c r="D410" s="14" t="s">
        <v>89</v>
      </c>
      <c r="E410" s="14" t="s">
        <v>43</v>
      </c>
      <c r="F410" s="14">
        <v>21</v>
      </c>
      <c r="G410" s="14" t="s">
        <v>134</v>
      </c>
      <c r="H410" s="14" t="s">
        <v>31</v>
      </c>
      <c r="I410" s="14" t="s">
        <v>134</v>
      </c>
      <c r="J410" s="14" t="s">
        <v>202</v>
      </c>
      <c r="K410" s="14">
        <v>2</v>
      </c>
      <c r="L410" s="14">
        <v>13948</v>
      </c>
      <c r="M410" s="14">
        <v>20</v>
      </c>
      <c r="N410" s="14">
        <v>5579.2</v>
      </c>
      <c r="O410" s="14">
        <v>4017.02</v>
      </c>
      <c r="P410" s="14">
        <v>146</v>
      </c>
      <c r="Q410" s="14">
        <f t="shared" si="6"/>
        <v>26333.82</v>
      </c>
      <c r="R410" s="14">
        <v>26479.82</v>
      </c>
      <c r="S410" s="14" t="s">
        <v>54</v>
      </c>
      <c r="T410" s="14" t="s">
        <v>34</v>
      </c>
      <c r="U410" s="14" t="s">
        <v>35</v>
      </c>
      <c r="V410" s="14" t="s">
        <v>36</v>
      </c>
      <c r="W410" s="14" t="s">
        <v>37</v>
      </c>
      <c r="X410" s="14">
        <v>2</v>
      </c>
      <c r="Y410" s="14" t="s">
        <v>47</v>
      </c>
      <c r="Z410" s="14">
        <v>1</v>
      </c>
      <c r="AA410" s="14" t="s">
        <v>39</v>
      </c>
    </row>
    <row r="411" spans="1:27" x14ac:dyDescent="0.35">
      <c r="A411" s="14" t="s">
        <v>830</v>
      </c>
      <c r="B411" s="15">
        <v>45843</v>
      </c>
      <c r="C411" s="14" t="s">
        <v>831</v>
      </c>
      <c r="D411" s="14" t="s">
        <v>28</v>
      </c>
      <c r="E411" s="14" t="s">
        <v>43</v>
      </c>
      <c r="F411" s="14">
        <v>26</v>
      </c>
      <c r="G411" s="14" t="s">
        <v>67</v>
      </c>
      <c r="H411" s="14" t="s">
        <v>68</v>
      </c>
      <c r="I411" s="14" t="s">
        <v>67</v>
      </c>
      <c r="J411" s="14" t="s">
        <v>202</v>
      </c>
      <c r="K411" s="14">
        <v>2</v>
      </c>
      <c r="L411" s="14">
        <v>23299</v>
      </c>
      <c r="M411" s="14">
        <v>10</v>
      </c>
      <c r="N411" s="14">
        <v>4659.8</v>
      </c>
      <c r="O411" s="14">
        <v>7548.88</v>
      </c>
      <c r="P411" s="14">
        <v>416</v>
      </c>
      <c r="Q411" s="14">
        <f t="shared" si="6"/>
        <v>49487.08</v>
      </c>
      <c r="R411" s="14">
        <v>49903.08</v>
      </c>
      <c r="S411" s="14" t="s">
        <v>33</v>
      </c>
      <c r="T411" s="14" t="s">
        <v>63</v>
      </c>
      <c r="U411" s="14" t="s">
        <v>84</v>
      </c>
      <c r="V411" s="14" t="s">
        <v>85</v>
      </c>
      <c r="W411" s="14" t="s">
        <v>86</v>
      </c>
      <c r="X411" s="14">
        <v>1</v>
      </c>
      <c r="Y411" s="14" t="s">
        <v>47</v>
      </c>
      <c r="Z411" s="14">
        <v>2</v>
      </c>
      <c r="AA411" s="14" t="s">
        <v>58</v>
      </c>
    </row>
    <row r="412" spans="1:27" x14ac:dyDescent="0.35">
      <c r="A412" s="14" t="s">
        <v>832</v>
      </c>
      <c r="B412" s="15">
        <v>45895</v>
      </c>
      <c r="C412" s="14" t="s">
        <v>833</v>
      </c>
      <c r="D412" s="14" t="s">
        <v>50</v>
      </c>
      <c r="E412" s="14" t="s">
        <v>29</v>
      </c>
      <c r="F412" s="14">
        <v>32</v>
      </c>
      <c r="G412" s="14" t="s">
        <v>90</v>
      </c>
      <c r="H412" s="14" t="s">
        <v>31</v>
      </c>
      <c r="I412" s="14" t="s">
        <v>90</v>
      </c>
      <c r="J412" s="14" t="s">
        <v>53</v>
      </c>
      <c r="K412" s="14">
        <v>2</v>
      </c>
      <c r="L412" s="14">
        <v>32677</v>
      </c>
      <c r="M412" s="14">
        <v>10</v>
      </c>
      <c r="N412" s="14">
        <v>6535.4</v>
      </c>
      <c r="O412" s="14">
        <v>10587.35</v>
      </c>
      <c r="P412" s="14">
        <v>159</v>
      </c>
      <c r="Q412" s="14">
        <f t="shared" si="6"/>
        <v>69405.95</v>
      </c>
      <c r="R412" s="14">
        <v>69564.95</v>
      </c>
      <c r="S412" s="14" t="s">
        <v>83</v>
      </c>
      <c r="T412" s="14" t="s">
        <v>34</v>
      </c>
      <c r="U412" s="14" t="s">
        <v>35</v>
      </c>
      <c r="V412" s="14" t="s">
        <v>36</v>
      </c>
      <c r="W412" s="14" t="s">
        <v>37</v>
      </c>
      <c r="X412" s="14">
        <v>3</v>
      </c>
      <c r="Y412" s="14" t="s">
        <v>47</v>
      </c>
      <c r="Z412" s="14">
        <v>4</v>
      </c>
      <c r="AA412" s="14" t="s">
        <v>39</v>
      </c>
    </row>
    <row r="413" spans="1:27" x14ac:dyDescent="0.35">
      <c r="A413" s="14" t="s">
        <v>834</v>
      </c>
      <c r="B413" s="15">
        <v>45768</v>
      </c>
      <c r="C413" s="14" t="s">
        <v>835</v>
      </c>
      <c r="D413" s="14" t="s">
        <v>108</v>
      </c>
      <c r="E413" s="14" t="s">
        <v>29</v>
      </c>
      <c r="F413" s="14">
        <v>21</v>
      </c>
      <c r="G413" s="14" t="s">
        <v>51</v>
      </c>
      <c r="H413" s="14" t="s">
        <v>52</v>
      </c>
      <c r="I413" s="14" t="s">
        <v>51</v>
      </c>
      <c r="J413" s="14" t="s">
        <v>69</v>
      </c>
      <c r="K413" s="14">
        <v>2</v>
      </c>
      <c r="L413" s="14">
        <v>31723</v>
      </c>
      <c r="M413" s="14">
        <v>15</v>
      </c>
      <c r="N413" s="14">
        <v>9516.9</v>
      </c>
      <c r="O413" s="14">
        <v>9707.24</v>
      </c>
      <c r="P413" s="14">
        <v>178</v>
      </c>
      <c r="Q413" s="14">
        <f t="shared" si="6"/>
        <v>63636.34</v>
      </c>
      <c r="R413" s="14">
        <v>63814.34</v>
      </c>
      <c r="S413" s="14" t="s">
        <v>45</v>
      </c>
      <c r="T413" s="14" t="s">
        <v>63</v>
      </c>
      <c r="U413" s="14" t="s">
        <v>95</v>
      </c>
      <c r="V413" s="14" t="s">
        <v>96</v>
      </c>
      <c r="W413" s="14" t="s">
        <v>57</v>
      </c>
      <c r="X413" s="14">
        <v>2</v>
      </c>
      <c r="Y413" s="14" t="s">
        <v>38</v>
      </c>
      <c r="Z413" s="14">
        <v>2</v>
      </c>
      <c r="AA413" s="14" t="s">
        <v>47</v>
      </c>
    </row>
    <row r="414" spans="1:27" x14ac:dyDescent="0.35">
      <c r="A414" s="14" t="s">
        <v>836</v>
      </c>
      <c r="B414" s="15">
        <v>45836</v>
      </c>
      <c r="C414" s="14" t="s">
        <v>428</v>
      </c>
      <c r="D414" s="14" t="s">
        <v>42</v>
      </c>
      <c r="E414" s="14" t="s">
        <v>43</v>
      </c>
      <c r="F414" s="14">
        <v>18</v>
      </c>
      <c r="G414" s="14" t="s">
        <v>90</v>
      </c>
      <c r="H414" s="14" t="s">
        <v>31</v>
      </c>
      <c r="I414" s="14" t="s">
        <v>90</v>
      </c>
      <c r="J414" s="14" t="s">
        <v>102</v>
      </c>
      <c r="K414" s="14">
        <v>3</v>
      </c>
      <c r="L414" s="14">
        <v>32699</v>
      </c>
      <c r="M414" s="14">
        <v>15</v>
      </c>
      <c r="N414" s="14">
        <v>14714.55</v>
      </c>
      <c r="O414" s="14">
        <v>15008.84</v>
      </c>
      <c r="P414" s="14">
        <v>232</v>
      </c>
      <c r="Q414" s="14">
        <f t="shared" si="6"/>
        <v>98391.29</v>
      </c>
      <c r="R414" s="14">
        <v>98623.29</v>
      </c>
      <c r="S414" s="14" t="s">
        <v>83</v>
      </c>
      <c r="T414" s="14" t="s">
        <v>34</v>
      </c>
      <c r="U414" s="14" t="s">
        <v>84</v>
      </c>
      <c r="V414" s="14" t="s">
        <v>85</v>
      </c>
      <c r="W414" s="14" t="s">
        <v>86</v>
      </c>
      <c r="X414" s="14">
        <v>4</v>
      </c>
      <c r="Y414" s="14" t="s">
        <v>38</v>
      </c>
      <c r="Z414" s="14">
        <v>1</v>
      </c>
      <c r="AA414" s="14" t="s">
        <v>91</v>
      </c>
    </row>
    <row r="415" spans="1:27" x14ac:dyDescent="0.35">
      <c r="A415" s="14" t="s">
        <v>837</v>
      </c>
      <c r="B415" s="15">
        <v>45955</v>
      </c>
      <c r="C415" s="14" t="s">
        <v>651</v>
      </c>
      <c r="D415" s="14" t="s">
        <v>73</v>
      </c>
      <c r="E415" s="14" t="s">
        <v>43</v>
      </c>
      <c r="F415" s="14">
        <v>40</v>
      </c>
      <c r="G415" s="14" t="s">
        <v>67</v>
      </c>
      <c r="H415" s="14" t="s">
        <v>68</v>
      </c>
      <c r="I415" s="14" t="s">
        <v>67</v>
      </c>
      <c r="J415" s="14" t="s">
        <v>125</v>
      </c>
      <c r="K415" s="14">
        <v>5</v>
      </c>
      <c r="L415" s="14">
        <v>13093</v>
      </c>
      <c r="M415" s="14">
        <v>15</v>
      </c>
      <c r="N415" s="14">
        <v>9819.75</v>
      </c>
      <c r="O415" s="14">
        <v>10016.15</v>
      </c>
      <c r="P415" s="14">
        <v>119</v>
      </c>
      <c r="Q415" s="14">
        <f t="shared" si="6"/>
        <v>65661.399999999994</v>
      </c>
      <c r="R415" s="14">
        <v>65780.399999999994</v>
      </c>
      <c r="S415" s="14" t="s">
        <v>45</v>
      </c>
      <c r="T415" s="14" t="s">
        <v>34</v>
      </c>
      <c r="U415" s="14" t="s">
        <v>35</v>
      </c>
      <c r="V415" s="14" t="s">
        <v>36</v>
      </c>
      <c r="W415" s="14" t="s">
        <v>37</v>
      </c>
      <c r="X415" s="14">
        <v>9</v>
      </c>
      <c r="Y415" s="14" t="s">
        <v>47</v>
      </c>
      <c r="Z415" s="14">
        <v>2</v>
      </c>
      <c r="AA415" s="14" t="s">
        <v>47</v>
      </c>
    </row>
    <row r="416" spans="1:27" x14ac:dyDescent="0.35">
      <c r="A416" s="14" t="s">
        <v>838</v>
      </c>
      <c r="B416" s="15">
        <v>45889</v>
      </c>
      <c r="C416" s="14" t="s">
        <v>839</v>
      </c>
      <c r="D416" s="14" t="s">
        <v>89</v>
      </c>
      <c r="E416" s="14" t="s">
        <v>29</v>
      </c>
      <c r="F416" s="14">
        <v>44</v>
      </c>
      <c r="G416" s="14" t="s">
        <v>139</v>
      </c>
      <c r="H416" s="14" t="s">
        <v>31</v>
      </c>
      <c r="I416" s="14" t="s">
        <v>139</v>
      </c>
      <c r="J416" s="14" t="s">
        <v>69</v>
      </c>
      <c r="K416" s="14">
        <v>1</v>
      </c>
      <c r="L416" s="14">
        <v>29058</v>
      </c>
      <c r="M416" s="14">
        <v>15</v>
      </c>
      <c r="N416" s="14">
        <v>4358.7</v>
      </c>
      <c r="O416" s="14">
        <v>4445.87</v>
      </c>
      <c r="P416" s="14">
        <v>483</v>
      </c>
      <c r="Q416" s="14">
        <f t="shared" si="6"/>
        <v>29145.17</v>
      </c>
      <c r="R416" s="14">
        <v>29628.17</v>
      </c>
      <c r="S416" s="14" t="s">
        <v>33</v>
      </c>
      <c r="T416" s="14" t="s">
        <v>63</v>
      </c>
      <c r="U416" s="14" t="s">
        <v>70</v>
      </c>
      <c r="V416" s="14" t="s">
        <v>56</v>
      </c>
      <c r="W416" s="14" t="s">
        <v>57</v>
      </c>
      <c r="X416" s="14">
        <v>4</v>
      </c>
      <c r="Y416" s="14" t="s">
        <v>47</v>
      </c>
      <c r="Z416" s="14">
        <v>2</v>
      </c>
      <c r="AA416" s="14" t="s">
        <v>58</v>
      </c>
    </row>
    <row r="417" spans="1:27" x14ac:dyDescent="0.35">
      <c r="A417" s="14" t="s">
        <v>840</v>
      </c>
      <c r="B417" s="15">
        <v>46085</v>
      </c>
      <c r="C417" s="14" t="s">
        <v>841</v>
      </c>
      <c r="D417" s="14" t="s">
        <v>50</v>
      </c>
      <c r="E417" s="14" t="s">
        <v>29</v>
      </c>
      <c r="F417" s="14">
        <v>34</v>
      </c>
      <c r="G417" s="14" t="s">
        <v>90</v>
      </c>
      <c r="H417" s="14" t="s">
        <v>31</v>
      </c>
      <c r="I417" s="14" t="s">
        <v>90</v>
      </c>
      <c r="J417" s="14" t="s">
        <v>112</v>
      </c>
      <c r="K417" s="14">
        <v>4</v>
      </c>
      <c r="L417" s="14">
        <v>893</v>
      </c>
      <c r="M417" s="14">
        <v>15</v>
      </c>
      <c r="N417" s="14">
        <v>535.79999999999995</v>
      </c>
      <c r="O417" s="14">
        <v>546.52</v>
      </c>
      <c r="P417" s="14">
        <v>235</v>
      </c>
      <c r="Q417" s="14">
        <f t="shared" si="6"/>
        <v>3582.72</v>
      </c>
      <c r="R417" s="14">
        <v>3817.72</v>
      </c>
      <c r="S417" s="14" t="s">
        <v>45</v>
      </c>
      <c r="T417" s="14" t="s">
        <v>63</v>
      </c>
      <c r="U417" s="14" t="s">
        <v>95</v>
      </c>
      <c r="V417" s="14" t="s">
        <v>96</v>
      </c>
      <c r="W417" s="14" t="s">
        <v>57</v>
      </c>
      <c r="X417" s="14">
        <v>3</v>
      </c>
      <c r="Y417" s="14" t="s">
        <v>38</v>
      </c>
      <c r="Z417" s="14">
        <v>5</v>
      </c>
      <c r="AA417" s="14" t="s">
        <v>58</v>
      </c>
    </row>
    <row r="418" spans="1:27" x14ac:dyDescent="0.35">
      <c r="A418" s="14" t="s">
        <v>842</v>
      </c>
      <c r="B418" s="15">
        <v>46012</v>
      </c>
      <c r="C418" s="14" t="s">
        <v>554</v>
      </c>
      <c r="D418" s="14" t="s">
        <v>89</v>
      </c>
      <c r="E418" s="14" t="s">
        <v>29</v>
      </c>
      <c r="F418" s="14">
        <v>43</v>
      </c>
      <c r="G418" s="14" t="s">
        <v>51</v>
      </c>
      <c r="H418" s="14" t="s">
        <v>52</v>
      </c>
      <c r="I418" s="14" t="s">
        <v>51</v>
      </c>
      <c r="J418" s="14" t="s">
        <v>62</v>
      </c>
      <c r="K418" s="14">
        <v>2</v>
      </c>
      <c r="L418" s="14">
        <v>30884</v>
      </c>
      <c r="M418" s="14">
        <v>15</v>
      </c>
      <c r="N418" s="14">
        <v>9265.2000000000007</v>
      </c>
      <c r="O418" s="14">
        <v>9450.5</v>
      </c>
      <c r="P418" s="14">
        <v>377</v>
      </c>
      <c r="Q418" s="14">
        <f t="shared" si="6"/>
        <v>61953.3</v>
      </c>
      <c r="R418" s="14">
        <v>62330.3</v>
      </c>
      <c r="S418" s="14" t="s">
        <v>54</v>
      </c>
      <c r="T418" s="14" t="s">
        <v>34</v>
      </c>
      <c r="U418" s="14" t="s">
        <v>55</v>
      </c>
      <c r="V418" s="14" t="s">
        <v>56</v>
      </c>
      <c r="W418" s="14" t="s">
        <v>57</v>
      </c>
      <c r="X418" s="14">
        <v>4</v>
      </c>
      <c r="Y418" s="14" t="s">
        <v>38</v>
      </c>
      <c r="Z418" s="14">
        <v>5</v>
      </c>
      <c r="AA418" s="14" t="s">
        <v>58</v>
      </c>
    </row>
    <row r="419" spans="1:27" x14ac:dyDescent="0.35">
      <c r="A419" s="14" t="s">
        <v>843</v>
      </c>
      <c r="B419" s="15">
        <v>46053</v>
      </c>
      <c r="C419" s="14" t="s">
        <v>120</v>
      </c>
      <c r="D419" s="14" t="s">
        <v>61</v>
      </c>
      <c r="E419" s="14" t="s">
        <v>29</v>
      </c>
      <c r="F419" s="14">
        <v>32</v>
      </c>
      <c r="G419" s="14" t="s">
        <v>94</v>
      </c>
      <c r="H419" s="14" t="s">
        <v>31</v>
      </c>
      <c r="I419" s="14" t="s">
        <v>94</v>
      </c>
      <c r="J419" s="14" t="s">
        <v>102</v>
      </c>
      <c r="K419" s="14">
        <v>1</v>
      </c>
      <c r="L419" s="14">
        <v>18649</v>
      </c>
      <c r="M419" s="14">
        <v>10</v>
      </c>
      <c r="N419" s="14">
        <v>1864.9</v>
      </c>
      <c r="O419" s="14">
        <v>3021.14</v>
      </c>
      <c r="P419" s="14">
        <v>223</v>
      </c>
      <c r="Q419" s="14">
        <f t="shared" si="6"/>
        <v>19805.240000000002</v>
      </c>
      <c r="R419" s="14">
        <v>20028.240000000002</v>
      </c>
      <c r="S419" s="14" t="s">
        <v>33</v>
      </c>
      <c r="T419" s="14" t="s">
        <v>63</v>
      </c>
      <c r="U419" s="14" t="s">
        <v>103</v>
      </c>
      <c r="V419" s="14" t="s">
        <v>103</v>
      </c>
      <c r="W419" s="14" t="s">
        <v>57</v>
      </c>
      <c r="X419" s="14">
        <v>2</v>
      </c>
      <c r="Y419" s="14" t="s">
        <v>47</v>
      </c>
      <c r="Z419" s="14">
        <v>2</v>
      </c>
      <c r="AA419" s="14" t="s">
        <v>58</v>
      </c>
    </row>
    <row r="420" spans="1:27" x14ac:dyDescent="0.35">
      <c r="A420" s="14" t="s">
        <v>844</v>
      </c>
      <c r="B420" s="15">
        <v>45758</v>
      </c>
      <c r="C420" s="14" t="s">
        <v>845</v>
      </c>
      <c r="D420" s="14" t="s">
        <v>28</v>
      </c>
      <c r="E420" s="14" t="s">
        <v>43</v>
      </c>
      <c r="F420" s="14">
        <v>57</v>
      </c>
      <c r="G420" s="14" t="s">
        <v>30</v>
      </c>
      <c r="H420" s="14" t="s">
        <v>31</v>
      </c>
      <c r="I420" s="14" t="s">
        <v>30</v>
      </c>
      <c r="J420" s="14" t="s">
        <v>75</v>
      </c>
      <c r="K420" s="14">
        <v>4</v>
      </c>
      <c r="L420" s="14">
        <v>25831</v>
      </c>
      <c r="M420" s="14">
        <v>0</v>
      </c>
      <c r="N420" s="14">
        <v>0</v>
      </c>
      <c r="O420" s="14">
        <v>18598.32</v>
      </c>
      <c r="P420" s="14">
        <v>290</v>
      </c>
      <c r="Q420" s="14">
        <f t="shared" si="6"/>
        <v>121922.32</v>
      </c>
      <c r="R420" s="14">
        <v>122212.32</v>
      </c>
      <c r="S420" s="14" t="s">
        <v>54</v>
      </c>
      <c r="T420" s="14" t="s">
        <v>63</v>
      </c>
      <c r="U420" s="14" t="s">
        <v>46</v>
      </c>
      <c r="V420" s="14" t="s">
        <v>36</v>
      </c>
      <c r="W420" s="14" t="s">
        <v>37</v>
      </c>
      <c r="X420" s="14">
        <v>9</v>
      </c>
      <c r="Y420" s="14" t="s">
        <v>38</v>
      </c>
      <c r="Z420" s="14">
        <v>5</v>
      </c>
      <c r="AA420" s="14" t="s">
        <v>58</v>
      </c>
    </row>
    <row r="421" spans="1:27" x14ac:dyDescent="0.35">
      <c r="A421" s="14" t="s">
        <v>846</v>
      </c>
      <c r="B421" s="15">
        <v>45876</v>
      </c>
      <c r="C421" s="14" t="s">
        <v>847</v>
      </c>
      <c r="D421" s="14" t="s">
        <v>111</v>
      </c>
      <c r="E421" s="14" t="s">
        <v>43</v>
      </c>
      <c r="F421" s="14">
        <v>22</v>
      </c>
      <c r="G421" s="14" t="s">
        <v>99</v>
      </c>
      <c r="H421" s="14" t="s">
        <v>52</v>
      </c>
      <c r="I421" s="14" t="s">
        <v>99</v>
      </c>
      <c r="J421" s="14" t="s">
        <v>62</v>
      </c>
      <c r="K421" s="14">
        <v>3</v>
      </c>
      <c r="L421" s="14">
        <v>5184</v>
      </c>
      <c r="M421" s="14">
        <v>10</v>
      </c>
      <c r="N421" s="14">
        <v>1555.2</v>
      </c>
      <c r="O421" s="14">
        <v>2519.42</v>
      </c>
      <c r="P421" s="14">
        <v>384</v>
      </c>
      <c r="Q421" s="14">
        <f t="shared" si="6"/>
        <v>16516.22</v>
      </c>
      <c r="R421" s="14">
        <v>16900.22</v>
      </c>
      <c r="S421" s="14" t="s">
        <v>33</v>
      </c>
      <c r="T421" s="14" t="s">
        <v>63</v>
      </c>
      <c r="U421" s="14" t="s">
        <v>70</v>
      </c>
      <c r="V421" s="14" t="s">
        <v>56</v>
      </c>
      <c r="W421" s="14" t="s">
        <v>57</v>
      </c>
      <c r="X421" s="14">
        <v>10</v>
      </c>
      <c r="Y421" s="14" t="s">
        <v>47</v>
      </c>
      <c r="Z421" s="14">
        <v>3</v>
      </c>
      <c r="AA421" s="14" t="s">
        <v>91</v>
      </c>
    </row>
    <row r="422" spans="1:27" x14ac:dyDescent="0.35">
      <c r="A422" s="14" t="s">
        <v>848</v>
      </c>
      <c r="B422" s="15">
        <v>46108</v>
      </c>
      <c r="C422" s="14" t="s">
        <v>849</v>
      </c>
      <c r="D422" s="14" t="s">
        <v>50</v>
      </c>
      <c r="E422" s="14" t="s">
        <v>29</v>
      </c>
      <c r="F422" s="14">
        <v>30</v>
      </c>
      <c r="G422" s="14" t="s">
        <v>51</v>
      </c>
      <c r="H422" s="14" t="s">
        <v>52</v>
      </c>
      <c r="I422" s="14" t="s">
        <v>51</v>
      </c>
      <c r="J422" s="14" t="s">
        <v>102</v>
      </c>
      <c r="K422" s="14">
        <v>2</v>
      </c>
      <c r="L422" s="14">
        <v>6464</v>
      </c>
      <c r="M422" s="14">
        <v>5</v>
      </c>
      <c r="N422" s="14">
        <v>646.4</v>
      </c>
      <c r="O422" s="14">
        <v>2210.69</v>
      </c>
      <c r="P422" s="14">
        <v>494</v>
      </c>
      <c r="Q422" s="14">
        <f t="shared" si="6"/>
        <v>14492.29</v>
      </c>
      <c r="R422" s="14">
        <v>14986.29</v>
      </c>
      <c r="S422" s="14" t="s">
        <v>45</v>
      </c>
      <c r="T422" s="14" t="s">
        <v>63</v>
      </c>
      <c r="U422" s="14" t="s">
        <v>70</v>
      </c>
      <c r="V422" s="14" t="s">
        <v>56</v>
      </c>
      <c r="W422" s="14" t="s">
        <v>57</v>
      </c>
      <c r="X422" s="14">
        <v>2</v>
      </c>
      <c r="Y422" s="14" t="s">
        <v>38</v>
      </c>
      <c r="Z422" s="14">
        <v>1</v>
      </c>
      <c r="AA422" s="14" t="s">
        <v>91</v>
      </c>
    </row>
    <row r="423" spans="1:27" x14ac:dyDescent="0.35">
      <c r="A423" s="14" t="s">
        <v>850</v>
      </c>
      <c r="B423" s="15">
        <v>45916</v>
      </c>
      <c r="C423" s="14" t="s">
        <v>114</v>
      </c>
      <c r="D423" s="14" t="s">
        <v>28</v>
      </c>
      <c r="E423" s="14" t="s">
        <v>43</v>
      </c>
      <c r="F423" s="14">
        <v>19</v>
      </c>
      <c r="G423" s="14" t="s">
        <v>74</v>
      </c>
      <c r="H423" s="14" t="s">
        <v>31</v>
      </c>
      <c r="I423" s="14" t="s">
        <v>74</v>
      </c>
      <c r="J423" s="14" t="s">
        <v>125</v>
      </c>
      <c r="K423" s="14">
        <v>1</v>
      </c>
      <c r="L423" s="14">
        <v>41930</v>
      </c>
      <c r="M423" s="14">
        <v>20</v>
      </c>
      <c r="N423" s="14">
        <v>8386</v>
      </c>
      <c r="O423" s="14">
        <v>6037.92</v>
      </c>
      <c r="P423" s="14">
        <v>39</v>
      </c>
      <c r="Q423" s="14">
        <f t="shared" si="6"/>
        <v>39581.919999999998</v>
      </c>
      <c r="R423" s="14">
        <v>39620.92</v>
      </c>
      <c r="S423" s="14" t="s">
        <v>83</v>
      </c>
      <c r="T423" s="14" t="s">
        <v>63</v>
      </c>
      <c r="U423" s="14" t="s">
        <v>95</v>
      </c>
      <c r="V423" s="14" t="s">
        <v>96</v>
      </c>
      <c r="W423" s="14" t="s">
        <v>57</v>
      </c>
      <c r="X423" s="14">
        <v>1</v>
      </c>
      <c r="Y423" s="14" t="s">
        <v>38</v>
      </c>
      <c r="Z423" s="14">
        <v>3</v>
      </c>
      <c r="AA423" s="14" t="s">
        <v>58</v>
      </c>
    </row>
    <row r="424" spans="1:27" x14ac:dyDescent="0.35">
      <c r="A424" s="14" t="s">
        <v>851</v>
      </c>
      <c r="B424" s="15">
        <v>46027</v>
      </c>
      <c r="C424" s="14" t="s">
        <v>852</v>
      </c>
      <c r="D424" s="14" t="s">
        <v>61</v>
      </c>
      <c r="E424" s="14" t="s">
        <v>29</v>
      </c>
      <c r="F424" s="14">
        <v>30</v>
      </c>
      <c r="G424" s="14" t="s">
        <v>99</v>
      </c>
      <c r="H424" s="14" t="s">
        <v>52</v>
      </c>
      <c r="I424" s="14" t="s">
        <v>99</v>
      </c>
      <c r="J424" s="14" t="s">
        <v>150</v>
      </c>
      <c r="K424" s="14">
        <v>2</v>
      </c>
      <c r="L424" s="14">
        <v>602</v>
      </c>
      <c r="M424" s="14">
        <v>5</v>
      </c>
      <c r="N424" s="14">
        <v>60.2</v>
      </c>
      <c r="O424" s="14">
        <v>205.88</v>
      </c>
      <c r="P424" s="14">
        <v>330</v>
      </c>
      <c r="Q424" s="14">
        <f t="shared" si="6"/>
        <v>1349.68</v>
      </c>
      <c r="R424" s="14">
        <v>1679.68</v>
      </c>
      <c r="S424" s="14" t="s">
        <v>33</v>
      </c>
      <c r="T424" s="14" t="s">
        <v>63</v>
      </c>
      <c r="U424" s="14" t="s">
        <v>46</v>
      </c>
      <c r="V424" s="14" t="s">
        <v>36</v>
      </c>
      <c r="W424" s="14" t="s">
        <v>37</v>
      </c>
      <c r="X424" s="14">
        <v>4</v>
      </c>
      <c r="Y424" s="14" t="s">
        <v>47</v>
      </c>
      <c r="Z424" s="14">
        <v>3</v>
      </c>
      <c r="AA424" s="14" t="s">
        <v>39</v>
      </c>
    </row>
    <row r="425" spans="1:27" x14ac:dyDescent="0.35">
      <c r="A425" s="14" t="s">
        <v>853</v>
      </c>
      <c r="B425" s="15">
        <v>45928</v>
      </c>
      <c r="C425" s="14" t="s">
        <v>854</v>
      </c>
      <c r="D425" s="14" t="s">
        <v>111</v>
      </c>
      <c r="E425" s="14" t="s">
        <v>29</v>
      </c>
      <c r="F425" s="14">
        <v>44</v>
      </c>
      <c r="G425" s="14" t="s">
        <v>67</v>
      </c>
      <c r="H425" s="14" t="s">
        <v>68</v>
      </c>
      <c r="I425" s="14" t="s">
        <v>67</v>
      </c>
      <c r="J425" s="14" t="s">
        <v>150</v>
      </c>
      <c r="K425" s="14">
        <v>4</v>
      </c>
      <c r="L425" s="14">
        <v>32958</v>
      </c>
      <c r="M425" s="14">
        <v>15</v>
      </c>
      <c r="N425" s="14">
        <v>19774.8</v>
      </c>
      <c r="O425" s="14">
        <v>20170.3</v>
      </c>
      <c r="P425" s="14">
        <v>359</v>
      </c>
      <c r="Q425" s="14">
        <f t="shared" si="6"/>
        <v>132227.5</v>
      </c>
      <c r="R425" s="14">
        <v>132586.5</v>
      </c>
      <c r="S425" s="14" t="s">
        <v>33</v>
      </c>
      <c r="T425" s="14" t="s">
        <v>63</v>
      </c>
      <c r="U425" s="14" t="s">
        <v>103</v>
      </c>
      <c r="V425" s="14" t="s">
        <v>103</v>
      </c>
      <c r="W425" s="14" t="s">
        <v>57</v>
      </c>
      <c r="X425" s="14">
        <v>4</v>
      </c>
      <c r="Y425" s="14" t="s">
        <v>38</v>
      </c>
      <c r="Z425" s="14">
        <v>3</v>
      </c>
      <c r="AA425" s="14" t="s">
        <v>47</v>
      </c>
    </row>
    <row r="426" spans="1:27" x14ac:dyDescent="0.35">
      <c r="A426" s="14" t="s">
        <v>855</v>
      </c>
      <c r="B426" s="15">
        <v>45836</v>
      </c>
      <c r="C426" s="14" t="s">
        <v>856</v>
      </c>
      <c r="D426" s="14" t="s">
        <v>66</v>
      </c>
      <c r="E426" s="14" t="s">
        <v>29</v>
      </c>
      <c r="F426" s="14">
        <v>29</v>
      </c>
      <c r="G426" s="14" t="s">
        <v>30</v>
      </c>
      <c r="H426" s="14" t="s">
        <v>31</v>
      </c>
      <c r="I426" s="14" t="s">
        <v>30</v>
      </c>
      <c r="J426" s="14" t="s">
        <v>32</v>
      </c>
      <c r="K426" s="14">
        <v>1</v>
      </c>
      <c r="L426" s="14">
        <v>22795</v>
      </c>
      <c r="M426" s="14">
        <v>20</v>
      </c>
      <c r="N426" s="14">
        <v>4559</v>
      </c>
      <c r="O426" s="14">
        <v>3282.48</v>
      </c>
      <c r="P426" s="14">
        <v>408</v>
      </c>
      <c r="Q426" s="14">
        <f t="shared" si="6"/>
        <v>21518.48</v>
      </c>
      <c r="R426" s="14">
        <v>21926.48</v>
      </c>
      <c r="S426" s="14" t="s">
        <v>45</v>
      </c>
      <c r="T426" s="14" t="s">
        <v>63</v>
      </c>
      <c r="U426" s="14" t="s">
        <v>84</v>
      </c>
      <c r="V426" s="14" t="s">
        <v>85</v>
      </c>
      <c r="W426" s="14" t="s">
        <v>86</v>
      </c>
      <c r="X426" s="14">
        <v>10</v>
      </c>
      <c r="Y426" s="14" t="s">
        <v>38</v>
      </c>
      <c r="Z426" s="14">
        <v>1</v>
      </c>
      <c r="AA426" s="14" t="s">
        <v>39</v>
      </c>
    </row>
    <row r="427" spans="1:27" x14ac:dyDescent="0.35">
      <c r="A427" s="14" t="s">
        <v>857</v>
      </c>
      <c r="B427" s="15">
        <v>45988</v>
      </c>
      <c r="C427" s="14" t="s">
        <v>411</v>
      </c>
      <c r="D427" s="14" t="s">
        <v>50</v>
      </c>
      <c r="E427" s="14" t="s">
        <v>43</v>
      </c>
      <c r="F427" s="14">
        <v>34</v>
      </c>
      <c r="G427" s="14" t="s">
        <v>134</v>
      </c>
      <c r="H427" s="14" t="s">
        <v>31</v>
      </c>
      <c r="I427" s="14" t="s">
        <v>134</v>
      </c>
      <c r="J427" s="14" t="s">
        <v>69</v>
      </c>
      <c r="K427" s="14">
        <v>2</v>
      </c>
      <c r="L427" s="14">
        <v>44955</v>
      </c>
      <c r="M427" s="14">
        <v>15</v>
      </c>
      <c r="N427" s="14">
        <v>13486.5</v>
      </c>
      <c r="O427" s="14">
        <v>13756.23</v>
      </c>
      <c r="P427" s="14">
        <v>122</v>
      </c>
      <c r="Q427" s="14">
        <f t="shared" si="6"/>
        <v>90179.73</v>
      </c>
      <c r="R427" s="14">
        <v>90301.73</v>
      </c>
      <c r="S427" s="14" t="s">
        <v>33</v>
      </c>
      <c r="T427" s="14" t="s">
        <v>34</v>
      </c>
      <c r="U427" s="14" t="s">
        <v>55</v>
      </c>
      <c r="V427" s="14" t="s">
        <v>56</v>
      </c>
      <c r="W427" s="14" t="s">
        <v>57</v>
      </c>
      <c r="X427" s="14">
        <v>2</v>
      </c>
      <c r="Y427" s="14" t="s">
        <v>38</v>
      </c>
      <c r="Z427" s="14">
        <v>3</v>
      </c>
      <c r="AA427" s="14" t="s">
        <v>39</v>
      </c>
    </row>
    <row r="428" spans="1:27" x14ac:dyDescent="0.35">
      <c r="A428" s="14" t="s">
        <v>858</v>
      </c>
      <c r="B428" s="15">
        <v>46067</v>
      </c>
      <c r="C428" s="14" t="s">
        <v>859</v>
      </c>
      <c r="D428" s="14" t="s">
        <v>73</v>
      </c>
      <c r="E428" s="14" t="s">
        <v>29</v>
      </c>
      <c r="F428" s="14">
        <v>32</v>
      </c>
      <c r="G428" s="14" t="s">
        <v>99</v>
      </c>
      <c r="H428" s="14" t="s">
        <v>52</v>
      </c>
      <c r="I428" s="14" t="s">
        <v>99</v>
      </c>
      <c r="J428" s="14" t="s">
        <v>69</v>
      </c>
      <c r="K428" s="14">
        <v>3</v>
      </c>
      <c r="L428" s="14">
        <v>29894</v>
      </c>
      <c r="M428" s="14">
        <v>5</v>
      </c>
      <c r="N428" s="14">
        <v>4484.1000000000004</v>
      </c>
      <c r="O428" s="14">
        <v>15335.62</v>
      </c>
      <c r="P428" s="14">
        <v>374</v>
      </c>
      <c r="Q428" s="14">
        <f t="shared" si="6"/>
        <v>100533.52</v>
      </c>
      <c r="R428" s="14">
        <v>100907.52</v>
      </c>
      <c r="S428" s="14" t="s">
        <v>45</v>
      </c>
      <c r="T428" s="14" t="s">
        <v>34</v>
      </c>
      <c r="U428" s="14" t="s">
        <v>46</v>
      </c>
      <c r="V428" s="14" t="s">
        <v>36</v>
      </c>
      <c r="W428" s="14" t="s">
        <v>37</v>
      </c>
      <c r="X428" s="14">
        <v>2</v>
      </c>
      <c r="Y428" s="14" t="s">
        <v>38</v>
      </c>
      <c r="Z428" s="14">
        <v>4</v>
      </c>
      <c r="AA428" s="14" t="s">
        <v>39</v>
      </c>
    </row>
    <row r="429" spans="1:27" x14ac:dyDescent="0.35">
      <c r="A429" s="14" t="s">
        <v>860</v>
      </c>
      <c r="B429" s="15">
        <v>46002</v>
      </c>
      <c r="C429" s="14" t="s">
        <v>861</v>
      </c>
      <c r="D429" s="14" t="s">
        <v>28</v>
      </c>
      <c r="E429" s="14" t="s">
        <v>29</v>
      </c>
      <c r="F429" s="14">
        <v>53</v>
      </c>
      <c r="G429" s="14" t="s">
        <v>139</v>
      </c>
      <c r="H429" s="14" t="s">
        <v>31</v>
      </c>
      <c r="I429" s="14" t="s">
        <v>139</v>
      </c>
      <c r="J429" s="14" t="s">
        <v>75</v>
      </c>
      <c r="K429" s="14">
        <v>1</v>
      </c>
      <c r="L429" s="14">
        <v>18999</v>
      </c>
      <c r="M429" s="14">
        <v>20</v>
      </c>
      <c r="N429" s="14">
        <v>3799.8</v>
      </c>
      <c r="O429" s="14">
        <v>2735.86</v>
      </c>
      <c r="P429" s="14">
        <v>252</v>
      </c>
      <c r="Q429" s="14">
        <f t="shared" si="6"/>
        <v>17935.060000000001</v>
      </c>
      <c r="R429" s="14">
        <v>18187.060000000001</v>
      </c>
      <c r="S429" s="14" t="s">
        <v>54</v>
      </c>
      <c r="T429" s="14" t="s">
        <v>34</v>
      </c>
      <c r="U429" s="14" t="s">
        <v>70</v>
      </c>
      <c r="V429" s="14" t="s">
        <v>56</v>
      </c>
      <c r="W429" s="14" t="s">
        <v>57</v>
      </c>
      <c r="X429" s="14">
        <v>1</v>
      </c>
      <c r="Y429" s="14" t="s">
        <v>47</v>
      </c>
      <c r="Z429" s="14">
        <v>5</v>
      </c>
      <c r="AA429" s="14" t="s">
        <v>47</v>
      </c>
    </row>
    <row r="430" spans="1:27" x14ac:dyDescent="0.35">
      <c r="A430" s="14" t="s">
        <v>862</v>
      </c>
      <c r="B430" s="15">
        <v>45886</v>
      </c>
      <c r="C430" s="14" t="s">
        <v>856</v>
      </c>
      <c r="D430" s="14" t="s">
        <v>28</v>
      </c>
      <c r="E430" s="14" t="s">
        <v>29</v>
      </c>
      <c r="F430" s="14">
        <v>20</v>
      </c>
      <c r="G430" s="14" t="s">
        <v>51</v>
      </c>
      <c r="H430" s="14" t="s">
        <v>52</v>
      </c>
      <c r="I430" s="14" t="s">
        <v>51</v>
      </c>
      <c r="J430" s="14" t="s">
        <v>53</v>
      </c>
      <c r="K430" s="14">
        <v>2</v>
      </c>
      <c r="L430" s="14">
        <v>5211</v>
      </c>
      <c r="M430" s="14">
        <v>10</v>
      </c>
      <c r="N430" s="14">
        <v>1042.2</v>
      </c>
      <c r="O430" s="14">
        <v>1688.36</v>
      </c>
      <c r="P430" s="14">
        <v>185</v>
      </c>
      <c r="Q430" s="14">
        <f t="shared" si="6"/>
        <v>11068.16</v>
      </c>
      <c r="R430" s="14">
        <v>11253.16</v>
      </c>
      <c r="S430" s="14" t="s">
        <v>54</v>
      </c>
      <c r="T430" s="14" t="s">
        <v>63</v>
      </c>
      <c r="U430" s="14" t="s">
        <v>95</v>
      </c>
      <c r="V430" s="14" t="s">
        <v>96</v>
      </c>
      <c r="W430" s="14" t="s">
        <v>57</v>
      </c>
      <c r="X430" s="14">
        <v>2</v>
      </c>
      <c r="Y430" s="14" t="s">
        <v>38</v>
      </c>
      <c r="Z430" s="14">
        <v>3</v>
      </c>
      <c r="AA430" s="14" t="s">
        <v>91</v>
      </c>
    </row>
    <row r="431" spans="1:27" x14ac:dyDescent="0.35">
      <c r="A431" s="14" t="s">
        <v>863</v>
      </c>
      <c r="B431" s="15">
        <v>45899</v>
      </c>
      <c r="C431" s="14" t="s">
        <v>864</v>
      </c>
      <c r="D431" s="14" t="s">
        <v>42</v>
      </c>
      <c r="E431" s="14" t="s">
        <v>43</v>
      </c>
      <c r="F431" s="14">
        <v>26</v>
      </c>
      <c r="G431" s="14" t="s">
        <v>134</v>
      </c>
      <c r="H431" s="14" t="s">
        <v>31</v>
      </c>
      <c r="I431" s="14" t="s">
        <v>134</v>
      </c>
      <c r="J431" s="14" t="s">
        <v>62</v>
      </c>
      <c r="K431" s="14">
        <v>2</v>
      </c>
      <c r="L431" s="14">
        <v>35117</v>
      </c>
      <c r="M431" s="14">
        <v>20</v>
      </c>
      <c r="N431" s="14">
        <v>14046.8</v>
      </c>
      <c r="O431" s="14">
        <v>10113.700000000001</v>
      </c>
      <c r="P431" s="14">
        <v>188</v>
      </c>
      <c r="Q431" s="14">
        <f t="shared" si="6"/>
        <v>66300.899999999994</v>
      </c>
      <c r="R431" s="14">
        <v>66488.899999999994</v>
      </c>
      <c r="S431" s="14" t="s">
        <v>33</v>
      </c>
      <c r="T431" s="14" t="s">
        <v>34</v>
      </c>
      <c r="U431" s="14" t="s">
        <v>84</v>
      </c>
      <c r="V431" s="14" t="s">
        <v>85</v>
      </c>
      <c r="W431" s="14" t="s">
        <v>86</v>
      </c>
      <c r="X431" s="14">
        <v>8</v>
      </c>
      <c r="Y431" s="14" t="s">
        <v>38</v>
      </c>
      <c r="Z431" s="14">
        <v>5</v>
      </c>
      <c r="AA431" s="14" t="s">
        <v>47</v>
      </c>
    </row>
    <row r="432" spans="1:27" x14ac:dyDescent="0.35">
      <c r="A432" s="14" t="s">
        <v>865</v>
      </c>
      <c r="B432" s="15">
        <v>46010</v>
      </c>
      <c r="C432" s="14" t="s">
        <v>866</v>
      </c>
      <c r="D432" s="14" t="s">
        <v>28</v>
      </c>
      <c r="E432" s="14" t="s">
        <v>43</v>
      </c>
      <c r="F432" s="14">
        <v>22</v>
      </c>
      <c r="G432" s="14" t="s">
        <v>30</v>
      </c>
      <c r="H432" s="14" t="s">
        <v>31</v>
      </c>
      <c r="I432" s="14" t="s">
        <v>30</v>
      </c>
      <c r="J432" s="14" t="s">
        <v>102</v>
      </c>
      <c r="K432" s="14">
        <v>5</v>
      </c>
      <c r="L432" s="14">
        <v>49331</v>
      </c>
      <c r="M432" s="14">
        <v>10</v>
      </c>
      <c r="N432" s="14">
        <v>24665.5</v>
      </c>
      <c r="O432" s="14">
        <v>39958.11</v>
      </c>
      <c r="P432" s="14">
        <v>272</v>
      </c>
      <c r="Q432" s="14">
        <f t="shared" si="6"/>
        <v>261947.61</v>
      </c>
      <c r="R432" s="14">
        <v>262219.61</v>
      </c>
      <c r="S432" s="14" t="s">
        <v>45</v>
      </c>
      <c r="T432" s="14" t="s">
        <v>63</v>
      </c>
      <c r="U432" s="14" t="s">
        <v>103</v>
      </c>
      <c r="V432" s="14" t="s">
        <v>103</v>
      </c>
      <c r="W432" s="14" t="s">
        <v>57</v>
      </c>
      <c r="X432" s="14">
        <v>6</v>
      </c>
      <c r="Y432" s="14" t="s">
        <v>38</v>
      </c>
      <c r="Z432" s="14">
        <v>2</v>
      </c>
      <c r="AA432" s="14" t="s">
        <v>39</v>
      </c>
    </row>
    <row r="433" spans="1:27" x14ac:dyDescent="0.35">
      <c r="A433" s="14" t="s">
        <v>867</v>
      </c>
      <c r="B433" s="15">
        <v>46103</v>
      </c>
      <c r="C433" s="14" t="s">
        <v>868</v>
      </c>
      <c r="D433" s="14" t="s">
        <v>61</v>
      </c>
      <c r="E433" s="14" t="s">
        <v>29</v>
      </c>
      <c r="F433" s="14">
        <v>22</v>
      </c>
      <c r="G433" s="14" t="s">
        <v>139</v>
      </c>
      <c r="H433" s="14" t="s">
        <v>31</v>
      </c>
      <c r="I433" s="14" t="s">
        <v>139</v>
      </c>
      <c r="J433" s="14" t="s">
        <v>112</v>
      </c>
      <c r="K433" s="14">
        <v>4</v>
      </c>
      <c r="L433" s="14">
        <v>41823</v>
      </c>
      <c r="M433" s="14">
        <v>5</v>
      </c>
      <c r="N433" s="14">
        <v>8364.6</v>
      </c>
      <c r="O433" s="14">
        <v>28606.93</v>
      </c>
      <c r="P433" s="14">
        <v>269</v>
      </c>
      <c r="Q433" s="14">
        <f t="shared" si="6"/>
        <v>187534.33</v>
      </c>
      <c r="R433" s="14">
        <v>187803.33</v>
      </c>
      <c r="S433" s="14" t="s">
        <v>83</v>
      </c>
      <c r="T433" s="14" t="s">
        <v>34</v>
      </c>
      <c r="U433" s="14" t="s">
        <v>84</v>
      </c>
      <c r="V433" s="14" t="s">
        <v>85</v>
      </c>
      <c r="W433" s="14" t="s">
        <v>86</v>
      </c>
      <c r="X433" s="14">
        <v>3</v>
      </c>
      <c r="Y433" s="14" t="s">
        <v>47</v>
      </c>
      <c r="Z433" s="14">
        <v>5</v>
      </c>
      <c r="AA433" s="14" t="s">
        <v>47</v>
      </c>
    </row>
    <row r="434" spans="1:27" x14ac:dyDescent="0.35">
      <c r="A434" s="14" t="s">
        <v>869</v>
      </c>
      <c r="B434" s="15">
        <v>46009</v>
      </c>
      <c r="C434" s="14" t="s">
        <v>174</v>
      </c>
      <c r="D434" s="14" t="s">
        <v>89</v>
      </c>
      <c r="E434" s="14" t="s">
        <v>43</v>
      </c>
      <c r="F434" s="14">
        <v>60</v>
      </c>
      <c r="G434" s="14" t="s">
        <v>74</v>
      </c>
      <c r="H434" s="14" t="s">
        <v>31</v>
      </c>
      <c r="I434" s="14" t="s">
        <v>74</v>
      </c>
      <c r="J434" s="14" t="s">
        <v>125</v>
      </c>
      <c r="K434" s="14">
        <v>2</v>
      </c>
      <c r="L434" s="14">
        <v>34809</v>
      </c>
      <c r="M434" s="14">
        <v>15</v>
      </c>
      <c r="N434" s="14">
        <v>10442.700000000001</v>
      </c>
      <c r="O434" s="14">
        <v>10651.55</v>
      </c>
      <c r="P434" s="14">
        <v>154</v>
      </c>
      <c r="Q434" s="14">
        <f t="shared" si="6"/>
        <v>69826.850000000006</v>
      </c>
      <c r="R434" s="14">
        <v>69980.850000000006</v>
      </c>
      <c r="S434" s="14" t="s">
        <v>33</v>
      </c>
      <c r="T434" s="14" t="s">
        <v>63</v>
      </c>
      <c r="U434" s="14" t="s">
        <v>70</v>
      </c>
      <c r="V434" s="14" t="s">
        <v>56</v>
      </c>
      <c r="W434" s="14" t="s">
        <v>57</v>
      </c>
      <c r="X434" s="14">
        <v>8</v>
      </c>
      <c r="Y434" s="14" t="s">
        <v>38</v>
      </c>
      <c r="Z434" s="14">
        <v>5</v>
      </c>
      <c r="AA434" s="14" t="s">
        <v>47</v>
      </c>
    </row>
    <row r="435" spans="1:27" x14ac:dyDescent="0.35">
      <c r="A435" s="14" t="s">
        <v>870</v>
      </c>
      <c r="B435" s="15">
        <v>45784</v>
      </c>
      <c r="C435" s="14" t="s">
        <v>871</v>
      </c>
      <c r="D435" s="14" t="s">
        <v>80</v>
      </c>
      <c r="E435" s="14" t="s">
        <v>29</v>
      </c>
      <c r="F435" s="14">
        <v>50</v>
      </c>
      <c r="G435" s="14" t="s">
        <v>74</v>
      </c>
      <c r="H435" s="14" t="s">
        <v>31</v>
      </c>
      <c r="I435" s="14" t="s">
        <v>74</v>
      </c>
      <c r="J435" s="14" t="s">
        <v>102</v>
      </c>
      <c r="K435" s="14">
        <v>3</v>
      </c>
      <c r="L435" s="14">
        <v>4209</v>
      </c>
      <c r="M435" s="14">
        <v>10</v>
      </c>
      <c r="N435" s="14">
        <v>1262.7</v>
      </c>
      <c r="O435" s="14">
        <v>2045.57</v>
      </c>
      <c r="P435" s="14">
        <v>362</v>
      </c>
      <c r="Q435" s="14">
        <f t="shared" si="6"/>
        <v>13409.87</v>
      </c>
      <c r="R435" s="14">
        <v>13771.87</v>
      </c>
      <c r="S435" s="14" t="s">
        <v>33</v>
      </c>
      <c r="T435" s="14" t="s">
        <v>34</v>
      </c>
      <c r="U435" s="14" t="s">
        <v>55</v>
      </c>
      <c r="V435" s="14" t="s">
        <v>56</v>
      </c>
      <c r="W435" s="14" t="s">
        <v>57</v>
      </c>
      <c r="X435" s="14">
        <v>9</v>
      </c>
      <c r="Y435" s="14" t="s">
        <v>47</v>
      </c>
      <c r="Z435" s="14">
        <v>4</v>
      </c>
      <c r="AA435" s="14" t="s">
        <v>91</v>
      </c>
    </row>
    <row r="436" spans="1:27" x14ac:dyDescent="0.35">
      <c r="A436" s="14" t="s">
        <v>872</v>
      </c>
      <c r="B436" s="15">
        <v>46083</v>
      </c>
      <c r="C436" s="14" t="s">
        <v>873</v>
      </c>
      <c r="D436" s="14" t="s">
        <v>42</v>
      </c>
      <c r="E436" s="14" t="s">
        <v>43</v>
      </c>
      <c r="F436" s="14">
        <v>44</v>
      </c>
      <c r="G436" s="14" t="s">
        <v>44</v>
      </c>
      <c r="H436" s="14" t="s">
        <v>31</v>
      </c>
      <c r="I436" s="14" t="s">
        <v>44</v>
      </c>
      <c r="J436" s="14" t="s">
        <v>75</v>
      </c>
      <c r="K436" s="14">
        <v>1</v>
      </c>
      <c r="L436" s="14">
        <v>42001</v>
      </c>
      <c r="M436" s="14">
        <v>5</v>
      </c>
      <c r="N436" s="14">
        <v>2100.0500000000002</v>
      </c>
      <c r="O436" s="14">
        <v>7182.17</v>
      </c>
      <c r="P436" s="14">
        <v>105</v>
      </c>
      <c r="Q436" s="14">
        <f t="shared" si="6"/>
        <v>47083.12</v>
      </c>
      <c r="R436" s="14">
        <v>47188.12</v>
      </c>
      <c r="S436" s="14" t="s">
        <v>33</v>
      </c>
      <c r="T436" s="14" t="s">
        <v>34</v>
      </c>
      <c r="U436" s="14" t="s">
        <v>84</v>
      </c>
      <c r="V436" s="14" t="s">
        <v>85</v>
      </c>
      <c r="W436" s="14" t="s">
        <v>86</v>
      </c>
      <c r="X436" s="14">
        <v>2</v>
      </c>
      <c r="Y436" s="14" t="s">
        <v>38</v>
      </c>
      <c r="Z436" s="14">
        <v>4</v>
      </c>
      <c r="AA436" s="14" t="s">
        <v>58</v>
      </c>
    </row>
    <row r="437" spans="1:27" x14ac:dyDescent="0.35">
      <c r="A437" s="14" t="s">
        <v>874</v>
      </c>
      <c r="B437" s="15">
        <v>45910</v>
      </c>
      <c r="C437" s="14" t="s">
        <v>875</v>
      </c>
      <c r="D437" s="14" t="s">
        <v>61</v>
      </c>
      <c r="E437" s="14" t="s">
        <v>43</v>
      </c>
      <c r="F437" s="14">
        <v>18</v>
      </c>
      <c r="G437" s="14" t="s">
        <v>94</v>
      </c>
      <c r="H437" s="14" t="s">
        <v>31</v>
      </c>
      <c r="I437" s="14" t="s">
        <v>94</v>
      </c>
      <c r="J437" s="14" t="s">
        <v>53</v>
      </c>
      <c r="K437" s="14">
        <v>3</v>
      </c>
      <c r="L437" s="14">
        <v>49226</v>
      </c>
      <c r="M437" s="14">
        <v>20</v>
      </c>
      <c r="N437" s="14">
        <v>29535.599999999999</v>
      </c>
      <c r="O437" s="14">
        <v>21265.63</v>
      </c>
      <c r="P437" s="14">
        <v>215</v>
      </c>
      <c r="Q437" s="14">
        <f t="shared" si="6"/>
        <v>139408.03</v>
      </c>
      <c r="R437" s="14">
        <v>139623.03</v>
      </c>
      <c r="S437" s="14" t="s">
        <v>54</v>
      </c>
      <c r="T437" s="14" t="s">
        <v>63</v>
      </c>
      <c r="U437" s="14" t="s">
        <v>55</v>
      </c>
      <c r="V437" s="14" t="s">
        <v>56</v>
      </c>
      <c r="W437" s="14" t="s">
        <v>57</v>
      </c>
      <c r="X437" s="14">
        <v>7</v>
      </c>
      <c r="Y437" s="14" t="s">
        <v>47</v>
      </c>
      <c r="Z437" s="14">
        <v>5</v>
      </c>
      <c r="AA437" s="14" t="s">
        <v>58</v>
      </c>
    </row>
    <row r="438" spans="1:27" x14ac:dyDescent="0.35">
      <c r="A438" s="14" t="s">
        <v>876</v>
      </c>
      <c r="B438" s="15">
        <v>45995</v>
      </c>
      <c r="C438" s="14" t="s">
        <v>877</v>
      </c>
      <c r="D438" s="14" t="s">
        <v>80</v>
      </c>
      <c r="E438" s="14" t="s">
        <v>29</v>
      </c>
      <c r="F438" s="14">
        <v>21</v>
      </c>
      <c r="G438" s="14" t="s">
        <v>90</v>
      </c>
      <c r="H438" s="14" t="s">
        <v>31</v>
      </c>
      <c r="I438" s="14" t="s">
        <v>90</v>
      </c>
      <c r="J438" s="14" t="s">
        <v>69</v>
      </c>
      <c r="K438" s="14">
        <v>1</v>
      </c>
      <c r="L438" s="14">
        <v>5104</v>
      </c>
      <c r="M438" s="14">
        <v>20</v>
      </c>
      <c r="N438" s="14">
        <v>1020.8</v>
      </c>
      <c r="O438" s="14">
        <v>734.98</v>
      </c>
      <c r="P438" s="14">
        <v>17</v>
      </c>
      <c r="Q438" s="14">
        <f t="shared" si="6"/>
        <v>4818.18</v>
      </c>
      <c r="R438" s="14">
        <v>4835.18</v>
      </c>
      <c r="S438" s="14" t="s">
        <v>33</v>
      </c>
      <c r="T438" s="14" t="s">
        <v>34</v>
      </c>
      <c r="U438" s="14" t="s">
        <v>55</v>
      </c>
      <c r="V438" s="14" t="s">
        <v>56</v>
      </c>
      <c r="W438" s="14" t="s">
        <v>57</v>
      </c>
      <c r="X438" s="14">
        <v>2</v>
      </c>
      <c r="Y438" s="14" t="s">
        <v>47</v>
      </c>
      <c r="Z438" s="14">
        <v>5</v>
      </c>
      <c r="AA438" s="14" t="s">
        <v>91</v>
      </c>
    </row>
    <row r="439" spans="1:27" x14ac:dyDescent="0.35">
      <c r="A439" s="14" t="s">
        <v>878</v>
      </c>
      <c r="B439" s="15">
        <v>45964</v>
      </c>
      <c r="C439" s="14" t="s">
        <v>470</v>
      </c>
      <c r="D439" s="14" t="s">
        <v>28</v>
      </c>
      <c r="E439" s="14" t="s">
        <v>29</v>
      </c>
      <c r="F439" s="14">
        <v>38</v>
      </c>
      <c r="G439" s="14" t="s">
        <v>139</v>
      </c>
      <c r="H439" s="14" t="s">
        <v>31</v>
      </c>
      <c r="I439" s="14" t="s">
        <v>139</v>
      </c>
      <c r="J439" s="14" t="s">
        <v>62</v>
      </c>
      <c r="K439" s="14">
        <v>5</v>
      </c>
      <c r="L439" s="14">
        <v>27737</v>
      </c>
      <c r="M439" s="14">
        <v>5</v>
      </c>
      <c r="N439" s="14">
        <v>6934.25</v>
      </c>
      <c r="O439" s="14">
        <v>23715.13</v>
      </c>
      <c r="P439" s="14">
        <v>280</v>
      </c>
      <c r="Q439" s="14">
        <f t="shared" si="6"/>
        <v>155465.89000000001</v>
      </c>
      <c r="R439" s="14">
        <v>155745.89000000001</v>
      </c>
      <c r="S439" s="14" t="s">
        <v>45</v>
      </c>
      <c r="T439" s="14" t="s">
        <v>63</v>
      </c>
      <c r="U439" s="14" t="s">
        <v>46</v>
      </c>
      <c r="V439" s="14" t="s">
        <v>36</v>
      </c>
      <c r="W439" s="14" t="s">
        <v>37</v>
      </c>
      <c r="X439" s="14">
        <v>1</v>
      </c>
      <c r="Y439" s="14" t="s">
        <v>47</v>
      </c>
      <c r="Z439" s="14">
        <v>3</v>
      </c>
      <c r="AA439" s="14" t="s">
        <v>39</v>
      </c>
    </row>
    <row r="440" spans="1:27" x14ac:dyDescent="0.35">
      <c r="A440" s="14" t="s">
        <v>879</v>
      </c>
      <c r="B440" s="15">
        <v>45961</v>
      </c>
      <c r="C440" s="14" t="s">
        <v>880</v>
      </c>
      <c r="D440" s="14" t="s">
        <v>61</v>
      </c>
      <c r="E440" s="14" t="s">
        <v>43</v>
      </c>
      <c r="F440" s="14">
        <v>31</v>
      </c>
      <c r="G440" s="14" t="s">
        <v>30</v>
      </c>
      <c r="H440" s="14" t="s">
        <v>31</v>
      </c>
      <c r="I440" s="14" t="s">
        <v>30</v>
      </c>
      <c r="J440" s="14" t="s">
        <v>69</v>
      </c>
      <c r="K440" s="14">
        <v>2</v>
      </c>
      <c r="L440" s="14">
        <v>2476</v>
      </c>
      <c r="M440" s="14">
        <v>5</v>
      </c>
      <c r="N440" s="14">
        <v>247.6</v>
      </c>
      <c r="O440" s="14">
        <v>846.79</v>
      </c>
      <c r="P440" s="14">
        <v>332</v>
      </c>
      <c r="Q440" s="14">
        <f t="shared" si="6"/>
        <v>5551.19</v>
      </c>
      <c r="R440" s="14">
        <v>5883.19</v>
      </c>
      <c r="S440" s="14" t="s">
        <v>83</v>
      </c>
      <c r="T440" s="14" t="s">
        <v>34</v>
      </c>
      <c r="U440" s="14" t="s">
        <v>55</v>
      </c>
      <c r="V440" s="14" t="s">
        <v>56</v>
      </c>
      <c r="W440" s="14" t="s">
        <v>57</v>
      </c>
      <c r="X440" s="14">
        <v>10</v>
      </c>
      <c r="Y440" s="14" t="s">
        <v>38</v>
      </c>
      <c r="Z440" s="14">
        <v>4</v>
      </c>
      <c r="AA440" s="14" t="s">
        <v>47</v>
      </c>
    </row>
    <row r="441" spans="1:27" x14ac:dyDescent="0.35">
      <c r="A441" s="14" t="s">
        <v>881</v>
      </c>
      <c r="B441" s="15">
        <v>46044</v>
      </c>
      <c r="C441" s="14" t="s">
        <v>882</v>
      </c>
      <c r="D441" s="14" t="s">
        <v>66</v>
      </c>
      <c r="E441" s="14" t="s">
        <v>43</v>
      </c>
      <c r="F441" s="14">
        <v>46</v>
      </c>
      <c r="G441" s="14" t="s">
        <v>51</v>
      </c>
      <c r="H441" s="14" t="s">
        <v>52</v>
      </c>
      <c r="I441" s="14" t="s">
        <v>51</v>
      </c>
      <c r="J441" s="14" t="s">
        <v>75</v>
      </c>
      <c r="K441" s="14">
        <v>5</v>
      </c>
      <c r="L441" s="14">
        <v>41823</v>
      </c>
      <c r="M441" s="14">
        <v>10</v>
      </c>
      <c r="N441" s="14">
        <v>20911.5</v>
      </c>
      <c r="O441" s="14">
        <v>33876.629999999997</v>
      </c>
      <c r="P441" s="14">
        <v>228</v>
      </c>
      <c r="Q441" s="14">
        <f t="shared" si="6"/>
        <v>222080.13</v>
      </c>
      <c r="R441" s="14">
        <v>222308.13</v>
      </c>
      <c r="S441" s="14" t="s">
        <v>54</v>
      </c>
      <c r="T441" s="14" t="s">
        <v>34</v>
      </c>
      <c r="U441" s="14" t="s">
        <v>76</v>
      </c>
      <c r="V441" s="14" t="s">
        <v>77</v>
      </c>
      <c r="W441" s="14" t="s">
        <v>57</v>
      </c>
      <c r="X441" s="14">
        <v>1</v>
      </c>
      <c r="Y441" s="14" t="s">
        <v>38</v>
      </c>
      <c r="Z441" s="14">
        <v>5</v>
      </c>
      <c r="AA441" s="14" t="s">
        <v>58</v>
      </c>
    </row>
    <row r="442" spans="1:27" x14ac:dyDescent="0.35">
      <c r="A442" s="14" t="s">
        <v>883</v>
      </c>
      <c r="B442" s="15">
        <v>45986</v>
      </c>
      <c r="C442" s="14" t="s">
        <v>884</v>
      </c>
      <c r="D442" s="14" t="s">
        <v>73</v>
      </c>
      <c r="E442" s="14" t="s">
        <v>29</v>
      </c>
      <c r="F442" s="14">
        <v>28</v>
      </c>
      <c r="G442" s="14" t="s">
        <v>30</v>
      </c>
      <c r="H442" s="14" t="s">
        <v>31</v>
      </c>
      <c r="I442" s="14" t="s">
        <v>30</v>
      </c>
      <c r="J442" s="14" t="s">
        <v>112</v>
      </c>
      <c r="K442" s="14">
        <v>4</v>
      </c>
      <c r="L442" s="14">
        <v>24006</v>
      </c>
      <c r="M442" s="14">
        <v>0</v>
      </c>
      <c r="N442" s="14">
        <v>0</v>
      </c>
      <c r="O442" s="14">
        <v>17284.32</v>
      </c>
      <c r="P442" s="14">
        <v>134</v>
      </c>
      <c r="Q442" s="14">
        <f t="shared" si="6"/>
        <v>113308.32</v>
      </c>
      <c r="R442" s="14">
        <v>113442.32</v>
      </c>
      <c r="S442" s="14" t="s">
        <v>45</v>
      </c>
      <c r="T442" s="14" t="s">
        <v>34</v>
      </c>
      <c r="U442" s="14" t="s">
        <v>46</v>
      </c>
      <c r="V442" s="14" t="s">
        <v>36</v>
      </c>
      <c r="W442" s="14" t="s">
        <v>37</v>
      </c>
      <c r="X442" s="14">
        <v>2</v>
      </c>
      <c r="Y442" s="14" t="s">
        <v>47</v>
      </c>
      <c r="Z442" s="14">
        <v>5</v>
      </c>
      <c r="AA442" s="14" t="s">
        <v>39</v>
      </c>
    </row>
    <row r="443" spans="1:27" x14ac:dyDescent="0.35">
      <c r="A443" s="14" t="s">
        <v>885</v>
      </c>
      <c r="B443" s="15">
        <v>45868</v>
      </c>
      <c r="C443" s="14" t="s">
        <v>714</v>
      </c>
      <c r="D443" s="14" t="s">
        <v>28</v>
      </c>
      <c r="E443" s="14" t="s">
        <v>43</v>
      </c>
      <c r="F443" s="14">
        <v>44</v>
      </c>
      <c r="G443" s="14" t="s">
        <v>90</v>
      </c>
      <c r="H443" s="14" t="s">
        <v>31</v>
      </c>
      <c r="I443" s="14" t="s">
        <v>90</v>
      </c>
      <c r="J443" s="14" t="s">
        <v>32</v>
      </c>
      <c r="K443" s="14">
        <v>5</v>
      </c>
      <c r="L443" s="14">
        <v>23260</v>
      </c>
      <c r="M443" s="14">
        <v>10</v>
      </c>
      <c r="N443" s="14">
        <v>11630</v>
      </c>
      <c r="O443" s="14">
        <v>18840.599999999999</v>
      </c>
      <c r="P443" s="14">
        <v>403</v>
      </c>
      <c r="Q443" s="14">
        <f t="shared" si="6"/>
        <v>123510.6</v>
      </c>
      <c r="R443" s="14">
        <v>123913.60000000001</v>
      </c>
      <c r="S443" s="14" t="s">
        <v>83</v>
      </c>
      <c r="T443" s="14" t="s">
        <v>34</v>
      </c>
      <c r="U443" s="14" t="s">
        <v>70</v>
      </c>
      <c r="V443" s="14" t="s">
        <v>56</v>
      </c>
      <c r="W443" s="14" t="s">
        <v>57</v>
      </c>
      <c r="X443" s="14">
        <v>10</v>
      </c>
      <c r="Y443" s="14" t="s">
        <v>47</v>
      </c>
      <c r="Z443" s="14">
        <v>2</v>
      </c>
      <c r="AA443" s="14" t="s">
        <v>58</v>
      </c>
    </row>
    <row r="444" spans="1:27" x14ac:dyDescent="0.35">
      <c r="A444" s="14" t="s">
        <v>886</v>
      </c>
      <c r="B444" s="15">
        <v>46020</v>
      </c>
      <c r="C444" s="14" t="s">
        <v>887</v>
      </c>
      <c r="D444" s="14" t="s">
        <v>42</v>
      </c>
      <c r="E444" s="14" t="s">
        <v>43</v>
      </c>
      <c r="F444" s="14">
        <v>36</v>
      </c>
      <c r="G444" s="14" t="s">
        <v>44</v>
      </c>
      <c r="H444" s="14" t="s">
        <v>31</v>
      </c>
      <c r="I444" s="14" t="s">
        <v>44</v>
      </c>
      <c r="J444" s="14" t="s">
        <v>150</v>
      </c>
      <c r="K444" s="14">
        <v>5</v>
      </c>
      <c r="L444" s="14">
        <v>3544</v>
      </c>
      <c r="M444" s="14">
        <v>0</v>
      </c>
      <c r="N444" s="14">
        <v>0</v>
      </c>
      <c r="O444" s="14">
        <v>3189.6</v>
      </c>
      <c r="P444" s="14">
        <v>294</v>
      </c>
      <c r="Q444" s="14">
        <f t="shared" si="6"/>
        <v>20909.599999999999</v>
      </c>
      <c r="R444" s="14">
        <v>21203.599999999999</v>
      </c>
      <c r="S444" s="14" t="s">
        <v>33</v>
      </c>
      <c r="T444" s="14" t="s">
        <v>63</v>
      </c>
      <c r="U444" s="14" t="s">
        <v>84</v>
      </c>
      <c r="V444" s="14" t="s">
        <v>85</v>
      </c>
      <c r="W444" s="14" t="s">
        <v>86</v>
      </c>
      <c r="X444" s="14">
        <v>2</v>
      </c>
      <c r="Y444" s="14" t="s">
        <v>47</v>
      </c>
      <c r="Z444" s="14">
        <v>1</v>
      </c>
      <c r="AA444" s="14" t="s">
        <v>91</v>
      </c>
    </row>
    <row r="445" spans="1:27" x14ac:dyDescent="0.35">
      <c r="A445" s="14" t="s">
        <v>888</v>
      </c>
      <c r="B445" s="15">
        <v>46023</v>
      </c>
      <c r="C445" s="14" t="s">
        <v>889</v>
      </c>
      <c r="D445" s="14" t="s">
        <v>89</v>
      </c>
      <c r="E445" s="14" t="s">
        <v>43</v>
      </c>
      <c r="F445" s="14">
        <v>57</v>
      </c>
      <c r="G445" s="14" t="s">
        <v>74</v>
      </c>
      <c r="H445" s="14" t="s">
        <v>31</v>
      </c>
      <c r="I445" s="14" t="s">
        <v>74</v>
      </c>
      <c r="J445" s="14" t="s">
        <v>125</v>
      </c>
      <c r="K445" s="14">
        <v>3</v>
      </c>
      <c r="L445" s="14">
        <v>45381</v>
      </c>
      <c r="M445" s="14">
        <v>15</v>
      </c>
      <c r="N445" s="14">
        <v>20421.45</v>
      </c>
      <c r="O445" s="14">
        <v>20829.88</v>
      </c>
      <c r="P445" s="14">
        <v>110</v>
      </c>
      <c r="Q445" s="14">
        <f t="shared" si="6"/>
        <v>136551.43</v>
      </c>
      <c r="R445" s="14">
        <v>136661.43</v>
      </c>
      <c r="S445" s="14" t="s">
        <v>54</v>
      </c>
      <c r="T445" s="14" t="s">
        <v>34</v>
      </c>
      <c r="U445" s="14" t="s">
        <v>95</v>
      </c>
      <c r="V445" s="14" t="s">
        <v>96</v>
      </c>
      <c r="W445" s="14" t="s">
        <v>57</v>
      </c>
      <c r="X445" s="14">
        <v>6</v>
      </c>
      <c r="Y445" s="14" t="s">
        <v>47</v>
      </c>
      <c r="Z445" s="14">
        <v>3</v>
      </c>
      <c r="AA445" s="14" t="s">
        <v>47</v>
      </c>
    </row>
    <row r="446" spans="1:27" x14ac:dyDescent="0.35">
      <c r="A446" s="14" t="s">
        <v>890</v>
      </c>
      <c r="B446" s="15">
        <v>46010</v>
      </c>
      <c r="C446" s="14" t="s">
        <v>891</v>
      </c>
      <c r="D446" s="14" t="s">
        <v>28</v>
      </c>
      <c r="E446" s="14" t="s">
        <v>29</v>
      </c>
      <c r="F446" s="14">
        <v>52</v>
      </c>
      <c r="G446" s="14" t="s">
        <v>134</v>
      </c>
      <c r="H446" s="14" t="s">
        <v>31</v>
      </c>
      <c r="I446" s="14" t="s">
        <v>134</v>
      </c>
      <c r="J446" s="14" t="s">
        <v>202</v>
      </c>
      <c r="K446" s="14">
        <v>1</v>
      </c>
      <c r="L446" s="14">
        <v>12252</v>
      </c>
      <c r="M446" s="14">
        <v>5</v>
      </c>
      <c r="N446" s="14">
        <v>612.6</v>
      </c>
      <c r="O446" s="14">
        <v>2095.09</v>
      </c>
      <c r="P446" s="14">
        <v>379</v>
      </c>
      <c r="Q446" s="14">
        <f t="shared" si="6"/>
        <v>13734.49</v>
      </c>
      <c r="R446" s="14">
        <v>14113.49</v>
      </c>
      <c r="S446" s="14" t="s">
        <v>33</v>
      </c>
      <c r="T446" s="14" t="s">
        <v>63</v>
      </c>
      <c r="U446" s="14" t="s">
        <v>35</v>
      </c>
      <c r="V446" s="14" t="s">
        <v>36</v>
      </c>
      <c r="W446" s="14" t="s">
        <v>37</v>
      </c>
      <c r="X446" s="14">
        <v>8</v>
      </c>
      <c r="Y446" s="14" t="s">
        <v>38</v>
      </c>
      <c r="Z446" s="14">
        <v>1</v>
      </c>
      <c r="AA446" s="14" t="s">
        <v>91</v>
      </c>
    </row>
    <row r="447" spans="1:27" x14ac:dyDescent="0.35">
      <c r="A447" s="14" t="s">
        <v>892</v>
      </c>
      <c r="B447" s="15">
        <v>45914</v>
      </c>
      <c r="C447" s="14" t="s">
        <v>234</v>
      </c>
      <c r="D447" s="14" t="s">
        <v>73</v>
      </c>
      <c r="E447" s="14" t="s">
        <v>43</v>
      </c>
      <c r="F447" s="14">
        <v>47</v>
      </c>
      <c r="G447" s="14" t="s">
        <v>67</v>
      </c>
      <c r="H447" s="14" t="s">
        <v>68</v>
      </c>
      <c r="I447" s="14" t="s">
        <v>67</v>
      </c>
      <c r="J447" s="14" t="s">
        <v>125</v>
      </c>
      <c r="K447" s="14">
        <v>4</v>
      </c>
      <c r="L447" s="14">
        <v>30619</v>
      </c>
      <c r="M447" s="14">
        <v>0</v>
      </c>
      <c r="N447" s="14">
        <v>0</v>
      </c>
      <c r="O447" s="14">
        <v>22045.68</v>
      </c>
      <c r="P447" s="14">
        <v>231</v>
      </c>
      <c r="Q447" s="14">
        <f t="shared" si="6"/>
        <v>144521.68</v>
      </c>
      <c r="R447" s="14">
        <v>144752.68</v>
      </c>
      <c r="S447" s="14" t="s">
        <v>45</v>
      </c>
      <c r="T447" s="14" t="s">
        <v>34</v>
      </c>
      <c r="U447" s="14" t="s">
        <v>70</v>
      </c>
      <c r="V447" s="14" t="s">
        <v>56</v>
      </c>
      <c r="W447" s="14" t="s">
        <v>57</v>
      </c>
      <c r="X447" s="14">
        <v>4</v>
      </c>
      <c r="Y447" s="14" t="s">
        <v>38</v>
      </c>
      <c r="Z447" s="14">
        <v>2</v>
      </c>
      <c r="AA447" s="14" t="s">
        <v>47</v>
      </c>
    </row>
    <row r="448" spans="1:27" x14ac:dyDescent="0.35">
      <c r="A448" s="14" t="s">
        <v>893</v>
      </c>
      <c r="B448" s="15">
        <v>46084</v>
      </c>
      <c r="C448" s="14" t="s">
        <v>522</v>
      </c>
      <c r="D448" s="14" t="s">
        <v>42</v>
      </c>
      <c r="E448" s="14" t="s">
        <v>43</v>
      </c>
      <c r="F448" s="14">
        <v>20</v>
      </c>
      <c r="G448" s="14" t="s">
        <v>30</v>
      </c>
      <c r="H448" s="14" t="s">
        <v>31</v>
      </c>
      <c r="I448" s="14" t="s">
        <v>30</v>
      </c>
      <c r="J448" s="14" t="s">
        <v>53</v>
      </c>
      <c r="K448" s="14">
        <v>1</v>
      </c>
      <c r="L448" s="14">
        <v>23553</v>
      </c>
      <c r="M448" s="14">
        <v>20</v>
      </c>
      <c r="N448" s="14">
        <v>4710.6000000000004</v>
      </c>
      <c r="O448" s="14">
        <v>3391.63</v>
      </c>
      <c r="P448" s="14">
        <v>243</v>
      </c>
      <c r="Q448" s="14">
        <f t="shared" si="6"/>
        <v>22234.03</v>
      </c>
      <c r="R448" s="14">
        <v>22477.03</v>
      </c>
      <c r="S448" s="14" t="s">
        <v>45</v>
      </c>
      <c r="T448" s="14" t="s">
        <v>34</v>
      </c>
      <c r="U448" s="14" t="s">
        <v>35</v>
      </c>
      <c r="V448" s="14" t="s">
        <v>36</v>
      </c>
      <c r="W448" s="14" t="s">
        <v>37</v>
      </c>
      <c r="X448" s="14">
        <v>8</v>
      </c>
      <c r="Y448" s="14" t="s">
        <v>47</v>
      </c>
      <c r="Z448" s="14">
        <v>4</v>
      </c>
      <c r="AA448" s="14" t="s">
        <v>91</v>
      </c>
    </row>
    <row r="449" spans="1:27" x14ac:dyDescent="0.35">
      <c r="A449" s="14" t="s">
        <v>894</v>
      </c>
      <c r="B449" s="15">
        <v>45863</v>
      </c>
      <c r="C449" s="14" t="s">
        <v>895</v>
      </c>
      <c r="D449" s="14" t="s">
        <v>89</v>
      </c>
      <c r="E449" s="14" t="s">
        <v>43</v>
      </c>
      <c r="F449" s="14">
        <v>52</v>
      </c>
      <c r="G449" s="14" t="s">
        <v>44</v>
      </c>
      <c r="H449" s="14" t="s">
        <v>31</v>
      </c>
      <c r="I449" s="14" t="s">
        <v>44</v>
      </c>
      <c r="J449" s="14" t="s">
        <v>53</v>
      </c>
      <c r="K449" s="14">
        <v>2</v>
      </c>
      <c r="L449" s="14">
        <v>6603</v>
      </c>
      <c r="M449" s="14">
        <v>5</v>
      </c>
      <c r="N449" s="14">
        <v>660.3</v>
      </c>
      <c r="O449" s="14">
        <v>2258.23</v>
      </c>
      <c r="P449" s="14">
        <v>343</v>
      </c>
      <c r="Q449" s="14">
        <f t="shared" si="6"/>
        <v>14803.93</v>
      </c>
      <c r="R449" s="14">
        <v>15146.93</v>
      </c>
      <c r="S449" s="14" t="s">
        <v>45</v>
      </c>
      <c r="T449" s="14" t="s">
        <v>34</v>
      </c>
      <c r="U449" s="14" t="s">
        <v>46</v>
      </c>
      <c r="V449" s="14" t="s">
        <v>36</v>
      </c>
      <c r="W449" s="14" t="s">
        <v>37</v>
      </c>
      <c r="X449" s="14">
        <v>7</v>
      </c>
      <c r="Y449" s="14" t="s">
        <v>47</v>
      </c>
      <c r="Z449" s="14">
        <v>3</v>
      </c>
      <c r="AA449" s="14" t="s">
        <v>47</v>
      </c>
    </row>
    <row r="450" spans="1:27" x14ac:dyDescent="0.35">
      <c r="A450" s="14" t="s">
        <v>896</v>
      </c>
      <c r="B450" s="15">
        <v>45929</v>
      </c>
      <c r="C450" s="14" t="s">
        <v>524</v>
      </c>
      <c r="D450" s="14" t="s">
        <v>50</v>
      </c>
      <c r="E450" s="14" t="s">
        <v>43</v>
      </c>
      <c r="F450" s="14">
        <v>28</v>
      </c>
      <c r="G450" s="14" t="s">
        <v>67</v>
      </c>
      <c r="H450" s="14" t="s">
        <v>68</v>
      </c>
      <c r="I450" s="14" t="s">
        <v>67</v>
      </c>
      <c r="J450" s="14" t="s">
        <v>53</v>
      </c>
      <c r="K450" s="14">
        <v>4</v>
      </c>
      <c r="L450" s="14">
        <v>22851</v>
      </c>
      <c r="M450" s="14">
        <v>20</v>
      </c>
      <c r="N450" s="14">
        <v>18280.8</v>
      </c>
      <c r="O450" s="14">
        <v>13162.18</v>
      </c>
      <c r="P450" s="14">
        <v>359</v>
      </c>
      <c r="Q450" s="14">
        <f t="shared" si="6"/>
        <v>86285.38</v>
      </c>
      <c r="R450" s="14">
        <v>86644.38</v>
      </c>
      <c r="S450" s="14" t="s">
        <v>45</v>
      </c>
      <c r="T450" s="14" t="s">
        <v>34</v>
      </c>
      <c r="U450" s="14" t="s">
        <v>84</v>
      </c>
      <c r="V450" s="14" t="s">
        <v>85</v>
      </c>
      <c r="W450" s="14" t="s">
        <v>86</v>
      </c>
      <c r="X450" s="14">
        <v>7</v>
      </c>
      <c r="Y450" s="14" t="s">
        <v>47</v>
      </c>
      <c r="Z450" s="14">
        <v>3</v>
      </c>
      <c r="AA450" s="14" t="s">
        <v>47</v>
      </c>
    </row>
    <row r="451" spans="1:27" x14ac:dyDescent="0.35">
      <c r="A451" s="14" t="s">
        <v>897</v>
      </c>
      <c r="B451" s="15">
        <v>45761</v>
      </c>
      <c r="C451" s="14" t="s">
        <v>898</v>
      </c>
      <c r="D451" s="14" t="s">
        <v>28</v>
      </c>
      <c r="E451" s="14" t="s">
        <v>29</v>
      </c>
      <c r="F451" s="14">
        <v>36</v>
      </c>
      <c r="G451" s="14" t="s">
        <v>134</v>
      </c>
      <c r="H451" s="14" t="s">
        <v>31</v>
      </c>
      <c r="I451" s="14" t="s">
        <v>134</v>
      </c>
      <c r="J451" s="14" t="s">
        <v>69</v>
      </c>
      <c r="K451" s="14">
        <v>1</v>
      </c>
      <c r="L451" s="14">
        <v>25609</v>
      </c>
      <c r="M451" s="14">
        <v>5</v>
      </c>
      <c r="N451" s="14">
        <v>1280.45</v>
      </c>
      <c r="O451" s="14">
        <v>4379.1400000000003</v>
      </c>
      <c r="P451" s="14">
        <v>97</v>
      </c>
      <c r="Q451" s="14">
        <f t="shared" ref="Q451:Q514" si="7">R451-P451</f>
        <v>28707.69</v>
      </c>
      <c r="R451" s="14">
        <v>28804.69</v>
      </c>
      <c r="S451" s="14" t="s">
        <v>54</v>
      </c>
      <c r="T451" s="14" t="s">
        <v>34</v>
      </c>
      <c r="U451" s="14" t="s">
        <v>70</v>
      </c>
      <c r="V451" s="14" t="s">
        <v>56</v>
      </c>
      <c r="W451" s="14" t="s">
        <v>57</v>
      </c>
      <c r="X451" s="14">
        <v>1</v>
      </c>
      <c r="Y451" s="14" t="s">
        <v>38</v>
      </c>
      <c r="Z451" s="14">
        <v>5</v>
      </c>
      <c r="AA451" s="14" t="s">
        <v>47</v>
      </c>
    </row>
    <row r="452" spans="1:27" x14ac:dyDescent="0.35">
      <c r="A452" s="14" t="s">
        <v>899</v>
      </c>
      <c r="B452" s="15">
        <v>45938</v>
      </c>
      <c r="C452" s="14" t="s">
        <v>900</v>
      </c>
      <c r="D452" s="14" t="s">
        <v>28</v>
      </c>
      <c r="E452" s="14" t="s">
        <v>43</v>
      </c>
      <c r="F452" s="14">
        <v>39</v>
      </c>
      <c r="G452" s="14" t="s">
        <v>30</v>
      </c>
      <c r="H452" s="14" t="s">
        <v>31</v>
      </c>
      <c r="I452" s="14" t="s">
        <v>30</v>
      </c>
      <c r="J452" s="14" t="s">
        <v>102</v>
      </c>
      <c r="K452" s="14">
        <v>2</v>
      </c>
      <c r="L452" s="14">
        <v>14636</v>
      </c>
      <c r="M452" s="14">
        <v>5</v>
      </c>
      <c r="N452" s="14">
        <v>1463.6</v>
      </c>
      <c r="O452" s="14">
        <v>5005.51</v>
      </c>
      <c r="P452" s="14">
        <v>189</v>
      </c>
      <c r="Q452" s="14">
        <f t="shared" si="7"/>
        <v>32813.910000000003</v>
      </c>
      <c r="R452" s="14">
        <v>33002.910000000003</v>
      </c>
      <c r="S452" s="14" t="s">
        <v>83</v>
      </c>
      <c r="T452" s="14" t="s">
        <v>63</v>
      </c>
      <c r="U452" s="14" t="s">
        <v>35</v>
      </c>
      <c r="V452" s="14" t="s">
        <v>36</v>
      </c>
      <c r="W452" s="14" t="s">
        <v>37</v>
      </c>
      <c r="X452" s="14">
        <v>2</v>
      </c>
      <c r="Y452" s="14" t="s">
        <v>38</v>
      </c>
      <c r="Z452" s="14">
        <v>4</v>
      </c>
      <c r="AA452" s="14" t="s">
        <v>47</v>
      </c>
    </row>
    <row r="453" spans="1:27" x14ac:dyDescent="0.35">
      <c r="A453" s="14" t="s">
        <v>901</v>
      </c>
      <c r="B453" s="15">
        <v>45938</v>
      </c>
      <c r="C453" s="14" t="s">
        <v>902</v>
      </c>
      <c r="D453" s="14" t="s">
        <v>66</v>
      </c>
      <c r="E453" s="14" t="s">
        <v>43</v>
      </c>
      <c r="F453" s="14">
        <v>47</v>
      </c>
      <c r="G453" s="14" t="s">
        <v>44</v>
      </c>
      <c r="H453" s="14" t="s">
        <v>31</v>
      </c>
      <c r="I453" s="14" t="s">
        <v>44</v>
      </c>
      <c r="J453" s="14" t="s">
        <v>62</v>
      </c>
      <c r="K453" s="14">
        <v>2</v>
      </c>
      <c r="L453" s="14">
        <v>38206</v>
      </c>
      <c r="M453" s="14">
        <v>0</v>
      </c>
      <c r="N453" s="14">
        <v>0</v>
      </c>
      <c r="O453" s="14">
        <v>13754.16</v>
      </c>
      <c r="P453" s="14">
        <v>460</v>
      </c>
      <c r="Q453" s="14">
        <f t="shared" si="7"/>
        <v>90166.16</v>
      </c>
      <c r="R453" s="14">
        <v>90626.16</v>
      </c>
      <c r="S453" s="14" t="s">
        <v>33</v>
      </c>
      <c r="T453" s="14" t="s">
        <v>34</v>
      </c>
      <c r="U453" s="14" t="s">
        <v>103</v>
      </c>
      <c r="V453" s="14" t="s">
        <v>103</v>
      </c>
      <c r="W453" s="14" t="s">
        <v>57</v>
      </c>
      <c r="X453" s="14">
        <v>7</v>
      </c>
      <c r="Y453" s="14" t="s">
        <v>38</v>
      </c>
      <c r="Z453" s="14">
        <v>5</v>
      </c>
      <c r="AA453" s="14" t="s">
        <v>47</v>
      </c>
    </row>
    <row r="454" spans="1:27" x14ac:dyDescent="0.35">
      <c r="A454" s="14" t="s">
        <v>903</v>
      </c>
      <c r="B454" s="15">
        <v>45831</v>
      </c>
      <c r="C454" s="14" t="s">
        <v>236</v>
      </c>
      <c r="D454" s="14" t="s">
        <v>50</v>
      </c>
      <c r="E454" s="14" t="s">
        <v>43</v>
      </c>
      <c r="F454" s="14">
        <v>52</v>
      </c>
      <c r="G454" s="14" t="s">
        <v>30</v>
      </c>
      <c r="H454" s="14" t="s">
        <v>31</v>
      </c>
      <c r="I454" s="14" t="s">
        <v>30</v>
      </c>
      <c r="J454" s="14" t="s">
        <v>62</v>
      </c>
      <c r="K454" s="14">
        <v>4</v>
      </c>
      <c r="L454" s="14">
        <v>16160</v>
      </c>
      <c r="M454" s="14">
        <v>20</v>
      </c>
      <c r="N454" s="14">
        <v>12928</v>
      </c>
      <c r="O454" s="14">
        <v>9308.16</v>
      </c>
      <c r="P454" s="14">
        <v>422</v>
      </c>
      <c r="Q454" s="14">
        <f t="shared" si="7"/>
        <v>61020.160000000003</v>
      </c>
      <c r="R454" s="14">
        <v>61442.16</v>
      </c>
      <c r="S454" s="14" t="s">
        <v>33</v>
      </c>
      <c r="T454" s="14" t="s">
        <v>63</v>
      </c>
      <c r="U454" s="14" t="s">
        <v>84</v>
      </c>
      <c r="V454" s="14" t="s">
        <v>85</v>
      </c>
      <c r="W454" s="14" t="s">
        <v>86</v>
      </c>
      <c r="X454" s="14">
        <v>5</v>
      </c>
      <c r="Y454" s="14" t="s">
        <v>38</v>
      </c>
      <c r="Z454" s="14">
        <v>1</v>
      </c>
      <c r="AA454" s="14" t="s">
        <v>58</v>
      </c>
    </row>
    <row r="455" spans="1:27" x14ac:dyDescent="0.35">
      <c r="A455" s="14" t="s">
        <v>904</v>
      </c>
      <c r="B455" s="15">
        <v>45998</v>
      </c>
      <c r="C455" s="14" t="s">
        <v>905</v>
      </c>
      <c r="D455" s="14" t="s">
        <v>108</v>
      </c>
      <c r="E455" s="14" t="s">
        <v>29</v>
      </c>
      <c r="F455" s="14">
        <v>32</v>
      </c>
      <c r="G455" s="14" t="s">
        <v>139</v>
      </c>
      <c r="H455" s="14" t="s">
        <v>31</v>
      </c>
      <c r="I455" s="14" t="s">
        <v>139</v>
      </c>
      <c r="J455" s="14" t="s">
        <v>125</v>
      </c>
      <c r="K455" s="14">
        <v>5</v>
      </c>
      <c r="L455" s="14">
        <v>31197</v>
      </c>
      <c r="M455" s="14">
        <v>15</v>
      </c>
      <c r="N455" s="14">
        <v>23397.75</v>
      </c>
      <c r="O455" s="14">
        <v>23865.7</v>
      </c>
      <c r="P455" s="14">
        <v>389</v>
      </c>
      <c r="Q455" s="14">
        <f t="shared" si="7"/>
        <v>156452.95000000001</v>
      </c>
      <c r="R455" s="14">
        <v>156841.95000000001</v>
      </c>
      <c r="S455" s="14" t="s">
        <v>33</v>
      </c>
      <c r="T455" s="14" t="s">
        <v>63</v>
      </c>
      <c r="U455" s="14" t="s">
        <v>95</v>
      </c>
      <c r="V455" s="14" t="s">
        <v>96</v>
      </c>
      <c r="W455" s="14" t="s">
        <v>57</v>
      </c>
      <c r="X455" s="14">
        <v>6</v>
      </c>
      <c r="Y455" s="14" t="s">
        <v>38</v>
      </c>
      <c r="Z455" s="14">
        <v>2</v>
      </c>
      <c r="AA455" s="14" t="s">
        <v>39</v>
      </c>
    </row>
    <row r="456" spans="1:27" x14ac:dyDescent="0.35">
      <c r="A456" s="14" t="s">
        <v>906</v>
      </c>
      <c r="B456" s="15">
        <v>45911</v>
      </c>
      <c r="C456" s="14" t="s">
        <v>907</v>
      </c>
      <c r="D456" s="14" t="s">
        <v>108</v>
      </c>
      <c r="E456" s="14" t="s">
        <v>29</v>
      </c>
      <c r="F456" s="14">
        <v>29</v>
      </c>
      <c r="G456" s="14" t="s">
        <v>30</v>
      </c>
      <c r="H456" s="14" t="s">
        <v>31</v>
      </c>
      <c r="I456" s="14" t="s">
        <v>30</v>
      </c>
      <c r="J456" s="14" t="s">
        <v>62</v>
      </c>
      <c r="K456" s="14">
        <v>4</v>
      </c>
      <c r="L456" s="14">
        <v>10812</v>
      </c>
      <c r="M456" s="14">
        <v>0</v>
      </c>
      <c r="N456" s="14">
        <v>0</v>
      </c>
      <c r="O456" s="14">
        <v>7784.64</v>
      </c>
      <c r="P456" s="14">
        <v>76</v>
      </c>
      <c r="Q456" s="14">
        <f t="shared" si="7"/>
        <v>51032.639999999999</v>
      </c>
      <c r="R456" s="14">
        <v>51108.639999999999</v>
      </c>
      <c r="S456" s="14" t="s">
        <v>33</v>
      </c>
      <c r="T456" s="14" t="s">
        <v>34</v>
      </c>
      <c r="U456" s="14" t="s">
        <v>103</v>
      </c>
      <c r="V456" s="14" t="s">
        <v>103</v>
      </c>
      <c r="W456" s="14" t="s">
        <v>57</v>
      </c>
      <c r="X456" s="14">
        <v>6</v>
      </c>
      <c r="Y456" s="14" t="s">
        <v>47</v>
      </c>
      <c r="Z456" s="14">
        <v>3</v>
      </c>
      <c r="AA456" s="14" t="s">
        <v>58</v>
      </c>
    </row>
    <row r="457" spans="1:27" x14ac:dyDescent="0.35">
      <c r="A457" s="14" t="s">
        <v>908</v>
      </c>
      <c r="B457" s="15">
        <v>46057</v>
      </c>
      <c r="C457" s="14" t="s">
        <v>891</v>
      </c>
      <c r="D457" s="14" t="s">
        <v>28</v>
      </c>
      <c r="E457" s="14" t="s">
        <v>29</v>
      </c>
      <c r="F457" s="14">
        <v>40</v>
      </c>
      <c r="G457" s="14" t="s">
        <v>139</v>
      </c>
      <c r="H457" s="14" t="s">
        <v>31</v>
      </c>
      <c r="I457" s="14" t="s">
        <v>139</v>
      </c>
      <c r="J457" s="14" t="s">
        <v>202</v>
      </c>
      <c r="K457" s="14">
        <v>1</v>
      </c>
      <c r="L457" s="14">
        <v>13238</v>
      </c>
      <c r="M457" s="14">
        <v>20</v>
      </c>
      <c r="N457" s="14">
        <v>2647.6</v>
      </c>
      <c r="O457" s="14">
        <v>1906.27</v>
      </c>
      <c r="P457" s="14">
        <v>33</v>
      </c>
      <c r="Q457" s="14">
        <f t="shared" si="7"/>
        <v>12496.67</v>
      </c>
      <c r="R457" s="14">
        <v>12529.67</v>
      </c>
      <c r="S457" s="14" t="s">
        <v>33</v>
      </c>
      <c r="T457" s="14" t="s">
        <v>63</v>
      </c>
      <c r="U457" s="14" t="s">
        <v>84</v>
      </c>
      <c r="V457" s="14" t="s">
        <v>85</v>
      </c>
      <c r="W457" s="14" t="s">
        <v>86</v>
      </c>
      <c r="X457" s="14">
        <v>7</v>
      </c>
      <c r="Y457" s="14" t="s">
        <v>47</v>
      </c>
      <c r="Z457" s="14">
        <v>1</v>
      </c>
      <c r="AA457" s="14" t="s">
        <v>58</v>
      </c>
    </row>
    <row r="458" spans="1:27" x14ac:dyDescent="0.35">
      <c r="A458" s="14" t="s">
        <v>909</v>
      </c>
      <c r="B458" s="15">
        <v>46047</v>
      </c>
      <c r="C458" s="14" t="s">
        <v>910</v>
      </c>
      <c r="D458" s="14" t="s">
        <v>80</v>
      </c>
      <c r="E458" s="14" t="s">
        <v>43</v>
      </c>
      <c r="F458" s="14">
        <v>44</v>
      </c>
      <c r="G458" s="14" t="s">
        <v>94</v>
      </c>
      <c r="H458" s="14" t="s">
        <v>31</v>
      </c>
      <c r="I458" s="14" t="s">
        <v>94</v>
      </c>
      <c r="J458" s="14" t="s">
        <v>69</v>
      </c>
      <c r="K458" s="14">
        <v>2</v>
      </c>
      <c r="L458" s="14">
        <v>19330</v>
      </c>
      <c r="M458" s="14">
        <v>5</v>
      </c>
      <c r="N458" s="14">
        <v>1933</v>
      </c>
      <c r="O458" s="14">
        <v>6610.86</v>
      </c>
      <c r="P458" s="14">
        <v>455</v>
      </c>
      <c r="Q458" s="14">
        <f t="shared" si="7"/>
        <v>43337.86</v>
      </c>
      <c r="R458" s="14">
        <v>43792.86</v>
      </c>
      <c r="S458" s="14" t="s">
        <v>83</v>
      </c>
      <c r="T458" s="14" t="s">
        <v>34</v>
      </c>
      <c r="U458" s="14" t="s">
        <v>95</v>
      </c>
      <c r="V458" s="14" t="s">
        <v>96</v>
      </c>
      <c r="W458" s="14" t="s">
        <v>57</v>
      </c>
      <c r="X458" s="14">
        <v>10</v>
      </c>
      <c r="Y458" s="14" t="s">
        <v>47</v>
      </c>
      <c r="Z458" s="14">
        <v>3</v>
      </c>
      <c r="AA458" s="14" t="s">
        <v>39</v>
      </c>
    </row>
    <row r="459" spans="1:27" x14ac:dyDescent="0.35">
      <c r="A459" s="14" t="s">
        <v>911</v>
      </c>
      <c r="B459" s="15">
        <v>45810</v>
      </c>
      <c r="C459" s="14" t="s">
        <v>912</v>
      </c>
      <c r="D459" s="14" t="s">
        <v>89</v>
      </c>
      <c r="E459" s="14" t="s">
        <v>29</v>
      </c>
      <c r="F459" s="14">
        <v>26</v>
      </c>
      <c r="G459" s="14" t="s">
        <v>74</v>
      </c>
      <c r="H459" s="14" t="s">
        <v>31</v>
      </c>
      <c r="I459" s="14" t="s">
        <v>74</v>
      </c>
      <c r="J459" s="14" t="s">
        <v>53</v>
      </c>
      <c r="K459" s="14">
        <v>5</v>
      </c>
      <c r="L459" s="14">
        <v>36209</v>
      </c>
      <c r="M459" s="14">
        <v>10</v>
      </c>
      <c r="N459" s="14">
        <v>18104.5</v>
      </c>
      <c r="O459" s="14">
        <v>29329.29</v>
      </c>
      <c r="P459" s="14">
        <v>361</v>
      </c>
      <c r="Q459" s="14">
        <f t="shared" si="7"/>
        <v>192269.79</v>
      </c>
      <c r="R459" s="14">
        <v>192630.79</v>
      </c>
      <c r="S459" s="14" t="s">
        <v>45</v>
      </c>
      <c r="T459" s="14" t="s">
        <v>63</v>
      </c>
      <c r="U459" s="14" t="s">
        <v>76</v>
      </c>
      <c r="V459" s="14" t="s">
        <v>77</v>
      </c>
      <c r="W459" s="14" t="s">
        <v>57</v>
      </c>
      <c r="X459" s="14">
        <v>3</v>
      </c>
      <c r="Y459" s="14" t="s">
        <v>38</v>
      </c>
      <c r="Z459" s="14">
        <v>3</v>
      </c>
      <c r="AA459" s="14" t="s">
        <v>91</v>
      </c>
    </row>
    <row r="460" spans="1:27" x14ac:dyDescent="0.35">
      <c r="A460" s="14" t="s">
        <v>913</v>
      </c>
      <c r="B460" s="15">
        <v>45970</v>
      </c>
      <c r="C460" s="14" t="s">
        <v>914</v>
      </c>
      <c r="D460" s="14" t="s">
        <v>28</v>
      </c>
      <c r="E460" s="14" t="s">
        <v>43</v>
      </c>
      <c r="F460" s="14">
        <v>48</v>
      </c>
      <c r="G460" s="14" t="s">
        <v>51</v>
      </c>
      <c r="H460" s="14" t="s">
        <v>52</v>
      </c>
      <c r="I460" s="14" t="s">
        <v>51</v>
      </c>
      <c r="J460" s="14" t="s">
        <v>75</v>
      </c>
      <c r="K460" s="14">
        <v>1</v>
      </c>
      <c r="L460" s="14">
        <v>29971</v>
      </c>
      <c r="M460" s="14">
        <v>10</v>
      </c>
      <c r="N460" s="14">
        <v>2997.1</v>
      </c>
      <c r="O460" s="14">
        <v>4855.3</v>
      </c>
      <c r="P460" s="14">
        <v>401</v>
      </c>
      <c r="Q460" s="14">
        <f t="shared" si="7"/>
        <v>31829.200000000001</v>
      </c>
      <c r="R460" s="14">
        <v>32230.2</v>
      </c>
      <c r="S460" s="14" t="s">
        <v>83</v>
      </c>
      <c r="T460" s="14" t="s">
        <v>63</v>
      </c>
      <c r="U460" s="14" t="s">
        <v>35</v>
      </c>
      <c r="V460" s="14" t="s">
        <v>36</v>
      </c>
      <c r="W460" s="14" t="s">
        <v>37</v>
      </c>
      <c r="X460" s="14">
        <v>3</v>
      </c>
      <c r="Y460" s="14" t="s">
        <v>47</v>
      </c>
      <c r="Z460" s="14">
        <v>5</v>
      </c>
      <c r="AA460" s="14" t="s">
        <v>91</v>
      </c>
    </row>
    <row r="461" spans="1:27" x14ac:dyDescent="0.35">
      <c r="A461" s="14" t="s">
        <v>915</v>
      </c>
      <c r="B461" s="15">
        <v>45903</v>
      </c>
      <c r="C461" s="14" t="s">
        <v>916</v>
      </c>
      <c r="D461" s="14" t="s">
        <v>108</v>
      </c>
      <c r="E461" s="14" t="s">
        <v>43</v>
      </c>
      <c r="F461" s="14">
        <v>24</v>
      </c>
      <c r="G461" s="14" t="s">
        <v>139</v>
      </c>
      <c r="H461" s="14" t="s">
        <v>31</v>
      </c>
      <c r="I461" s="14" t="s">
        <v>139</v>
      </c>
      <c r="J461" s="14" t="s">
        <v>69</v>
      </c>
      <c r="K461" s="14">
        <v>2</v>
      </c>
      <c r="L461" s="14">
        <v>32711</v>
      </c>
      <c r="M461" s="14">
        <v>10</v>
      </c>
      <c r="N461" s="14">
        <v>6542.2</v>
      </c>
      <c r="O461" s="14">
        <v>10598.36</v>
      </c>
      <c r="P461" s="14">
        <v>374</v>
      </c>
      <c r="Q461" s="14">
        <f t="shared" si="7"/>
        <v>69478.16</v>
      </c>
      <c r="R461" s="14">
        <v>69852.160000000003</v>
      </c>
      <c r="S461" s="14" t="s">
        <v>54</v>
      </c>
      <c r="T461" s="14" t="s">
        <v>63</v>
      </c>
      <c r="U461" s="14" t="s">
        <v>95</v>
      </c>
      <c r="V461" s="14" t="s">
        <v>96</v>
      </c>
      <c r="W461" s="14" t="s">
        <v>57</v>
      </c>
      <c r="X461" s="14">
        <v>9</v>
      </c>
      <c r="Y461" s="14" t="s">
        <v>47</v>
      </c>
      <c r="Z461" s="14">
        <v>5</v>
      </c>
      <c r="AA461" s="14" t="s">
        <v>58</v>
      </c>
    </row>
    <row r="462" spans="1:27" x14ac:dyDescent="0.35">
      <c r="A462" s="14" t="s">
        <v>917</v>
      </c>
      <c r="B462" s="15">
        <v>45904</v>
      </c>
      <c r="C462" s="14" t="s">
        <v>918</v>
      </c>
      <c r="D462" s="14" t="s">
        <v>108</v>
      </c>
      <c r="E462" s="14" t="s">
        <v>29</v>
      </c>
      <c r="F462" s="14">
        <v>38</v>
      </c>
      <c r="G462" s="14" t="s">
        <v>139</v>
      </c>
      <c r="H462" s="14" t="s">
        <v>31</v>
      </c>
      <c r="I462" s="14" t="s">
        <v>139</v>
      </c>
      <c r="J462" s="14" t="s">
        <v>62</v>
      </c>
      <c r="K462" s="14">
        <v>2</v>
      </c>
      <c r="L462" s="14">
        <v>8328</v>
      </c>
      <c r="M462" s="14">
        <v>5</v>
      </c>
      <c r="N462" s="14">
        <v>832.8</v>
      </c>
      <c r="O462" s="14">
        <v>2848.18</v>
      </c>
      <c r="P462" s="14">
        <v>251</v>
      </c>
      <c r="Q462" s="14">
        <f t="shared" si="7"/>
        <v>18671.38</v>
      </c>
      <c r="R462" s="14">
        <v>18922.38</v>
      </c>
      <c r="S462" s="14" t="s">
        <v>33</v>
      </c>
      <c r="T462" s="14" t="s">
        <v>63</v>
      </c>
      <c r="U462" s="14" t="s">
        <v>84</v>
      </c>
      <c r="V462" s="14" t="s">
        <v>85</v>
      </c>
      <c r="W462" s="14" t="s">
        <v>86</v>
      </c>
      <c r="X462" s="14">
        <v>3</v>
      </c>
      <c r="Y462" s="14" t="s">
        <v>47</v>
      </c>
      <c r="Z462" s="14">
        <v>3</v>
      </c>
      <c r="AA462" s="14" t="s">
        <v>91</v>
      </c>
    </row>
    <row r="463" spans="1:27" x14ac:dyDescent="0.35">
      <c r="A463" s="14" t="s">
        <v>919</v>
      </c>
      <c r="B463" s="15">
        <v>46049</v>
      </c>
      <c r="C463" s="14" t="s">
        <v>920</v>
      </c>
      <c r="D463" s="14" t="s">
        <v>66</v>
      </c>
      <c r="E463" s="14" t="s">
        <v>29</v>
      </c>
      <c r="F463" s="14">
        <v>31</v>
      </c>
      <c r="G463" s="14" t="s">
        <v>94</v>
      </c>
      <c r="H463" s="14" t="s">
        <v>31</v>
      </c>
      <c r="I463" s="14" t="s">
        <v>94</v>
      </c>
      <c r="J463" s="14" t="s">
        <v>202</v>
      </c>
      <c r="K463" s="14">
        <v>4</v>
      </c>
      <c r="L463" s="14">
        <v>35256</v>
      </c>
      <c r="M463" s="14">
        <v>10</v>
      </c>
      <c r="N463" s="14">
        <v>14102.4</v>
      </c>
      <c r="O463" s="14">
        <v>22845.89</v>
      </c>
      <c r="P463" s="14">
        <v>104</v>
      </c>
      <c r="Q463" s="14">
        <f t="shared" si="7"/>
        <v>149767.49</v>
      </c>
      <c r="R463" s="14">
        <v>149871.49</v>
      </c>
      <c r="S463" s="14" t="s">
        <v>83</v>
      </c>
      <c r="T463" s="14" t="s">
        <v>63</v>
      </c>
      <c r="U463" s="14" t="s">
        <v>70</v>
      </c>
      <c r="V463" s="14" t="s">
        <v>56</v>
      </c>
      <c r="W463" s="14" t="s">
        <v>57</v>
      </c>
      <c r="X463" s="14">
        <v>9</v>
      </c>
      <c r="Y463" s="14" t="s">
        <v>47</v>
      </c>
      <c r="Z463" s="14">
        <v>5</v>
      </c>
      <c r="AA463" s="14" t="s">
        <v>47</v>
      </c>
    </row>
    <row r="464" spans="1:27" x14ac:dyDescent="0.35">
      <c r="A464" s="14" t="s">
        <v>921</v>
      </c>
      <c r="B464" s="15">
        <v>45878</v>
      </c>
      <c r="C464" s="14" t="s">
        <v>922</v>
      </c>
      <c r="D464" s="14" t="s">
        <v>80</v>
      </c>
      <c r="E464" s="14" t="s">
        <v>43</v>
      </c>
      <c r="F464" s="14">
        <v>28</v>
      </c>
      <c r="G464" s="14" t="s">
        <v>30</v>
      </c>
      <c r="H464" s="14" t="s">
        <v>31</v>
      </c>
      <c r="I464" s="14" t="s">
        <v>30</v>
      </c>
      <c r="J464" s="14" t="s">
        <v>69</v>
      </c>
      <c r="K464" s="14">
        <v>2</v>
      </c>
      <c r="L464" s="14">
        <v>45154</v>
      </c>
      <c r="M464" s="14">
        <v>20</v>
      </c>
      <c r="N464" s="14">
        <v>18061.599999999999</v>
      </c>
      <c r="O464" s="14">
        <v>13004.35</v>
      </c>
      <c r="P464" s="14">
        <v>214</v>
      </c>
      <c r="Q464" s="14">
        <f t="shared" si="7"/>
        <v>85250.75</v>
      </c>
      <c r="R464" s="14">
        <v>85464.75</v>
      </c>
      <c r="S464" s="14" t="s">
        <v>83</v>
      </c>
      <c r="T464" s="14" t="s">
        <v>34</v>
      </c>
      <c r="U464" s="14" t="s">
        <v>35</v>
      </c>
      <c r="V464" s="14" t="s">
        <v>36</v>
      </c>
      <c r="W464" s="14" t="s">
        <v>37</v>
      </c>
      <c r="X464" s="14">
        <v>6</v>
      </c>
      <c r="Y464" s="14" t="s">
        <v>38</v>
      </c>
      <c r="Z464" s="14">
        <v>3</v>
      </c>
      <c r="AA464" s="14" t="s">
        <v>39</v>
      </c>
    </row>
    <row r="465" spans="1:27" x14ac:dyDescent="0.35">
      <c r="A465" s="14" t="s">
        <v>923</v>
      </c>
      <c r="B465" s="15">
        <v>45828</v>
      </c>
      <c r="C465" s="14" t="s">
        <v>714</v>
      </c>
      <c r="D465" s="14" t="s">
        <v>89</v>
      </c>
      <c r="E465" s="14" t="s">
        <v>29</v>
      </c>
      <c r="F465" s="14">
        <v>41</v>
      </c>
      <c r="G465" s="14" t="s">
        <v>30</v>
      </c>
      <c r="H465" s="14" t="s">
        <v>31</v>
      </c>
      <c r="I465" s="14" t="s">
        <v>30</v>
      </c>
      <c r="J465" s="14" t="s">
        <v>53</v>
      </c>
      <c r="K465" s="14">
        <v>4</v>
      </c>
      <c r="L465" s="14">
        <v>12691</v>
      </c>
      <c r="M465" s="14">
        <v>5</v>
      </c>
      <c r="N465" s="14">
        <v>2538.1999999999998</v>
      </c>
      <c r="O465" s="14">
        <v>8680.64</v>
      </c>
      <c r="P465" s="14">
        <v>366</v>
      </c>
      <c r="Q465" s="14">
        <f t="shared" si="7"/>
        <v>56906.44</v>
      </c>
      <c r="R465" s="14">
        <v>57272.44</v>
      </c>
      <c r="S465" s="14" t="s">
        <v>45</v>
      </c>
      <c r="T465" s="14" t="s">
        <v>63</v>
      </c>
      <c r="U465" s="14" t="s">
        <v>84</v>
      </c>
      <c r="V465" s="14" t="s">
        <v>85</v>
      </c>
      <c r="W465" s="14" t="s">
        <v>86</v>
      </c>
      <c r="X465" s="14">
        <v>3</v>
      </c>
      <c r="Y465" s="14" t="s">
        <v>47</v>
      </c>
      <c r="Z465" s="14">
        <v>4</v>
      </c>
      <c r="AA465" s="14" t="s">
        <v>91</v>
      </c>
    </row>
    <row r="466" spans="1:27" x14ac:dyDescent="0.35">
      <c r="A466" s="14" t="s">
        <v>924</v>
      </c>
      <c r="B466" s="15">
        <v>45804</v>
      </c>
      <c r="C466" s="14" t="s">
        <v>510</v>
      </c>
      <c r="D466" s="14" t="s">
        <v>28</v>
      </c>
      <c r="E466" s="14" t="s">
        <v>29</v>
      </c>
      <c r="F466" s="14">
        <v>57</v>
      </c>
      <c r="G466" s="14" t="s">
        <v>51</v>
      </c>
      <c r="H466" s="14" t="s">
        <v>52</v>
      </c>
      <c r="I466" s="14" t="s">
        <v>51</v>
      </c>
      <c r="J466" s="14" t="s">
        <v>150</v>
      </c>
      <c r="K466" s="14">
        <v>1</v>
      </c>
      <c r="L466" s="14">
        <v>34542</v>
      </c>
      <c r="M466" s="14">
        <v>20</v>
      </c>
      <c r="N466" s="14">
        <v>6908.4</v>
      </c>
      <c r="O466" s="14">
        <v>4974.05</v>
      </c>
      <c r="P466" s="14">
        <v>179</v>
      </c>
      <c r="Q466" s="14">
        <f t="shared" si="7"/>
        <v>32607.65</v>
      </c>
      <c r="R466" s="14">
        <v>32786.65</v>
      </c>
      <c r="S466" s="14" t="s">
        <v>83</v>
      </c>
      <c r="T466" s="14" t="s">
        <v>63</v>
      </c>
      <c r="U466" s="14" t="s">
        <v>76</v>
      </c>
      <c r="V466" s="14" t="s">
        <v>77</v>
      </c>
      <c r="W466" s="14" t="s">
        <v>57</v>
      </c>
      <c r="X466" s="14">
        <v>8</v>
      </c>
      <c r="Y466" s="14" t="s">
        <v>38</v>
      </c>
      <c r="Z466" s="14">
        <v>2</v>
      </c>
      <c r="AA466" s="14" t="s">
        <v>58</v>
      </c>
    </row>
    <row r="467" spans="1:27" x14ac:dyDescent="0.35">
      <c r="A467" s="14" t="s">
        <v>925</v>
      </c>
      <c r="B467" s="15">
        <v>46017</v>
      </c>
      <c r="C467" s="14" t="s">
        <v>926</v>
      </c>
      <c r="D467" s="14" t="s">
        <v>89</v>
      </c>
      <c r="E467" s="14" t="s">
        <v>43</v>
      </c>
      <c r="F467" s="14">
        <v>21</v>
      </c>
      <c r="G467" s="14" t="s">
        <v>139</v>
      </c>
      <c r="H467" s="14" t="s">
        <v>31</v>
      </c>
      <c r="I467" s="14" t="s">
        <v>139</v>
      </c>
      <c r="J467" s="14" t="s">
        <v>75</v>
      </c>
      <c r="K467" s="14">
        <v>2</v>
      </c>
      <c r="L467" s="14">
        <v>43091</v>
      </c>
      <c r="M467" s="14">
        <v>5</v>
      </c>
      <c r="N467" s="14">
        <v>4309.1000000000004</v>
      </c>
      <c r="O467" s="14">
        <v>14737.12</v>
      </c>
      <c r="P467" s="14">
        <v>410</v>
      </c>
      <c r="Q467" s="14">
        <f t="shared" si="7"/>
        <v>96610.02</v>
      </c>
      <c r="R467" s="14">
        <v>97020.02</v>
      </c>
      <c r="S467" s="14" t="s">
        <v>45</v>
      </c>
      <c r="T467" s="14" t="s">
        <v>63</v>
      </c>
      <c r="U467" s="14" t="s">
        <v>46</v>
      </c>
      <c r="V467" s="14" t="s">
        <v>36</v>
      </c>
      <c r="W467" s="14" t="s">
        <v>37</v>
      </c>
      <c r="X467" s="14">
        <v>1</v>
      </c>
      <c r="Y467" s="14" t="s">
        <v>47</v>
      </c>
      <c r="Z467" s="14">
        <v>2</v>
      </c>
      <c r="AA467" s="14" t="s">
        <v>91</v>
      </c>
    </row>
    <row r="468" spans="1:27" x14ac:dyDescent="0.35">
      <c r="A468" s="14" t="s">
        <v>927</v>
      </c>
      <c r="B468" s="15">
        <v>46018</v>
      </c>
      <c r="C468" s="14" t="s">
        <v>747</v>
      </c>
      <c r="D468" s="14" t="s">
        <v>28</v>
      </c>
      <c r="E468" s="14" t="s">
        <v>29</v>
      </c>
      <c r="F468" s="14">
        <v>53</v>
      </c>
      <c r="G468" s="14" t="s">
        <v>99</v>
      </c>
      <c r="H468" s="14" t="s">
        <v>52</v>
      </c>
      <c r="I468" s="14" t="s">
        <v>99</v>
      </c>
      <c r="J468" s="14" t="s">
        <v>53</v>
      </c>
      <c r="K468" s="14">
        <v>4</v>
      </c>
      <c r="L468" s="14">
        <v>8212</v>
      </c>
      <c r="M468" s="14">
        <v>5</v>
      </c>
      <c r="N468" s="14">
        <v>1642.4</v>
      </c>
      <c r="O468" s="14">
        <v>5617.01</v>
      </c>
      <c r="P468" s="14">
        <v>456</v>
      </c>
      <c r="Q468" s="14">
        <f t="shared" si="7"/>
        <v>36822.61</v>
      </c>
      <c r="R468" s="14">
        <v>37278.61</v>
      </c>
      <c r="S468" s="14" t="s">
        <v>83</v>
      </c>
      <c r="T468" s="14" t="s">
        <v>34</v>
      </c>
      <c r="U468" s="14" t="s">
        <v>70</v>
      </c>
      <c r="V468" s="14" t="s">
        <v>56</v>
      </c>
      <c r="W468" s="14" t="s">
        <v>57</v>
      </c>
      <c r="X468" s="14">
        <v>5</v>
      </c>
      <c r="Y468" s="14" t="s">
        <v>47</v>
      </c>
      <c r="Z468" s="14">
        <v>2</v>
      </c>
      <c r="AA468" s="14" t="s">
        <v>39</v>
      </c>
    </row>
    <row r="469" spans="1:27" x14ac:dyDescent="0.35">
      <c r="A469" s="14" t="s">
        <v>928</v>
      </c>
      <c r="B469" s="15">
        <v>45900</v>
      </c>
      <c r="C469" s="14" t="s">
        <v>929</v>
      </c>
      <c r="D469" s="14" t="s">
        <v>61</v>
      </c>
      <c r="E469" s="14" t="s">
        <v>29</v>
      </c>
      <c r="F469" s="14">
        <v>41</v>
      </c>
      <c r="G469" s="14" t="s">
        <v>99</v>
      </c>
      <c r="H469" s="14" t="s">
        <v>52</v>
      </c>
      <c r="I469" s="14" t="s">
        <v>99</v>
      </c>
      <c r="J469" s="14" t="s">
        <v>32</v>
      </c>
      <c r="K469" s="14">
        <v>2</v>
      </c>
      <c r="L469" s="14">
        <v>20842</v>
      </c>
      <c r="M469" s="14">
        <v>5</v>
      </c>
      <c r="N469" s="14">
        <v>2084.1999999999998</v>
      </c>
      <c r="O469" s="14">
        <v>7127.96</v>
      </c>
      <c r="P469" s="14">
        <v>476</v>
      </c>
      <c r="Q469" s="14">
        <f t="shared" si="7"/>
        <v>46727.76</v>
      </c>
      <c r="R469" s="14">
        <v>47203.76</v>
      </c>
      <c r="S469" s="14" t="s">
        <v>83</v>
      </c>
      <c r="T469" s="14" t="s">
        <v>34</v>
      </c>
      <c r="U469" s="14" t="s">
        <v>76</v>
      </c>
      <c r="V469" s="14" t="s">
        <v>77</v>
      </c>
      <c r="W469" s="14" t="s">
        <v>57</v>
      </c>
      <c r="X469" s="14">
        <v>6</v>
      </c>
      <c r="Y469" s="14" t="s">
        <v>38</v>
      </c>
      <c r="Z469" s="14">
        <v>5</v>
      </c>
      <c r="AA469" s="14" t="s">
        <v>39</v>
      </c>
    </row>
    <row r="470" spans="1:27" x14ac:dyDescent="0.35">
      <c r="A470" s="14" t="s">
        <v>930</v>
      </c>
      <c r="B470" s="15">
        <v>46020</v>
      </c>
      <c r="C470" s="14" t="s">
        <v>127</v>
      </c>
      <c r="D470" s="14" t="s">
        <v>73</v>
      </c>
      <c r="E470" s="14" t="s">
        <v>29</v>
      </c>
      <c r="F470" s="14">
        <v>24</v>
      </c>
      <c r="G470" s="14" t="s">
        <v>44</v>
      </c>
      <c r="H470" s="14" t="s">
        <v>31</v>
      </c>
      <c r="I470" s="14" t="s">
        <v>44</v>
      </c>
      <c r="J470" s="14" t="s">
        <v>53</v>
      </c>
      <c r="K470" s="14">
        <v>1</v>
      </c>
      <c r="L470" s="14">
        <v>47724</v>
      </c>
      <c r="M470" s="14">
        <v>0</v>
      </c>
      <c r="N470" s="14">
        <v>0</v>
      </c>
      <c r="O470" s="14">
        <v>8590.32</v>
      </c>
      <c r="P470" s="14">
        <v>1</v>
      </c>
      <c r="Q470" s="14">
        <f t="shared" si="7"/>
        <v>56314.32</v>
      </c>
      <c r="R470" s="14">
        <v>56315.32</v>
      </c>
      <c r="S470" s="14" t="s">
        <v>33</v>
      </c>
      <c r="T470" s="14" t="s">
        <v>63</v>
      </c>
      <c r="U470" s="14" t="s">
        <v>103</v>
      </c>
      <c r="V470" s="14" t="s">
        <v>103</v>
      </c>
      <c r="W470" s="14" t="s">
        <v>57</v>
      </c>
      <c r="X470" s="14">
        <v>9</v>
      </c>
      <c r="Y470" s="14" t="s">
        <v>47</v>
      </c>
      <c r="Z470" s="14">
        <v>5</v>
      </c>
      <c r="AA470" s="14" t="s">
        <v>47</v>
      </c>
    </row>
    <row r="471" spans="1:27" x14ac:dyDescent="0.35">
      <c r="A471" s="14" t="s">
        <v>931</v>
      </c>
      <c r="B471" s="15">
        <v>45924</v>
      </c>
      <c r="C471" s="14" t="s">
        <v>315</v>
      </c>
      <c r="D471" s="14" t="s">
        <v>28</v>
      </c>
      <c r="E471" s="14" t="s">
        <v>29</v>
      </c>
      <c r="F471" s="14">
        <v>40</v>
      </c>
      <c r="G471" s="14" t="s">
        <v>90</v>
      </c>
      <c r="H471" s="14" t="s">
        <v>31</v>
      </c>
      <c r="I471" s="14" t="s">
        <v>90</v>
      </c>
      <c r="J471" s="14" t="s">
        <v>125</v>
      </c>
      <c r="K471" s="14">
        <v>4</v>
      </c>
      <c r="L471" s="14">
        <v>10839</v>
      </c>
      <c r="M471" s="14">
        <v>0</v>
      </c>
      <c r="N471" s="14">
        <v>0</v>
      </c>
      <c r="O471" s="14">
        <v>7804.08</v>
      </c>
      <c r="P471" s="14">
        <v>263</v>
      </c>
      <c r="Q471" s="14">
        <f t="shared" si="7"/>
        <v>51160.08</v>
      </c>
      <c r="R471" s="14">
        <v>51423.08</v>
      </c>
      <c r="S471" s="14" t="s">
        <v>83</v>
      </c>
      <c r="T471" s="14" t="s">
        <v>63</v>
      </c>
      <c r="U471" s="14" t="s">
        <v>70</v>
      </c>
      <c r="V471" s="14" t="s">
        <v>56</v>
      </c>
      <c r="W471" s="14" t="s">
        <v>57</v>
      </c>
      <c r="X471" s="14">
        <v>10</v>
      </c>
      <c r="Y471" s="14" t="s">
        <v>47</v>
      </c>
      <c r="Z471" s="14">
        <v>2</v>
      </c>
      <c r="AA471" s="14" t="s">
        <v>39</v>
      </c>
    </row>
    <row r="472" spans="1:27" x14ac:dyDescent="0.35">
      <c r="A472" s="14" t="s">
        <v>932</v>
      </c>
      <c r="B472" s="15">
        <v>45940</v>
      </c>
      <c r="C472" s="14" t="s">
        <v>492</v>
      </c>
      <c r="D472" s="14" t="s">
        <v>80</v>
      </c>
      <c r="E472" s="14" t="s">
        <v>29</v>
      </c>
      <c r="F472" s="14">
        <v>59</v>
      </c>
      <c r="G472" s="14" t="s">
        <v>30</v>
      </c>
      <c r="H472" s="14" t="s">
        <v>31</v>
      </c>
      <c r="I472" s="14" t="s">
        <v>30</v>
      </c>
      <c r="J472" s="14" t="s">
        <v>69</v>
      </c>
      <c r="K472" s="14">
        <v>3</v>
      </c>
      <c r="L472" s="14">
        <v>26534</v>
      </c>
      <c r="M472" s="14">
        <v>20</v>
      </c>
      <c r="N472" s="14">
        <v>15920.4</v>
      </c>
      <c r="O472" s="14">
        <v>11462.69</v>
      </c>
      <c r="P472" s="14">
        <v>204</v>
      </c>
      <c r="Q472" s="14">
        <f t="shared" si="7"/>
        <v>75144.289999999994</v>
      </c>
      <c r="R472" s="14">
        <v>75348.289999999994</v>
      </c>
      <c r="S472" s="14" t="s">
        <v>45</v>
      </c>
      <c r="T472" s="14" t="s">
        <v>34</v>
      </c>
      <c r="U472" s="14" t="s">
        <v>70</v>
      </c>
      <c r="V472" s="14" t="s">
        <v>56</v>
      </c>
      <c r="W472" s="14" t="s">
        <v>57</v>
      </c>
      <c r="X472" s="14">
        <v>1</v>
      </c>
      <c r="Y472" s="14" t="s">
        <v>38</v>
      </c>
      <c r="Z472" s="14">
        <v>3</v>
      </c>
      <c r="AA472" s="14" t="s">
        <v>91</v>
      </c>
    </row>
    <row r="473" spans="1:27" x14ac:dyDescent="0.35">
      <c r="A473" s="14" t="s">
        <v>933</v>
      </c>
      <c r="B473" s="15">
        <v>45795</v>
      </c>
      <c r="C473" s="14" t="s">
        <v>333</v>
      </c>
      <c r="D473" s="14" t="s">
        <v>80</v>
      </c>
      <c r="E473" s="14" t="s">
        <v>29</v>
      </c>
      <c r="F473" s="14">
        <v>30</v>
      </c>
      <c r="G473" s="14" t="s">
        <v>134</v>
      </c>
      <c r="H473" s="14" t="s">
        <v>31</v>
      </c>
      <c r="I473" s="14" t="s">
        <v>134</v>
      </c>
      <c r="J473" s="14" t="s">
        <v>62</v>
      </c>
      <c r="K473" s="14">
        <v>4</v>
      </c>
      <c r="L473" s="14">
        <v>31580</v>
      </c>
      <c r="M473" s="14">
        <v>0</v>
      </c>
      <c r="N473" s="14">
        <v>0</v>
      </c>
      <c r="O473" s="14">
        <v>22737.599999999999</v>
      </c>
      <c r="P473" s="14">
        <v>323</v>
      </c>
      <c r="Q473" s="14">
        <f t="shared" si="7"/>
        <v>149057.60000000001</v>
      </c>
      <c r="R473" s="14">
        <v>149380.6</v>
      </c>
      <c r="S473" s="14" t="s">
        <v>83</v>
      </c>
      <c r="T473" s="14" t="s">
        <v>63</v>
      </c>
      <c r="U473" s="14" t="s">
        <v>35</v>
      </c>
      <c r="V473" s="14" t="s">
        <v>36</v>
      </c>
      <c r="W473" s="14" t="s">
        <v>37</v>
      </c>
      <c r="X473" s="14">
        <v>9</v>
      </c>
      <c r="Y473" s="14" t="s">
        <v>47</v>
      </c>
      <c r="Z473" s="14">
        <v>4</v>
      </c>
      <c r="AA473" s="14" t="s">
        <v>47</v>
      </c>
    </row>
    <row r="474" spans="1:27" x14ac:dyDescent="0.35">
      <c r="A474" s="14" t="s">
        <v>934</v>
      </c>
      <c r="B474" s="15">
        <v>45864</v>
      </c>
      <c r="C474" s="14" t="s">
        <v>935</v>
      </c>
      <c r="D474" s="14" t="s">
        <v>61</v>
      </c>
      <c r="E474" s="14" t="s">
        <v>43</v>
      </c>
      <c r="F474" s="14">
        <v>42</v>
      </c>
      <c r="G474" s="14" t="s">
        <v>44</v>
      </c>
      <c r="H474" s="14" t="s">
        <v>31</v>
      </c>
      <c r="I474" s="14" t="s">
        <v>44</v>
      </c>
      <c r="J474" s="14" t="s">
        <v>125</v>
      </c>
      <c r="K474" s="14">
        <v>2</v>
      </c>
      <c r="L474" s="14">
        <v>35161</v>
      </c>
      <c r="M474" s="14">
        <v>15</v>
      </c>
      <c r="N474" s="14">
        <v>10548.3</v>
      </c>
      <c r="O474" s="14">
        <v>10759.27</v>
      </c>
      <c r="P474" s="14">
        <v>349</v>
      </c>
      <c r="Q474" s="14">
        <f t="shared" si="7"/>
        <v>70532.97</v>
      </c>
      <c r="R474" s="14">
        <v>70881.97</v>
      </c>
      <c r="S474" s="14" t="s">
        <v>45</v>
      </c>
      <c r="T474" s="14" t="s">
        <v>63</v>
      </c>
      <c r="U474" s="14" t="s">
        <v>76</v>
      </c>
      <c r="V474" s="14" t="s">
        <v>77</v>
      </c>
      <c r="W474" s="14" t="s">
        <v>57</v>
      </c>
      <c r="X474" s="14">
        <v>3</v>
      </c>
      <c r="Y474" s="14" t="s">
        <v>38</v>
      </c>
      <c r="Z474" s="14">
        <v>2</v>
      </c>
      <c r="AA474" s="14" t="s">
        <v>58</v>
      </c>
    </row>
    <row r="475" spans="1:27" x14ac:dyDescent="0.35">
      <c r="A475" s="14" t="s">
        <v>936</v>
      </c>
      <c r="B475" s="15">
        <v>46034</v>
      </c>
      <c r="C475" s="14" t="s">
        <v>937</v>
      </c>
      <c r="D475" s="14" t="s">
        <v>108</v>
      </c>
      <c r="E475" s="14" t="s">
        <v>29</v>
      </c>
      <c r="F475" s="14">
        <v>46</v>
      </c>
      <c r="G475" s="14" t="s">
        <v>134</v>
      </c>
      <c r="H475" s="14" t="s">
        <v>31</v>
      </c>
      <c r="I475" s="14" t="s">
        <v>134</v>
      </c>
      <c r="J475" s="14" t="s">
        <v>75</v>
      </c>
      <c r="K475" s="14">
        <v>3</v>
      </c>
      <c r="L475" s="14">
        <v>48636</v>
      </c>
      <c r="M475" s="14">
        <v>0</v>
      </c>
      <c r="N475" s="14">
        <v>0</v>
      </c>
      <c r="O475" s="14">
        <v>26263.439999999999</v>
      </c>
      <c r="P475" s="14">
        <v>268</v>
      </c>
      <c r="Q475" s="14">
        <f t="shared" si="7"/>
        <v>172171.44</v>
      </c>
      <c r="R475" s="14">
        <v>172439.44</v>
      </c>
      <c r="S475" s="14" t="s">
        <v>54</v>
      </c>
      <c r="T475" s="14" t="s">
        <v>34</v>
      </c>
      <c r="U475" s="14" t="s">
        <v>46</v>
      </c>
      <c r="V475" s="14" t="s">
        <v>36</v>
      </c>
      <c r="W475" s="14" t="s">
        <v>37</v>
      </c>
      <c r="X475" s="14">
        <v>6</v>
      </c>
      <c r="Y475" s="14" t="s">
        <v>38</v>
      </c>
      <c r="Z475" s="14">
        <v>3</v>
      </c>
      <c r="AA475" s="14" t="s">
        <v>58</v>
      </c>
    </row>
    <row r="476" spans="1:27" x14ac:dyDescent="0.35">
      <c r="A476" s="14" t="s">
        <v>938</v>
      </c>
      <c r="B476" s="15">
        <v>46088</v>
      </c>
      <c r="C476" s="14" t="s">
        <v>939</v>
      </c>
      <c r="D476" s="14" t="s">
        <v>108</v>
      </c>
      <c r="E476" s="14" t="s">
        <v>43</v>
      </c>
      <c r="F476" s="14">
        <v>31</v>
      </c>
      <c r="G476" s="14" t="s">
        <v>67</v>
      </c>
      <c r="H476" s="14" t="s">
        <v>68</v>
      </c>
      <c r="I476" s="14" t="s">
        <v>67</v>
      </c>
      <c r="J476" s="14" t="s">
        <v>75</v>
      </c>
      <c r="K476" s="14">
        <v>2</v>
      </c>
      <c r="L476" s="14">
        <v>31744</v>
      </c>
      <c r="M476" s="14">
        <v>20</v>
      </c>
      <c r="N476" s="14">
        <v>12697.6</v>
      </c>
      <c r="O476" s="14">
        <v>9142.27</v>
      </c>
      <c r="P476" s="14">
        <v>209</v>
      </c>
      <c r="Q476" s="14">
        <f t="shared" si="7"/>
        <v>59932.67</v>
      </c>
      <c r="R476" s="14">
        <v>60141.67</v>
      </c>
      <c r="S476" s="14" t="s">
        <v>83</v>
      </c>
      <c r="T476" s="14" t="s">
        <v>34</v>
      </c>
      <c r="U476" s="14" t="s">
        <v>55</v>
      </c>
      <c r="V476" s="14" t="s">
        <v>56</v>
      </c>
      <c r="W476" s="14" t="s">
        <v>57</v>
      </c>
      <c r="X476" s="14">
        <v>7</v>
      </c>
      <c r="Y476" s="14" t="s">
        <v>38</v>
      </c>
      <c r="Z476" s="14">
        <v>5</v>
      </c>
      <c r="AA476" s="14" t="s">
        <v>91</v>
      </c>
    </row>
    <row r="477" spans="1:27" x14ac:dyDescent="0.35">
      <c r="A477" s="14" t="s">
        <v>940</v>
      </c>
      <c r="B477" s="15">
        <v>46051</v>
      </c>
      <c r="C477" s="14" t="s">
        <v>941</v>
      </c>
      <c r="D477" s="14" t="s">
        <v>61</v>
      </c>
      <c r="E477" s="14" t="s">
        <v>43</v>
      </c>
      <c r="F477" s="14">
        <v>32</v>
      </c>
      <c r="G477" s="14" t="s">
        <v>30</v>
      </c>
      <c r="H477" s="14" t="s">
        <v>31</v>
      </c>
      <c r="I477" s="14" t="s">
        <v>30</v>
      </c>
      <c r="J477" s="14" t="s">
        <v>102</v>
      </c>
      <c r="K477" s="14">
        <v>4</v>
      </c>
      <c r="L477" s="14">
        <v>31822</v>
      </c>
      <c r="M477" s="14">
        <v>0</v>
      </c>
      <c r="N477" s="14">
        <v>0</v>
      </c>
      <c r="O477" s="14">
        <v>22911.84</v>
      </c>
      <c r="P477" s="14">
        <v>60</v>
      </c>
      <c r="Q477" s="14">
        <f t="shared" si="7"/>
        <v>150199.84</v>
      </c>
      <c r="R477" s="14">
        <v>150259.84</v>
      </c>
      <c r="S477" s="14" t="s">
        <v>45</v>
      </c>
      <c r="T477" s="14" t="s">
        <v>63</v>
      </c>
      <c r="U477" s="14" t="s">
        <v>95</v>
      </c>
      <c r="V477" s="14" t="s">
        <v>96</v>
      </c>
      <c r="W477" s="14" t="s">
        <v>57</v>
      </c>
      <c r="X477" s="14">
        <v>1</v>
      </c>
      <c r="Y477" s="14" t="s">
        <v>38</v>
      </c>
      <c r="Z477" s="14">
        <v>3</v>
      </c>
      <c r="AA477" s="14" t="s">
        <v>47</v>
      </c>
    </row>
    <row r="478" spans="1:27" x14ac:dyDescent="0.35">
      <c r="A478" s="14" t="s">
        <v>942</v>
      </c>
      <c r="B478" s="15">
        <v>45832</v>
      </c>
      <c r="C478" s="14" t="s">
        <v>943</v>
      </c>
      <c r="D478" s="14" t="s">
        <v>111</v>
      </c>
      <c r="E478" s="14" t="s">
        <v>29</v>
      </c>
      <c r="F478" s="14">
        <v>33</v>
      </c>
      <c r="G478" s="14" t="s">
        <v>99</v>
      </c>
      <c r="H478" s="14" t="s">
        <v>52</v>
      </c>
      <c r="I478" s="14" t="s">
        <v>99</v>
      </c>
      <c r="J478" s="14" t="s">
        <v>53</v>
      </c>
      <c r="K478" s="14">
        <v>4</v>
      </c>
      <c r="L478" s="14">
        <v>2368</v>
      </c>
      <c r="M478" s="14">
        <v>20</v>
      </c>
      <c r="N478" s="14">
        <v>1894.4</v>
      </c>
      <c r="O478" s="14">
        <v>1363.97</v>
      </c>
      <c r="P478" s="14">
        <v>373</v>
      </c>
      <c r="Q478" s="14">
        <f t="shared" si="7"/>
        <v>8941.57</v>
      </c>
      <c r="R478" s="14">
        <v>9314.57</v>
      </c>
      <c r="S478" s="14" t="s">
        <v>45</v>
      </c>
      <c r="T478" s="14" t="s">
        <v>34</v>
      </c>
      <c r="U478" s="14" t="s">
        <v>76</v>
      </c>
      <c r="V478" s="14" t="s">
        <v>77</v>
      </c>
      <c r="W478" s="14" t="s">
        <v>57</v>
      </c>
      <c r="X478" s="14">
        <v>6</v>
      </c>
      <c r="Y478" s="14" t="s">
        <v>47</v>
      </c>
      <c r="Z478" s="14">
        <v>1</v>
      </c>
      <c r="AA478" s="14" t="s">
        <v>47</v>
      </c>
    </row>
    <row r="479" spans="1:27" x14ac:dyDescent="0.35">
      <c r="A479" s="14" t="s">
        <v>944</v>
      </c>
      <c r="B479" s="15">
        <v>46109</v>
      </c>
      <c r="C479" s="14" t="s">
        <v>945</v>
      </c>
      <c r="D479" s="14" t="s">
        <v>61</v>
      </c>
      <c r="E479" s="14" t="s">
        <v>29</v>
      </c>
      <c r="F479" s="14">
        <v>20</v>
      </c>
      <c r="G479" s="14" t="s">
        <v>99</v>
      </c>
      <c r="H479" s="14" t="s">
        <v>52</v>
      </c>
      <c r="I479" s="14" t="s">
        <v>99</v>
      </c>
      <c r="J479" s="14" t="s">
        <v>32</v>
      </c>
      <c r="K479" s="14">
        <v>5</v>
      </c>
      <c r="L479" s="14">
        <v>48760</v>
      </c>
      <c r="M479" s="14">
        <v>5</v>
      </c>
      <c r="N479" s="14">
        <v>12190</v>
      </c>
      <c r="O479" s="14">
        <v>41689.800000000003</v>
      </c>
      <c r="P479" s="14">
        <v>420</v>
      </c>
      <c r="Q479" s="14">
        <f t="shared" si="7"/>
        <v>273299.8</v>
      </c>
      <c r="R479" s="14">
        <v>273719.8</v>
      </c>
      <c r="S479" s="14" t="s">
        <v>33</v>
      </c>
      <c r="T479" s="14" t="s">
        <v>34</v>
      </c>
      <c r="U479" s="14" t="s">
        <v>95</v>
      </c>
      <c r="V479" s="14" t="s">
        <v>96</v>
      </c>
      <c r="W479" s="14" t="s">
        <v>57</v>
      </c>
      <c r="X479" s="14">
        <v>7</v>
      </c>
      <c r="Y479" s="14" t="s">
        <v>47</v>
      </c>
      <c r="Z479" s="14">
        <v>4</v>
      </c>
      <c r="AA479" s="14" t="s">
        <v>47</v>
      </c>
    </row>
    <row r="480" spans="1:27" x14ac:dyDescent="0.35">
      <c r="A480" s="14" t="s">
        <v>946</v>
      </c>
      <c r="B480" s="15">
        <v>45804</v>
      </c>
      <c r="C480" s="14" t="s">
        <v>143</v>
      </c>
      <c r="D480" s="14" t="s">
        <v>80</v>
      </c>
      <c r="E480" s="14" t="s">
        <v>43</v>
      </c>
      <c r="F480" s="14">
        <v>38</v>
      </c>
      <c r="G480" s="14" t="s">
        <v>30</v>
      </c>
      <c r="H480" s="14" t="s">
        <v>31</v>
      </c>
      <c r="I480" s="14" t="s">
        <v>30</v>
      </c>
      <c r="J480" s="14" t="s">
        <v>62</v>
      </c>
      <c r="K480" s="14">
        <v>5</v>
      </c>
      <c r="L480" s="14">
        <v>39991</v>
      </c>
      <c r="M480" s="14">
        <v>10</v>
      </c>
      <c r="N480" s="14">
        <v>19995.5</v>
      </c>
      <c r="O480" s="14">
        <v>32392.71</v>
      </c>
      <c r="P480" s="14">
        <v>310</v>
      </c>
      <c r="Q480" s="14">
        <f t="shared" si="7"/>
        <v>212352.21</v>
      </c>
      <c r="R480" s="14">
        <v>212662.21</v>
      </c>
      <c r="S480" s="14" t="s">
        <v>33</v>
      </c>
      <c r="T480" s="14" t="s">
        <v>34</v>
      </c>
      <c r="U480" s="14" t="s">
        <v>46</v>
      </c>
      <c r="V480" s="14" t="s">
        <v>36</v>
      </c>
      <c r="W480" s="14" t="s">
        <v>37</v>
      </c>
      <c r="X480" s="14">
        <v>8</v>
      </c>
      <c r="Y480" s="14" t="s">
        <v>38</v>
      </c>
      <c r="Z480" s="14">
        <v>5</v>
      </c>
      <c r="AA480" s="14" t="s">
        <v>47</v>
      </c>
    </row>
    <row r="481" spans="1:27" x14ac:dyDescent="0.35">
      <c r="A481" s="14" t="s">
        <v>947</v>
      </c>
      <c r="B481" s="15">
        <v>45909</v>
      </c>
      <c r="C481" s="14" t="s">
        <v>666</v>
      </c>
      <c r="D481" s="14" t="s">
        <v>66</v>
      </c>
      <c r="E481" s="14" t="s">
        <v>43</v>
      </c>
      <c r="F481" s="14">
        <v>53</v>
      </c>
      <c r="G481" s="14" t="s">
        <v>90</v>
      </c>
      <c r="H481" s="14" t="s">
        <v>31</v>
      </c>
      <c r="I481" s="14" t="s">
        <v>90</v>
      </c>
      <c r="J481" s="14" t="s">
        <v>112</v>
      </c>
      <c r="K481" s="14">
        <v>1</v>
      </c>
      <c r="L481" s="14">
        <v>47402</v>
      </c>
      <c r="M481" s="14">
        <v>5</v>
      </c>
      <c r="N481" s="14">
        <v>2370.1</v>
      </c>
      <c r="O481" s="14">
        <v>8105.74</v>
      </c>
      <c r="P481" s="14">
        <v>192</v>
      </c>
      <c r="Q481" s="14">
        <f t="shared" si="7"/>
        <v>53137.64</v>
      </c>
      <c r="R481" s="14">
        <v>53329.64</v>
      </c>
      <c r="S481" s="14" t="s">
        <v>54</v>
      </c>
      <c r="T481" s="14" t="s">
        <v>63</v>
      </c>
      <c r="U481" s="14" t="s">
        <v>55</v>
      </c>
      <c r="V481" s="14" t="s">
        <v>56</v>
      </c>
      <c r="W481" s="14" t="s">
        <v>57</v>
      </c>
      <c r="X481" s="14">
        <v>5</v>
      </c>
      <c r="Y481" s="14" t="s">
        <v>38</v>
      </c>
      <c r="Z481" s="14">
        <v>2</v>
      </c>
      <c r="AA481" s="14" t="s">
        <v>58</v>
      </c>
    </row>
    <row r="482" spans="1:27" x14ac:dyDescent="0.35">
      <c r="A482" s="14" t="s">
        <v>948</v>
      </c>
      <c r="B482" s="15">
        <v>46034</v>
      </c>
      <c r="C482" s="14" t="s">
        <v>949</v>
      </c>
      <c r="D482" s="14" t="s">
        <v>61</v>
      </c>
      <c r="E482" s="14" t="s">
        <v>43</v>
      </c>
      <c r="F482" s="14">
        <v>34</v>
      </c>
      <c r="G482" s="14" t="s">
        <v>94</v>
      </c>
      <c r="H482" s="14" t="s">
        <v>31</v>
      </c>
      <c r="I482" s="14" t="s">
        <v>94</v>
      </c>
      <c r="J482" s="14" t="s">
        <v>150</v>
      </c>
      <c r="K482" s="14">
        <v>3</v>
      </c>
      <c r="L482" s="14">
        <v>42924</v>
      </c>
      <c r="M482" s="14">
        <v>20</v>
      </c>
      <c r="N482" s="14">
        <v>25754.400000000001</v>
      </c>
      <c r="O482" s="14">
        <v>18543.169999999998</v>
      </c>
      <c r="P482" s="14">
        <v>373</v>
      </c>
      <c r="Q482" s="14">
        <f t="shared" si="7"/>
        <v>121560.77</v>
      </c>
      <c r="R482" s="14">
        <v>121933.77</v>
      </c>
      <c r="S482" s="14" t="s">
        <v>54</v>
      </c>
      <c r="T482" s="14" t="s">
        <v>34</v>
      </c>
      <c r="U482" s="14" t="s">
        <v>70</v>
      </c>
      <c r="V482" s="14" t="s">
        <v>56</v>
      </c>
      <c r="W482" s="14" t="s">
        <v>57</v>
      </c>
      <c r="X482" s="14">
        <v>2</v>
      </c>
      <c r="Y482" s="14" t="s">
        <v>47</v>
      </c>
      <c r="Z482" s="14">
        <v>4</v>
      </c>
      <c r="AA482" s="14" t="s">
        <v>91</v>
      </c>
    </row>
    <row r="483" spans="1:27" x14ac:dyDescent="0.35">
      <c r="A483" s="14" t="s">
        <v>950</v>
      </c>
      <c r="B483" s="15">
        <v>46000</v>
      </c>
      <c r="C483" s="14" t="s">
        <v>951</v>
      </c>
      <c r="D483" s="14" t="s">
        <v>108</v>
      </c>
      <c r="E483" s="14" t="s">
        <v>43</v>
      </c>
      <c r="F483" s="14">
        <v>29</v>
      </c>
      <c r="G483" s="14" t="s">
        <v>44</v>
      </c>
      <c r="H483" s="14" t="s">
        <v>31</v>
      </c>
      <c r="I483" s="14" t="s">
        <v>44</v>
      </c>
      <c r="J483" s="14" t="s">
        <v>62</v>
      </c>
      <c r="K483" s="14">
        <v>2</v>
      </c>
      <c r="L483" s="14">
        <v>43493</v>
      </c>
      <c r="M483" s="14">
        <v>5</v>
      </c>
      <c r="N483" s="14">
        <v>4349.3</v>
      </c>
      <c r="O483" s="14">
        <v>14874.61</v>
      </c>
      <c r="P483" s="14">
        <v>499</v>
      </c>
      <c r="Q483" s="14">
        <f t="shared" si="7"/>
        <v>97511.31</v>
      </c>
      <c r="R483" s="14">
        <v>98010.31</v>
      </c>
      <c r="S483" s="14" t="s">
        <v>83</v>
      </c>
      <c r="T483" s="14" t="s">
        <v>63</v>
      </c>
      <c r="U483" s="14" t="s">
        <v>35</v>
      </c>
      <c r="V483" s="14" t="s">
        <v>36</v>
      </c>
      <c r="W483" s="14" t="s">
        <v>37</v>
      </c>
      <c r="X483" s="14">
        <v>10</v>
      </c>
      <c r="Y483" s="14" t="s">
        <v>47</v>
      </c>
      <c r="Z483" s="14">
        <v>4</v>
      </c>
      <c r="AA483" s="14" t="s">
        <v>39</v>
      </c>
    </row>
    <row r="484" spans="1:27" x14ac:dyDescent="0.35">
      <c r="A484" s="14" t="s">
        <v>952</v>
      </c>
      <c r="B484" s="15">
        <v>46087</v>
      </c>
      <c r="C484" s="14" t="s">
        <v>953</v>
      </c>
      <c r="D484" s="14" t="s">
        <v>42</v>
      </c>
      <c r="E484" s="14" t="s">
        <v>29</v>
      </c>
      <c r="F484" s="14">
        <v>52</v>
      </c>
      <c r="G484" s="14" t="s">
        <v>99</v>
      </c>
      <c r="H484" s="14" t="s">
        <v>52</v>
      </c>
      <c r="I484" s="14" t="s">
        <v>99</v>
      </c>
      <c r="J484" s="14" t="s">
        <v>75</v>
      </c>
      <c r="K484" s="14">
        <v>1</v>
      </c>
      <c r="L484" s="14">
        <v>23370</v>
      </c>
      <c r="M484" s="14">
        <v>0</v>
      </c>
      <c r="N484" s="14">
        <v>0</v>
      </c>
      <c r="O484" s="14">
        <v>4206.6000000000004</v>
      </c>
      <c r="P484" s="14">
        <v>413</v>
      </c>
      <c r="Q484" s="14">
        <f t="shared" si="7"/>
        <v>27576.6</v>
      </c>
      <c r="R484" s="14">
        <v>27989.599999999999</v>
      </c>
      <c r="S484" s="14" t="s">
        <v>83</v>
      </c>
      <c r="T484" s="14" t="s">
        <v>63</v>
      </c>
      <c r="U484" s="14" t="s">
        <v>84</v>
      </c>
      <c r="V484" s="14" t="s">
        <v>85</v>
      </c>
      <c r="W484" s="14" t="s">
        <v>86</v>
      </c>
      <c r="X484" s="14">
        <v>6</v>
      </c>
      <c r="Y484" s="14" t="s">
        <v>38</v>
      </c>
      <c r="Z484" s="14">
        <v>4</v>
      </c>
      <c r="AA484" s="14" t="s">
        <v>47</v>
      </c>
    </row>
    <row r="485" spans="1:27" x14ac:dyDescent="0.35">
      <c r="A485" s="14" t="s">
        <v>954</v>
      </c>
      <c r="B485" s="15">
        <v>46070</v>
      </c>
      <c r="C485" s="14" t="s">
        <v>955</v>
      </c>
      <c r="D485" s="14" t="s">
        <v>42</v>
      </c>
      <c r="E485" s="14" t="s">
        <v>43</v>
      </c>
      <c r="F485" s="14">
        <v>58</v>
      </c>
      <c r="G485" s="14" t="s">
        <v>30</v>
      </c>
      <c r="H485" s="14" t="s">
        <v>31</v>
      </c>
      <c r="I485" s="14" t="s">
        <v>30</v>
      </c>
      <c r="J485" s="14" t="s">
        <v>53</v>
      </c>
      <c r="K485" s="14">
        <v>3</v>
      </c>
      <c r="L485" s="14">
        <v>47124</v>
      </c>
      <c r="M485" s="14">
        <v>10</v>
      </c>
      <c r="N485" s="14">
        <v>14137.2</v>
      </c>
      <c r="O485" s="14">
        <v>22902.26</v>
      </c>
      <c r="P485" s="14">
        <v>40</v>
      </c>
      <c r="Q485" s="14">
        <f t="shared" si="7"/>
        <v>150137.06</v>
      </c>
      <c r="R485" s="14">
        <v>150177.06</v>
      </c>
      <c r="S485" s="14" t="s">
        <v>54</v>
      </c>
      <c r="T485" s="14" t="s">
        <v>63</v>
      </c>
      <c r="U485" s="14" t="s">
        <v>103</v>
      </c>
      <c r="V485" s="14" t="s">
        <v>103</v>
      </c>
      <c r="W485" s="14" t="s">
        <v>57</v>
      </c>
      <c r="X485" s="14">
        <v>4</v>
      </c>
      <c r="Y485" s="14" t="s">
        <v>38</v>
      </c>
      <c r="Z485" s="14">
        <v>3</v>
      </c>
      <c r="AA485" s="14" t="s">
        <v>91</v>
      </c>
    </row>
    <row r="486" spans="1:27" x14ac:dyDescent="0.35">
      <c r="A486" s="14" t="s">
        <v>956</v>
      </c>
      <c r="B486" s="15">
        <v>46062</v>
      </c>
      <c r="C486" s="14" t="s">
        <v>957</v>
      </c>
      <c r="D486" s="14" t="s">
        <v>89</v>
      </c>
      <c r="E486" s="14" t="s">
        <v>29</v>
      </c>
      <c r="F486" s="14">
        <v>30</v>
      </c>
      <c r="G486" s="14" t="s">
        <v>139</v>
      </c>
      <c r="H486" s="14" t="s">
        <v>31</v>
      </c>
      <c r="I486" s="14" t="s">
        <v>139</v>
      </c>
      <c r="J486" s="14" t="s">
        <v>202</v>
      </c>
      <c r="K486" s="14">
        <v>1</v>
      </c>
      <c r="L486" s="14">
        <v>27733</v>
      </c>
      <c r="M486" s="14">
        <v>5</v>
      </c>
      <c r="N486" s="14">
        <v>1386.65</v>
      </c>
      <c r="O486" s="14">
        <v>4742.34</v>
      </c>
      <c r="P486" s="14">
        <v>481</v>
      </c>
      <c r="Q486" s="14">
        <f t="shared" si="7"/>
        <v>31088.69</v>
      </c>
      <c r="R486" s="14">
        <v>31569.69</v>
      </c>
      <c r="S486" s="14" t="s">
        <v>83</v>
      </c>
      <c r="T486" s="14" t="s">
        <v>34</v>
      </c>
      <c r="U486" s="14" t="s">
        <v>46</v>
      </c>
      <c r="V486" s="14" t="s">
        <v>36</v>
      </c>
      <c r="W486" s="14" t="s">
        <v>37</v>
      </c>
      <c r="X486" s="14">
        <v>8</v>
      </c>
      <c r="Y486" s="14" t="s">
        <v>38</v>
      </c>
      <c r="Z486" s="14">
        <v>3</v>
      </c>
      <c r="AA486" s="14" t="s">
        <v>39</v>
      </c>
    </row>
    <row r="487" spans="1:27" x14ac:dyDescent="0.35">
      <c r="A487" s="14" t="s">
        <v>958</v>
      </c>
      <c r="B487" s="15">
        <v>45913</v>
      </c>
      <c r="C487" s="14" t="s">
        <v>743</v>
      </c>
      <c r="D487" s="14" t="s">
        <v>42</v>
      </c>
      <c r="E487" s="14" t="s">
        <v>29</v>
      </c>
      <c r="F487" s="14">
        <v>26</v>
      </c>
      <c r="G487" s="14" t="s">
        <v>74</v>
      </c>
      <c r="H487" s="14" t="s">
        <v>31</v>
      </c>
      <c r="I487" s="14" t="s">
        <v>74</v>
      </c>
      <c r="J487" s="14" t="s">
        <v>202</v>
      </c>
      <c r="K487" s="14">
        <v>1</v>
      </c>
      <c r="L487" s="14">
        <v>16619</v>
      </c>
      <c r="M487" s="14">
        <v>5</v>
      </c>
      <c r="N487" s="14">
        <v>830.95</v>
      </c>
      <c r="O487" s="14">
        <v>2841.85</v>
      </c>
      <c r="P487" s="14">
        <v>416</v>
      </c>
      <c r="Q487" s="14">
        <f t="shared" si="7"/>
        <v>18629.900000000001</v>
      </c>
      <c r="R487" s="14">
        <v>19045.900000000001</v>
      </c>
      <c r="S487" s="14" t="s">
        <v>54</v>
      </c>
      <c r="T487" s="14" t="s">
        <v>34</v>
      </c>
      <c r="U487" s="14" t="s">
        <v>84</v>
      </c>
      <c r="V487" s="14" t="s">
        <v>85</v>
      </c>
      <c r="W487" s="14" t="s">
        <v>86</v>
      </c>
      <c r="X487" s="14">
        <v>4</v>
      </c>
      <c r="Y487" s="14" t="s">
        <v>38</v>
      </c>
      <c r="Z487" s="14">
        <v>1</v>
      </c>
      <c r="AA487" s="14" t="s">
        <v>47</v>
      </c>
    </row>
    <row r="488" spans="1:27" x14ac:dyDescent="0.35">
      <c r="A488" s="14" t="s">
        <v>959</v>
      </c>
      <c r="B488" s="15">
        <v>45939</v>
      </c>
      <c r="C488" s="14" t="s">
        <v>172</v>
      </c>
      <c r="D488" s="14" t="s">
        <v>28</v>
      </c>
      <c r="E488" s="14" t="s">
        <v>43</v>
      </c>
      <c r="F488" s="14">
        <v>39</v>
      </c>
      <c r="G488" s="14" t="s">
        <v>99</v>
      </c>
      <c r="H488" s="14" t="s">
        <v>52</v>
      </c>
      <c r="I488" s="14" t="s">
        <v>99</v>
      </c>
      <c r="J488" s="14" t="s">
        <v>112</v>
      </c>
      <c r="K488" s="14">
        <v>3</v>
      </c>
      <c r="L488" s="14">
        <v>16882</v>
      </c>
      <c r="M488" s="14">
        <v>10</v>
      </c>
      <c r="N488" s="14">
        <v>5064.6000000000004</v>
      </c>
      <c r="O488" s="14">
        <v>8204.65</v>
      </c>
      <c r="P488" s="14">
        <v>146</v>
      </c>
      <c r="Q488" s="14">
        <f t="shared" si="7"/>
        <v>53786.05</v>
      </c>
      <c r="R488" s="14">
        <v>53932.05</v>
      </c>
      <c r="S488" s="14" t="s">
        <v>33</v>
      </c>
      <c r="T488" s="14" t="s">
        <v>63</v>
      </c>
      <c r="U488" s="14" t="s">
        <v>103</v>
      </c>
      <c r="V488" s="14" t="s">
        <v>103</v>
      </c>
      <c r="W488" s="14" t="s">
        <v>57</v>
      </c>
      <c r="X488" s="14">
        <v>2</v>
      </c>
      <c r="Y488" s="14" t="s">
        <v>38</v>
      </c>
      <c r="Z488" s="14">
        <v>5</v>
      </c>
      <c r="AA488" s="14" t="s">
        <v>91</v>
      </c>
    </row>
    <row r="489" spans="1:27" x14ac:dyDescent="0.35">
      <c r="A489" s="14" t="s">
        <v>960</v>
      </c>
      <c r="B489" s="15">
        <v>46009</v>
      </c>
      <c r="C489" s="14" t="s">
        <v>961</v>
      </c>
      <c r="D489" s="14" t="s">
        <v>80</v>
      </c>
      <c r="E489" s="14" t="s">
        <v>29</v>
      </c>
      <c r="F489" s="14">
        <v>52</v>
      </c>
      <c r="G489" s="14" t="s">
        <v>74</v>
      </c>
      <c r="H489" s="14" t="s">
        <v>31</v>
      </c>
      <c r="I489" s="14" t="s">
        <v>74</v>
      </c>
      <c r="J489" s="14" t="s">
        <v>125</v>
      </c>
      <c r="K489" s="14">
        <v>3</v>
      </c>
      <c r="L489" s="14">
        <v>42848</v>
      </c>
      <c r="M489" s="14">
        <v>15</v>
      </c>
      <c r="N489" s="14">
        <v>19281.599999999999</v>
      </c>
      <c r="O489" s="14">
        <v>19667.23</v>
      </c>
      <c r="P489" s="14">
        <v>22</v>
      </c>
      <c r="Q489" s="14">
        <f t="shared" si="7"/>
        <v>128929.63</v>
      </c>
      <c r="R489" s="14">
        <v>128951.63</v>
      </c>
      <c r="S489" s="14" t="s">
        <v>54</v>
      </c>
      <c r="T489" s="14" t="s">
        <v>34</v>
      </c>
      <c r="U489" s="14" t="s">
        <v>70</v>
      </c>
      <c r="V489" s="14" t="s">
        <v>56</v>
      </c>
      <c r="W489" s="14" t="s">
        <v>57</v>
      </c>
      <c r="X489" s="14">
        <v>3</v>
      </c>
      <c r="Y489" s="14" t="s">
        <v>38</v>
      </c>
      <c r="Z489" s="14">
        <v>2</v>
      </c>
      <c r="AA489" s="14" t="s">
        <v>47</v>
      </c>
    </row>
    <row r="490" spans="1:27" x14ac:dyDescent="0.35">
      <c r="A490" s="14" t="s">
        <v>962</v>
      </c>
      <c r="B490" s="15">
        <v>45860</v>
      </c>
      <c r="C490" s="14" t="s">
        <v>963</v>
      </c>
      <c r="D490" s="14" t="s">
        <v>73</v>
      </c>
      <c r="E490" s="14" t="s">
        <v>43</v>
      </c>
      <c r="F490" s="14">
        <v>25</v>
      </c>
      <c r="G490" s="14" t="s">
        <v>67</v>
      </c>
      <c r="H490" s="14" t="s">
        <v>68</v>
      </c>
      <c r="I490" s="14" t="s">
        <v>67</v>
      </c>
      <c r="J490" s="14" t="s">
        <v>62</v>
      </c>
      <c r="K490" s="14">
        <v>3</v>
      </c>
      <c r="L490" s="14">
        <v>17988</v>
      </c>
      <c r="M490" s="14">
        <v>10</v>
      </c>
      <c r="N490" s="14">
        <v>5396.4</v>
      </c>
      <c r="O490" s="14">
        <v>8742.17</v>
      </c>
      <c r="P490" s="14">
        <v>462</v>
      </c>
      <c r="Q490" s="14">
        <f t="shared" si="7"/>
        <v>57309.77</v>
      </c>
      <c r="R490" s="14">
        <v>57771.77</v>
      </c>
      <c r="S490" s="14" t="s">
        <v>83</v>
      </c>
      <c r="T490" s="14" t="s">
        <v>34</v>
      </c>
      <c r="U490" s="14" t="s">
        <v>76</v>
      </c>
      <c r="V490" s="14" t="s">
        <v>77</v>
      </c>
      <c r="W490" s="14" t="s">
        <v>57</v>
      </c>
      <c r="X490" s="14">
        <v>10</v>
      </c>
      <c r="Y490" s="14" t="s">
        <v>38</v>
      </c>
      <c r="Z490" s="14">
        <v>2</v>
      </c>
      <c r="AA490" s="14" t="s">
        <v>91</v>
      </c>
    </row>
    <row r="491" spans="1:27" x14ac:dyDescent="0.35">
      <c r="A491" s="14" t="s">
        <v>964</v>
      </c>
      <c r="B491" s="15">
        <v>45807</v>
      </c>
      <c r="C491" s="14" t="s">
        <v>204</v>
      </c>
      <c r="D491" s="14" t="s">
        <v>66</v>
      </c>
      <c r="E491" s="14" t="s">
        <v>43</v>
      </c>
      <c r="F491" s="14">
        <v>51</v>
      </c>
      <c r="G491" s="14" t="s">
        <v>99</v>
      </c>
      <c r="H491" s="14" t="s">
        <v>52</v>
      </c>
      <c r="I491" s="14" t="s">
        <v>99</v>
      </c>
      <c r="J491" s="14" t="s">
        <v>102</v>
      </c>
      <c r="K491" s="14">
        <v>4</v>
      </c>
      <c r="L491" s="14">
        <v>20757</v>
      </c>
      <c r="M491" s="14">
        <v>0</v>
      </c>
      <c r="N491" s="14">
        <v>0</v>
      </c>
      <c r="O491" s="14">
        <v>14945.04</v>
      </c>
      <c r="P491" s="14">
        <v>65</v>
      </c>
      <c r="Q491" s="14">
        <f t="shared" si="7"/>
        <v>97973.04</v>
      </c>
      <c r="R491" s="14">
        <v>98038.04</v>
      </c>
      <c r="S491" s="14" t="s">
        <v>54</v>
      </c>
      <c r="T491" s="14" t="s">
        <v>34</v>
      </c>
      <c r="U491" s="14" t="s">
        <v>70</v>
      </c>
      <c r="V491" s="14" t="s">
        <v>56</v>
      </c>
      <c r="W491" s="14" t="s">
        <v>57</v>
      </c>
      <c r="X491" s="14">
        <v>6</v>
      </c>
      <c r="Y491" s="14" t="s">
        <v>47</v>
      </c>
      <c r="Z491" s="14">
        <v>4</v>
      </c>
      <c r="AA491" s="14" t="s">
        <v>58</v>
      </c>
    </row>
    <row r="492" spans="1:27" x14ac:dyDescent="0.35">
      <c r="A492" s="14" t="s">
        <v>965</v>
      </c>
      <c r="B492" s="15">
        <v>45868</v>
      </c>
      <c r="C492" s="14" t="s">
        <v>966</v>
      </c>
      <c r="D492" s="14" t="s">
        <v>50</v>
      </c>
      <c r="E492" s="14" t="s">
        <v>43</v>
      </c>
      <c r="F492" s="14">
        <v>54</v>
      </c>
      <c r="G492" s="14" t="s">
        <v>134</v>
      </c>
      <c r="H492" s="14" t="s">
        <v>31</v>
      </c>
      <c r="I492" s="14" t="s">
        <v>134</v>
      </c>
      <c r="J492" s="14" t="s">
        <v>75</v>
      </c>
      <c r="K492" s="14">
        <v>2</v>
      </c>
      <c r="L492" s="14">
        <v>36202</v>
      </c>
      <c r="M492" s="14">
        <v>10</v>
      </c>
      <c r="N492" s="14">
        <v>7240.4</v>
      </c>
      <c r="O492" s="14">
        <v>11729.45</v>
      </c>
      <c r="P492" s="14">
        <v>49</v>
      </c>
      <c r="Q492" s="14">
        <f t="shared" si="7"/>
        <v>76893.05</v>
      </c>
      <c r="R492" s="14">
        <v>76942.05</v>
      </c>
      <c r="S492" s="14" t="s">
        <v>54</v>
      </c>
      <c r="T492" s="14" t="s">
        <v>63</v>
      </c>
      <c r="U492" s="14" t="s">
        <v>103</v>
      </c>
      <c r="V492" s="14" t="s">
        <v>103</v>
      </c>
      <c r="W492" s="14" t="s">
        <v>57</v>
      </c>
      <c r="X492" s="14">
        <v>10</v>
      </c>
      <c r="Y492" s="14" t="s">
        <v>47</v>
      </c>
      <c r="Z492" s="14">
        <v>3</v>
      </c>
      <c r="AA492" s="14" t="s">
        <v>58</v>
      </c>
    </row>
    <row r="493" spans="1:27" x14ac:dyDescent="0.35">
      <c r="A493" s="14" t="s">
        <v>967</v>
      </c>
      <c r="B493" s="15">
        <v>46089</v>
      </c>
      <c r="C493" s="14" t="s">
        <v>778</v>
      </c>
      <c r="D493" s="14" t="s">
        <v>80</v>
      </c>
      <c r="E493" s="14" t="s">
        <v>43</v>
      </c>
      <c r="F493" s="14">
        <v>55</v>
      </c>
      <c r="G493" s="14" t="s">
        <v>90</v>
      </c>
      <c r="H493" s="14" t="s">
        <v>31</v>
      </c>
      <c r="I493" s="14" t="s">
        <v>90</v>
      </c>
      <c r="J493" s="14" t="s">
        <v>62</v>
      </c>
      <c r="K493" s="14">
        <v>5</v>
      </c>
      <c r="L493" s="14">
        <v>8252</v>
      </c>
      <c r="M493" s="14">
        <v>20</v>
      </c>
      <c r="N493" s="14">
        <v>8252</v>
      </c>
      <c r="O493" s="14">
        <v>5941.44</v>
      </c>
      <c r="P493" s="14">
        <v>389</v>
      </c>
      <c r="Q493" s="14">
        <f t="shared" si="7"/>
        <v>38949.440000000002</v>
      </c>
      <c r="R493" s="14">
        <v>39338.44</v>
      </c>
      <c r="S493" s="14" t="s">
        <v>54</v>
      </c>
      <c r="T493" s="14" t="s">
        <v>34</v>
      </c>
      <c r="U493" s="14" t="s">
        <v>46</v>
      </c>
      <c r="V493" s="14" t="s">
        <v>36</v>
      </c>
      <c r="W493" s="14" t="s">
        <v>37</v>
      </c>
      <c r="X493" s="14">
        <v>5</v>
      </c>
      <c r="Y493" s="14" t="s">
        <v>47</v>
      </c>
      <c r="Z493" s="14">
        <v>3</v>
      </c>
      <c r="AA493" s="14" t="s">
        <v>91</v>
      </c>
    </row>
    <row r="494" spans="1:27" x14ac:dyDescent="0.35">
      <c r="A494" s="14" t="s">
        <v>968</v>
      </c>
      <c r="B494" s="15">
        <v>45776</v>
      </c>
      <c r="C494" s="14" t="s">
        <v>204</v>
      </c>
      <c r="D494" s="14" t="s">
        <v>80</v>
      </c>
      <c r="E494" s="14" t="s">
        <v>29</v>
      </c>
      <c r="F494" s="14">
        <v>50</v>
      </c>
      <c r="G494" s="14" t="s">
        <v>67</v>
      </c>
      <c r="H494" s="14" t="s">
        <v>68</v>
      </c>
      <c r="I494" s="14" t="s">
        <v>67</v>
      </c>
      <c r="J494" s="14" t="s">
        <v>62</v>
      </c>
      <c r="K494" s="14">
        <v>1</v>
      </c>
      <c r="L494" s="14">
        <v>49467</v>
      </c>
      <c r="M494" s="14">
        <v>20</v>
      </c>
      <c r="N494" s="14">
        <v>9893.4</v>
      </c>
      <c r="O494" s="14">
        <v>7123.25</v>
      </c>
      <c r="P494" s="14">
        <v>217</v>
      </c>
      <c r="Q494" s="14">
        <f t="shared" si="7"/>
        <v>46696.85</v>
      </c>
      <c r="R494" s="14">
        <v>46913.85</v>
      </c>
      <c r="S494" s="14" t="s">
        <v>54</v>
      </c>
      <c r="T494" s="14" t="s">
        <v>63</v>
      </c>
      <c r="U494" s="14" t="s">
        <v>84</v>
      </c>
      <c r="V494" s="14" t="s">
        <v>85</v>
      </c>
      <c r="W494" s="14" t="s">
        <v>86</v>
      </c>
      <c r="X494" s="14">
        <v>5</v>
      </c>
      <c r="Y494" s="14" t="s">
        <v>38</v>
      </c>
      <c r="Z494" s="14">
        <v>3</v>
      </c>
      <c r="AA494" s="14" t="s">
        <v>58</v>
      </c>
    </row>
    <row r="495" spans="1:27" x14ac:dyDescent="0.35">
      <c r="A495" s="14" t="s">
        <v>969</v>
      </c>
      <c r="B495" s="15">
        <v>45941</v>
      </c>
      <c r="C495" s="14" t="s">
        <v>389</v>
      </c>
      <c r="D495" s="14" t="s">
        <v>42</v>
      </c>
      <c r="E495" s="14" t="s">
        <v>29</v>
      </c>
      <c r="F495" s="14">
        <v>55</v>
      </c>
      <c r="G495" s="14" t="s">
        <v>51</v>
      </c>
      <c r="H495" s="14" t="s">
        <v>52</v>
      </c>
      <c r="I495" s="14" t="s">
        <v>51</v>
      </c>
      <c r="J495" s="14" t="s">
        <v>102</v>
      </c>
      <c r="K495" s="14">
        <v>4</v>
      </c>
      <c r="L495" s="14">
        <v>21774</v>
      </c>
      <c r="M495" s="14">
        <v>20</v>
      </c>
      <c r="N495" s="14">
        <v>17419.2</v>
      </c>
      <c r="O495" s="14">
        <v>12541.82</v>
      </c>
      <c r="P495" s="14">
        <v>11</v>
      </c>
      <c r="Q495" s="14">
        <f t="shared" si="7"/>
        <v>82218.62</v>
      </c>
      <c r="R495" s="14">
        <v>82229.62</v>
      </c>
      <c r="S495" s="14" t="s">
        <v>54</v>
      </c>
      <c r="T495" s="14" t="s">
        <v>63</v>
      </c>
      <c r="U495" s="14" t="s">
        <v>95</v>
      </c>
      <c r="V495" s="14" t="s">
        <v>96</v>
      </c>
      <c r="W495" s="14" t="s">
        <v>57</v>
      </c>
      <c r="X495" s="14">
        <v>5</v>
      </c>
      <c r="Y495" s="14" t="s">
        <v>47</v>
      </c>
      <c r="Z495" s="14">
        <v>1</v>
      </c>
      <c r="AA495" s="14" t="s">
        <v>91</v>
      </c>
    </row>
    <row r="496" spans="1:27" x14ac:dyDescent="0.35">
      <c r="A496" s="14" t="s">
        <v>970</v>
      </c>
      <c r="B496" s="15">
        <v>45994</v>
      </c>
      <c r="C496" s="14" t="s">
        <v>284</v>
      </c>
      <c r="D496" s="14" t="s">
        <v>80</v>
      </c>
      <c r="E496" s="14" t="s">
        <v>43</v>
      </c>
      <c r="F496" s="14">
        <v>54</v>
      </c>
      <c r="G496" s="14" t="s">
        <v>74</v>
      </c>
      <c r="H496" s="14" t="s">
        <v>31</v>
      </c>
      <c r="I496" s="14" t="s">
        <v>74</v>
      </c>
      <c r="J496" s="14" t="s">
        <v>112</v>
      </c>
      <c r="K496" s="14">
        <v>4</v>
      </c>
      <c r="L496" s="14">
        <v>47507</v>
      </c>
      <c r="M496" s="14">
        <v>5</v>
      </c>
      <c r="N496" s="14">
        <v>9501.4</v>
      </c>
      <c r="O496" s="14">
        <v>32494.79</v>
      </c>
      <c r="P496" s="14">
        <v>181</v>
      </c>
      <c r="Q496" s="14">
        <f t="shared" si="7"/>
        <v>213021.39</v>
      </c>
      <c r="R496" s="14">
        <v>213202.39</v>
      </c>
      <c r="S496" s="14" t="s">
        <v>33</v>
      </c>
      <c r="T496" s="14" t="s">
        <v>63</v>
      </c>
      <c r="U496" s="14" t="s">
        <v>95</v>
      </c>
      <c r="V496" s="14" t="s">
        <v>96</v>
      </c>
      <c r="W496" s="14" t="s">
        <v>57</v>
      </c>
      <c r="X496" s="14">
        <v>7</v>
      </c>
      <c r="Y496" s="14" t="s">
        <v>47</v>
      </c>
      <c r="Z496" s="14">
        <v>2</v>
      </c>
      <c r="AA496" s="14" t="s">
        <v>91</v>
      </c>
    </row>
    <row r="497" spans="1:27" x14ac:dyDescent="0.35">
      <c r="A497" s="14" t="s">
        <v>971</v>
      </c>
      <c r="B497" s="15">
        <v>45961</v>
      </c>
      <c r="C497" s="14" t="s">
        <v>972</v>
      </c>
      <c r="D497" s="14" t="s">
        <v>73</v>
      </c>
      <c r="E497" s="14" t="s">
        <v>43</v>
      </c>
      <c r="F497" s="14">
        <v>29</v>
      </c>
      <c r="G497" s="14" t="s">
        <v>139</v>
      </c>
      <c r="H497" s="14" t="s">
        <v>31</v>
      </c>
      <c r="I497" s="14" t="s">
        <v>139</v>
      </c>
      <c r="J497" s="14" t="s">
        <v>112</v>
      </c>
      <c r="K497" s="14">
        <v>3</v>
      </c>
      <c r="L497" s="14">
        <v>36790</v>
      </c>
      <c r="M497" s="14">
        <v>10</v>
      </c>
      <c r="N497" s="14">
        <v>11037</v>
      </c>
      <c r="O497" s="14">
        <v>17879.939999999999</v>
      </c>
      <c r="P497" s="14">
        <v>0</v>
      </c>
      <c r="Q497" s="14">
        <f t="shared" si="7"/>
        <v>117212.94</v>
      </c>
      <c r="R497" s="14">
        <v>117212.94</v>
      </c>
      <c r="S497" s="14" t="s">
        <v>33</v>
      </c>
      <c r="T497" s="14" t="s">
        <v>63</v>
      </c>
      <c r="U497" s="14" t="s">
        <v>95</v>
      </c>
      <c r="V497" s="14" t="s">
        <v>96</v>
      </c>
      <c r="W497" s="14" t="s">
        <v>57</v>
      </c>
      <c r="X497" s="14">
        <v>7</v>
      </c>
      <c r="Y497" s="14" t="s">
        <v>38</v>
      </c>
      <c r="Z497" s="14">
        <v>1</v>
      </c>
      <c r="AA497" s="14" t="s">
        <v>91</v>
      </c>
    </row>
    <row r="498" spans="1:27" x14ac:dyDescent="0.35">
      <c r="A498" s="14" t="s">
        <v>973</v>
      </c>
      <c r="B498" s="15">
        <v>45831</v>
      </c>
      <c r="C498" s="14" t="s">
        <v>974</v>
      </c>
      <c r="D498" s="14" t="s">
        <v>66</v>
      </c>
      <c r="E498" s="14" t="s">
        <v>29</v>
      </c>
      <c r="F498" s="14">
        <v>22</v>
      </c>
      <c r="G498" s="14" t="s">
        <v>74</v>
      </c>
      <c r="H498" s="14" t="s">
        <v>31</v>
      </c>
      <c r="I498" s="14" t="s">
        <v>74</v>
      </c>
      <c r="J498" s="14" t="s">
        <v>62</v>
      </c>
      <c r="K498" s="14">
        <v>1</v>
      </c>
      <c r="L498" s="14">
        <v>29785</v>
      </c>
      <c r="M498" s="14">
        <v>20</v>
      </c>
      <c r="N498" s="14">
        <v>5957</v>
      </c>
      <c r="O498" s="14">
        <v>4289.04</v>
      </c>
      <c r="P498" s="14">
        <v>223</v>
      </c>
      <c r="Q498" s="14">
        <f t="shared" si="7"/>
        <v>28117.040000000001</v>
      </c>
      <c r="R498" s="14">
        <v>28340.04</v>
      </c>
      <c r="S498" s="14" t="s">
        <v>33</v>
      </c>
      <c r="T498" s="14" t="s">
        <v>63</v>
      </c>
      <c r="U498" s="14" t="s">
        <v>46</v>
      </c>
      <c r="V498" s="14" t="s">
        <v>36</v>
      </c>
      <c r="W498" s="14" t="s">
        <v>37</v>
      </c>
      <c r="X498" s="14">
        <v>1</v>
      </c>
      <c r="Y498" s="14" t="s">
        <v>47</v>
      </c>
      <c r="Z498" s="14">
        <v>1</v>
      </c>
      <c r="AA498" s="14" t="s">
        <v>91</v>
      </c>
    </row>
    <row r="499" spans="1:27" x14ac:dyDescent="0.35">
      <c r="A499" s="14" t="s">
        <v>975</v>
      </c>
      <c r="B499" s="15">
        <v>46019</v>
      </c>
      <c r="C499" s="14" t="s">
        <v>976</v>
      </c>
      <c r="D499" s="14" t="s">
        <v>73</v>
      </c>
      <c r="E499" s="14" t="s">
        <v>29</v>
      </c>
      <c r="F499" s="14">
        <v>21</v>
      </c>
      <c r="G499" s="14" t="s">
        <v>94</v>
      </c>
      <c r="H499" s="14" t="s">
        <v>31</v>
      </c>
      <c r="I499" s="14" t="s">
        <v>94</v>
      </c>
      <c r="J499" s="14" t="s">
        <v>75</v>
      </c>
      <c r="K499" s="14">
        <v>3</v>
      </c>
      <c r="L499" s="14">
        <v>44354</v>
      </c>
      <c r="M499" s="14">
        <v>0</v>
      </c>
      <c r="N499" s="14">
        <v>0</v>
      </c>
      <c r="O499" s="14">
        <v>23951.16</v>
      </c>
      <c r="P499" s="14">
        <v>395</v>
      </c>
      <c r="Q499" s="14">
        <f t="shared" si="7"/>
        <v>157013.16</v>
      </c>
      <c r="R499" s="14">
        <v>157408.16</v>
      </c>
      <c r="S499" s="14" t="s">
        <v>54</v>
      </c>
      <c r="T499" s="14" t="s">
        <v>34</v>
      </c>
      <c r="U499" s="14" t="s">
        <v>70</v>
      </c>
      <c r="V499" s="14" t="s">
        <v>56</v>
      </c>
      <c r="W499" s="14" t="s">
        <v>57</v>
      </c>
      <c r="X499" s="14">
        <v>4</v>
      </c>
      <c r="Y499" s="14" t="s">
        <v>47</v>
      </c>
      <c r="Z499" s="14">
        <v>3</v>
      </c>
      <c r="AA499" s="14" t="s">
        <v>47</v>
      </c>
    </row>
    <row r="500" spans="1:27" x14ac:dyDescent="0.35">
      <c r="A500" s="14" t="s">
        <v>977</v>
      </c>
      <c r="B500" s="15">
        <v>45921</v>
      </c>
      <c r="C500" s="14" t="s">
        <v>978</v>
      </c>
      <c r="D500" s="14" t="s">
        <v>80</v>
      </c>
      <c r="E500" s="14" t="s">
        <v>29</v>
      </c>
      <c r="F500" s="14">
        <v>26</v>
      </c>
      <c r="G500" s="14" t="s">
        <v>67</v>
      </c>
      <c r="H500" s="14" t="s">
        <v>68</v>
      </c>
      <c r="I500" s="14" t="s">
        <v>67</v>
      </c>
      <c r="J500" s="14" t="s">
        <v>69</v>
      </c>
      <c r="K500" s="14">
        <v>4</v>
      </c>
      <c r="L500" s="14">
        <v>42490</v>
      </c>
      <c r="M500" s="14">
        <v>10</v>
      </c>
      <c r="N500" s="14">
        <v>16996</v>
      </c>
      <c r="O500" s="14">
        <v>27533.52</v>
      </c>
      <c r="P500" s="14">
        <v>135</v>
      </c>
      <c r="Q500" s="14">
        <f t="shared" si="7"/>
        <v>180497.52</v>
      </c>
      <c r="R500" s="14">
        <v>180632.52</v>
      </c>
      <c r="S500" s="14" t="s">
        <v>54</v>
      </c>
      <c r="T500" s="14" t="s">
        <v>63</v>
      </c>
      <c r="U500" s="14" t="s">
        <v>103</v>
      </c>
      <c r="V500" s="14" t="s">
        <v>103</v>
      </c>
      <c r="W500" s="14" t="s">
        <v>57</v>
      </c>
      <c r="X500" s="14">
        <v>3</v>
      </c>
      <c r="Y500" s="14" t="s">
        <v>38</v>
      </c>
      <c r="Z500" s="14">
        <v>3</v>
      </c>
      <c r="AA500" s="14" t="s">
        <v>91</v>
      </c>
    </row>
    <row r="501" spans="1:27" x14ac:dyDescent="0.35">
      <c r="A501" s="14" t="s">
        <v>979</v>
      </c>
      <c r="B501" s="15">
        <v>46014</v>
      </c>
      <c r="C501" s="14" t="s">
        <v>632</v>
      </c>
      <c r="D501" s="14" t="s">
        <v>111</v>
      </c>
      <c r="E501" s="14" t="s">
        <v>43</v>
      </c>
      <c r="F501" s="14">
        <v>28</v>
      </c>
      <c r="G501" s="14" t="s">
        <v>94</v>
      </c>
      <c r="H501" s="14" t="s">
        <v>31</v>
      </c>
      <c r="I501" s="14" t="s">
        <v>94</v>
      </c>
      <c r="J501" s="14" t="s">
        <v>150</v>
      </c>
      <c r="K501" s="14">
        <v>1</v>
      </c>
      <c r="L501" s="14">
        <v>7815</v>
      </c>
      <c r="M501" s="14">
        <v>0</v>
      </c>
      <c r="N501" s="14">
        <v>0</v>
      </c>
      <c r="O501" s="14">
        <v>1406.7</v>
      </c>
      <c r="P501" s="14">
        <v>306</v>
      </c>
      <c r="Q501" s="14">
        <f t="shared" si="7"/>
        <v>9221.7000000000007</v>
      </c>
      <c r="R501" s="14">
        <v>9527.7000000000007</v>
      </c>
      <c r="S501" s="14" t="s">
        <v>45</v>
      </c>
      <c r="T501" s="14" t="s">
        <v>63</v>
      </c>
      <c r="U501" s="14" t="s">
        <v>103</v>
      </c>
      <c r="V501" s="14" t="s">
        <v>103</v>
      </c>
      <c r="W501" s="14" t="s">
        <v>57</v>
      </c>
      <c r="X501" s="14">
        <v>7</v>
      </c>
      <c r="Y501" s="14" t="s">
        <v>47</v>
      </c>
      <c r="Z501" s="14">
        <v>1</v>
      </c>
      <c r="AA501" s="14" t="s">
        <v>39</v>
      </c>
    </row>
    <row r="502" spans="1:27" x14ac:dyDescent="0.35">
      <c r="A502" s="14" t="s">
        <v>980</v>
      </c>
      <c r="B502" s="15">
        <v>45949</v>
      </c>
      <c r="C502" s="14" t="s">
        <v>981</v>
      </c>
      <c r="D502" s="14" t="s">
        <v>108</v>
      </c>
      <c r="E502" s="14" t="s">
        <v>29</v>
      </c>
      <c r="F502" s="14">
        <v>47</v>
      </c>
      <c r="G502" s="14" t="s">
        <v>94</v>
      </c>
      <c r="H502" s="14" t="s">
        <v>31</v>
      </c>
      <c r="I502" s="14" t="s">
        <v>94</v>
      </c>
      <c r="J502" s="14" t="s">
        <v>112</v>
      </c>
      <c r="K502" s="14">
        <v>1</v>
      </c>
      <c r="L502" s="14">
        <v>36934</v>
      </c>
      <c r="M502" s="14">
        <v>20</v>
      </c>
      <c r="N502" s="14">
        <v>7386.8</v>
      </c>
      <c r="O502" s="14">
        <v>5318.5</v>
      </c>
      <c r="P502" s="14">
        <v>83</v>
      </c>
      <c r="Q502" s="14">
        <f t="shared" si="7"/>
        <v>34865.699999999997</v>
      </c>
      <c r="R502" s="14">
        <v>34948.699999999997</v>
      </c>
      <c r="S502" s="14" t="s">
        <v>54</v>
      </c>
      <c r="T502" s="14" t="s">
        <v>34</v>
      </c>
      <c r="U502" s="14" t="s">
        <v>46</v>
      </c>
      <c r="V502" s="14" t="s">
        <v>36</v>
      </c>
      <c r="W502" s="14" t="s">
        <v>37</v>
      </c>
      <c r="X502" s="14">
        <v>4</v>
      </c>
      <c r="Y502" s="14" t="s">
        <v>38</v>
      </c>
      <c r="Z502" s="14">
        <v>3</v>
      </c>
      <c r="AA502" s="14" t="s">
        <v>47</v>
      </c>
    </row>
    <row r="503" spans="1:27" x14ac:dyDescent="0.35">
      <c r="A503" s="14" t="s">
        <v>982</v>
      </c>
      <c r="B503" s="15">
        <v>46005</v>
      </c>
      <c r="C503" s="14" t="s">
        <v>811</v>
      </c>
      <c r="D503" s="14" t="s">
        <v>66</v>
      </c>
      <c r="E503" s="14" t="s">
        <v>43</v>
      </c>
      <c r="F503" s="14">
        <v>25</v>
      </c>
      <c r="G503" s="14" t="s">
        <v>90</v>
      </c>
      <c r="H503" s="14" t="s">
        <v>31</v>
      </c>
      <c r="I503" s="14" t="s">
        <v>90</v>
      </c>
      <c r="J503" s="14" t="s">
        <v>32</v>
      </c>
      <c r="K503" s="14">
        <v>4</v>
      </c>
      <c r="L503" s="14">
        <v>22888</v>
      </c>
      <c r="M503" s="14">
        <v>0</v>
      </c>
      <c r="N503" s="14">
        <v>0</v>
      </c>
      <c r="O503" s="14">
        <v>16479.36</v>
      </c>
      <c r="P503" s="14">
        <v>377</v>
      </c>
      <c r="Q503" s="14">
        <f t="shared" si="7"/>
        <v>108031.36</v>
      </c>
      <c r="R503" s="14">
        <v>108408.36</v>
      </c>
      <c r="S503" s="14" t="s">
        <v>83</v>
      </c>
      <c r="T503" s="14" t="s">
        <v>34</v>
      </c>
      <c r="U503" s="14" t="s">
        <v>70</v>
      </c>
      <c r="V503" s="14" t="s">
        <v>56</v>
      </c>
      <c r="W503" s="14" t="s">
        <v>57</v>
      </c>
      <c r="X503" s="14">
        <v>10</v>
      </c>
      <c r="Y503" s="14" t="s">
        <v>38</v>
      </c>
      <c r="Z503" s="14">
        <v>1</v>
      </c>
      <c r="AA503" s="14" t="s">
        <v>39</v>
      </c>
    </row>
    <row r="504" spans="1:27" x14ac:dyDescent="0.35">
      <c r="A504" s="14" t="s">
        <v>983</v>
      </c>
      <c r="B504" s="15">
        <v>46008</v>
      </c>
      <c r="C504" s="14" t="s">
        <v>984</v>
      </c>
      <c r="D504" s="14" t="s">
        <v>28</v>
      </c>
      <c r="E504" s="14" t="s">
        <v>43</v>
      </c>
      <c r="F504" s="14">
        <v>27</v>
      </c>
      <c r="G504" s="14" t="s">
        <v>99</v>
      </c>
      <c r="H504" s="14" t="s">
        <v>52</v>
      </c>
      <c r="I504" s="14" t="s">
        <v>99</v>
      </c>
      <c r="J504" s="14" t="s">
        <v>62</v>
      </c>
      <c r="K504" s="14">
        <v>4</v>
      </c>
      <c r="L504" s="14">
        <v>36131</v>
      </c>
      <c r="M504" s="14">
        <v>0</v>
      </c>
      <c r="N504" s="14">
        <v>0</v>
      </c>
      <c r="O504" s="14">
        <v>26014.32</v>
      </c>
      <c r="P504" s="14">
        <v>402</v>
      </c>
      <c r="Q504" s="14">
        <f t="shared" si="7"/>
        <v>170538.32</v>
      </c>
      <c r="R504" s="14">
        <v>170940.32</v>
      </c>
      <c r="S504" s="14" t="s">
        <v>45</v>
      </c>
      <c r="T504" s="14" t="s">
        <v>63</v>
      </c>
      <c r="U504" s="14" t="s">
        <v>70</v>
      </c>
      <c r="V504" s="14" t="s">
        <v>56</v>
      </c>
      <c r="W504" s="14" t="s">
        <v>57</v>
      </c>
      <c r="X504" s="14">
        <v>4</v>
      </c>
      <c r="Y504" s="14" t="s">
        <v>38</v>
      </c>
      <c r="Z504" s="14">
        <v>4</v>
      </c>
      <c r="AA504" s="14" t="s">
        <v>58</v>
      </c>
    </row>
    <row r="505" spans="1:27" x14ac:dyDescent="0.35">
      <c r="A505" s="14" t="s">
        <v>985</v>
      </c>
      <c r="B505" s="15">
        <v>45948</v>
      </c>
      <c r="C505" s="14" t="s">
        <v>986</v>
      </c>
      <c r="D505" s="14" t="s">
        <v>66</v>
      </c>
      <c r="E505" s="14" t="s">
        <v>43</v>
      </c>
      <c r="F505" s="14">
        <v>43</v>
      </c>
      <c r="G505" s="14" t="s">
        <v>44</v>
      </c>
      <c r="H505" s="14" t="s">
        <v>31</v>
      </c>
      <c r="I505" s="14" t="s">
        <v>44</v>
      </c>
      <c r="J505" s="14" t="s">
        <v>53</v>
      </c>
      <c r="K505" s="14">
        <v>2</v>
      </c>
      <c r="L505" s="14">
        <v>1030</v>
      </c>
      <c r="M505" s="14">
        <v>0</v>
      </c>
      <c r="N505" s="14">
        <v>0</v>
      </c>
      <c r="O505" s="14">
        <v>370.8</v>
      </c>
      <c r="P505" s="14">
        <v>174</v>
      </c>
      <c r="Q505" s="14">
        <f t="shared" si="7"/>
        <v>2430.8000000000002</v>
      </c>
      <c r="R505" s="14">
        <v>2604.8000000000002</v>
      </c>
      <c r="S505" s="14" t="s">
        <v>45</v>
      </c>
      <c r="T505" s="14" t="s">
        <v>34</v>
      </c>
      <c r="U505" s="14" t="s">
        <v>35</v>
      </c>
      <c r="V505" s="14" t="s">
        <v>36</v>
      </c>
      <c r="W505" s="14" t="s">
        <v>37</v>
      </c>
      <c r="X505" s="14">
        <v>7</v>
      </c>
      <c r="Y505" s="14" t="s">
        <v>47</v>
      </c>
      <c r="Z505" s="14">
        <v>2</v>
      </c>
      <c r="AA505" s="14" t="s">
        <v>91</v>
      </c>
    </row>
    <row r="506" spans="1:27" x14ac:dyDescent="0.35">
      <c r="A506" s="14" t="s">
        <v>987</v>
      </c>
      <c r="B506" s="15">
        <v>45963</v>
      </c>
      <c r="C506" s="14" t="s">
        <v>648</v>
      </c>
      <c r="D506" s="14" t="s">
        <v>73</v>
      </c>
      <c r="E506" s="14" t="s">
        <v>29</v>
      </c>
      <c r="F506" s="14">
        <v>55</v>
      </c>
      <c r="G506" s="14" t="s">
        <v>67</v>
      </c>
      <c r="H506" s="14" t="s">
        <v>68</v>
      </c>
      <c r="I506" s="14" t="s">
        <v>67</v>
      </c>
      <c r="J506" s="14" t="s">
        <v>32</v>
      </c>
      <c r="K506" s="14">
        <v>3</v>
      </c>
      <c r="L506" s="14">
        <v>22483</v>
      </c>
      <c r="M506" s="14">
        <v>15</v>
      </c>
      <c r="N506" s="14">
        <v>10117.35</v>
      </c>
      <c r="O506" s="14">
        <v>10319.700000000001</v>
      </c>
      <c r="P506" s="14">
        <v>275</v>
      </c>
      <c r="Q506" s="14">
        <f t="shared" si="7"/>
        <v>67651.350000000006</v>
      </c>
      <c r="R506" s="14">
        <v>67926.350000000006</v>
      </c>
      <c r="S506" s="14" t="s">
        <v>54</v>
      </c>
      <c r="T506" s="14" t="s">
        <v>34</v>
      </c>
      <c r="U506" s="14" t="s">
        <v>46</v>
      </c>
      <c r="V506" s="14" t="s">
        <v>36</v>
      </c>
      <c r="W506" s="14" t="s">
        <v>37</v>
      </c>
      <c r="X506" s="14">
        <v>7</v>
      </c>
      <c r="Y506" s="14" t="s">
        <v>38</v>
      </c>
      <c r="Z506" s="14">
        <v>5</v>
      </c>
      <c r="AA506" s="14" t="s">
        <v>58</v>
      </c>
    </row>
    <row r="507" spans="1:27" x14ac:dyDescent="0.35">
      <c r="A507" s="14" t="s">
        <v>988</v>
      </c>
      <c r="B507" s="15">
        <v>45877</v>
      </c>
      <c r="C507" s="14" t="s">
        <v>636</v>
      </c>
      <c r="D507" s="14" t="s">
        <v>28</v>
      </c>
      <c r="E507" s="14" t="s">
        <v>43</v>
      </c>
      <c r="F507" s="14">
        <v>26</v>
      </c>
      <c r="G507" s="14" t="s">
        <v>90</v>
      </c>
      <c r="H507" s="14" t="s">
        <v>31</v>
      </c>
      <c r="I507" s="14" t="s">
        <v>90</v>
      </c>
      <c r="J507" s="14" t="s">
        <v>53</v>
      </c>
      <c r="K507" s="14">
        <v>4</v>
      </c>
      <c r="L507" s="14">
        <v>7865</v>
      </c>
      <c r="M507" s="14">
        <v>0</v>
      </c>
      <c r="N507" s="14">
        <v>0</v>
      </c>
      <c r="O507" s="14">
        <v>5662.8</v>
      </c>
      <c r="P507" s="14">
        <v>311</v>
      </c>
      <c r="Q507" s="14">
        <f t="shared" si="7"/>
        <v>37122.800000000003</v>
      </c>
      <c r="R507" s="14">
        <v>37433.800000000003</v>
      </c>
      <c r="S507" s="14" t="s">
        <v>33</v>
      </c>
      <c r="T507" s="14" t="s">
        <v>34</v>
      </c>
      <c r="U507" s="14" t="s">
        <v>103</v>
      </c>
      <c r="V507" s="14" t="s">
        <v>103</v>
      </c>
      <c r="W507" s="14" t="s">
        <v>57</v>
      </c>
      <c r="X507" s="14">
        <v>8</v>
      </c>
      <c r="Y507" s="14" t="s">
        <v>38</v>
      </c>
      <c r="Z507" s="14">
        <v>3</v>
      </c>
      <c r="AA507" s="14" t="s">
        <v>58</v>
      </c>
    </row>
    <row r="508" spans="1:27" x14ac:dyDescent="0.35">
      <c r="A508" s="14" t="s">
        <v>989</v>
      </c>
      <c r="B508" s="15">
        <v>45980</v>
      </c>
      <c r="C508" s="14" t="s">
        <v>990</v>
      </c>
      <c r="D508" s="14" t="s">
        <v>66</v>
      </c>
      <c r="E508" s="14" t="s">
        <v>29</v>
      </c>
      <c r="F508" s="14">
        <v>27</v>
      </c>
      <c r="G508" s="14" t="s">
        <v>99</v>
      </c>
      <c r="H508" s="14" t="s">
        <v>52</v>
      </c>
      <c r="I508" s="14" t="s">
        <v>99</v>
      </c>
      <c r="J508" s="14" t="s">
        <v>102</v>
      </c>
      <c r="K508" s="14">
        <v>5</v>
      </c>
      <c r="L508" s="14">
        <v>20520</v>
      </c>
      <c r="M508" s="14">
        <v>20</v>
      </c>
      <c r="N508" s="14">
        <v>20520</v>
      </c>
      <c r="O508" s="14">
        <v>14774.4</v>
      </c>
      <c r="P508" s="14">
        <v>70</v>
      </c>
      <c r="Q508" s="14">
        <f t="shared" si="7"/>
        <v>96854.399999999994</v>
      </c>
      <c r="R508" s="14">
        <v>96924.4</v>
      </c>
      <c r="S508" s="14" t="s">
        <v>33</v>
      </c>
      <c r="T508" s="14" t="s">
        <v>63</v>
      </c>
      <c r="U508" s="14" t="s">
        <v>95</v>
      </c>
      <c r="V508" s="14" t="s">
        <v>96</v>
      </c>
      <c r="W508" s="14" t="s">
        <v>57</v>
      </c>
      <c r="X508" s="14">
        <v>10</v>
      </c>
      <c r="Y508" s="14" t="s">
        <v>38</v>
      </c>
      <c r="Z508" s="14">
        <v>5</v>
      </c>
      <c r="AA508" s="14" t="s">
        <v>91</v>
      </c>
    </row>
    <row r="509" spans="1:27" x14ac:dyDescent="0.35">
      <c r="A509" s="14" t="s">
        <v>991</v>
      </c>
      <c r="B509" s="15">
        <v>45770</v>
      </c>
      <c r="C509" s="14" t="s">
        <v>294</v>
      </c>
      <c r="D509" s="14" t="s">
        <v>42</v>
      </c>
      <c r="E509" s="14" t="s">
        <v>43</v>
      </c>
      <c r="F509" s="14">
        <v>32</v>
      </c>
      <c r="G509" s="14" t="s">
        <v>134</v>
      </c>
      <c r="H509" s="14" t="s">
        <v>31</v>
      </c>
      <c r="I509" s="14" t="s">
        <v>134</v>
      </c>
      <c r="J509" s="14" t="s">
        <v>69</v>
      </c>
      <c r="K509" s="14">
        <v>3</v>
      </c>
      <c r="L509" s="14">
        <v>31680</v>
      </c>
      <c r="M509" s="14">
        <v>0</v>
      </c>
      <c r="N509" s="14">
        <v>0</v>
      </c>
      <c r="O509" s="14">
        <v>17107.2</v>
      </c>
      <c r="P509" s="14">
        <v>218</v>
      </c>
      <c r="Q509" s="14">
        <f t="shared" si="7"/>
        <v>112147.2</v>
      </c>
      <c r="R509" s="14">
        <v>112365.2</v>
      </c>
      <c r="S509" s="14" t="s">
        <v>83</v>
      </c>
      <c r="T509" s="14" t="s">
        <v>63</v>
      </c>
      <c r="U509" s="14" t="s">
        <v>55</v>
      </c>
      <c r="V509" s="14" t="s">
        <v>56</v>
      </c>
      <c r="W509" s="14" t="s">
        <v>57</v>
      </c>
      <c r="X509" s="14">
        <v>7</v>
      </c>
      <c r="Y509" s="14" t="s">
        <v>38</v>
      </c>
      <c r="Z509" s="14">
        <v>5</v>
      </c>
      <c r="AA509" s="14" t="s">
        <v>47</v>
      </c>
    </row>
    <row r="510" spans="1:27" x14ac:dyDescent="0.35">
      <c r="A510" s="14" t="s">
        <v>992</v>
      </c>
      <c r="B510" s="15">
        <v>45876</v>
      </c>
      <c r="C510" s="14" t="s">
        <v>993</v>
      </c>
      <c r="D510" s="14" t="s">
        <v>61</v>
      </c>
      <c r="E510" s="14" t="s">
        <v>29</v>
      </c>
      <c r="F510" s="14">
        <v>56</v>
      </c>
      <c r="G510" s="14" t="s">
        <v>74</v>
      </c>
      <c r="H510" s="14" t="s">
        <v>31</v>
      </c>
      <c r="I510" s="14" t="s">
        <v>74</v>
      </c>
      <c r="J510" s="14" t="s">
        <v>53</v>
      </c>
      <c r="K510" s="14">
        <v>5</v>
      </c>
      <c r="L510" s="14">
        <v>9895</v>
      </c>
      <c r="M510" s="14">
        <v>20</v>
      </c>
      <c r="N510" s="14">
        <v>9895</v>
      </c>
      <c r="O510" s="14">
        <v>7124.4</v>
      </c>
      <c r="P510" s="14">
        <v>285</v>
      </c>
      <c r="Q510" s="14">
        <f t="shared" si="7"/>
        <v>46704.4</v>
      </c>
      <c r="R510" s="14">
        <v>46989.4</v>
      </c>
      <c r="S510" s="14" t="s">
        <v>45</v>
      </c>
      <c r="T510" s="14" t="s">
        <v>63</v>
      </c>
      <c r="U510" s="14" t="s">
        <v>55</v>
      </c>
      <c r="V510" s="14" t="s">
        <v>56</v>
      </c>
      <c r="W510" s="14" t="s">
        <v>57</v>
      </c>
      <c r="X510" s="14">
        <v>10</v>
      </c>
      <c r="Y510" s="14" t="s">
        <v>38</v>
      </c>
      <c r="Z510" s="14">
        <v>3</v>
      </c>
      <c r="AA510" s="14" t="s">
        <v>58</v>
      </c>
    </row>
    <row r="511" spans="1:27" x14ac:dyDescent="0.35">
      <c r="A511" s="14" t="s">
        <v>994</v>
      </c>
      <c r="B511" s="15">
        <v>46106</v>
      </c>
      <c r="C511" s="14" t="s">
        <v>624</v>
      </c>
      <c r="D511" s="14" t="s">
        <v>89</v>
      </c>
      <c r="E511" s="14" t="s">
        <v>29</v>
      </c>
      <c r="F511" s="14">
        <v>48</v>
      </c>
      <c r="G511" s="14" t="s">
        <v>30</v>
      </c>
      <c r="H511" s="14" t="s">
        <v>31</v>
      </c>
      <c r="I511" s="14" t="s">
        <v>30</v>
      </c>
      <c r="J511" s="14" t="s">
        <v>202</v>
      </c>
      <c r="K511" s="14">
        <v>4</v>
      </c>
      <c r="L511" s="14">
        <v>11370</v>
      </c>
      <c r="M511" s="14">
        <v>10</v>
      </c>
      <c r="N511" s="14">
        <v>4548</v>
      </c>
      <c r="O511" s="14">
        <v>7367.76</v>
      </c>
      <c r="P511" s="14">
        <v>129</v>
      </c>
      <c r="Q511" s="14">
        <f t="shared" si="7"/>
        <v>48299.76</v>
      </c>
      <c r="R511" s="14">
        <v>48428.76</v>
      </c>
      <c r="S511" s="14" t="s">
        <v>83</v>
      </c>
      <c r="T511" s="14" t="s">
        <v>63</v>
      </c>
      <c r="U511" s="14" t="s">
        <v>46</v>
      </c>
      <c r="V511" s="14" t="s">
        <v>36</v>
      </c>
      <c r="W511" s="14" t="s">
        <v>37</v>
      </c>
      <c r="X511" s="14">
        <v>4</v>
      </c>
      <c r="Y511" s="14" t="s">
        <v>47</v>
      </c>
      <c r="Z511" s="14">
        <v>4</v>
      </c>
      <c r="AA511" s="14" t="s">
        <v>39</v>
      </c>
    </row>
    <row r="512" spans="1:27" x14ac:dyDescent="0.35">
      <c r="A512" s="14" t="s">
        <v>995</v>
      </c>
      <c r="B512" s="15">
        <v>46025</v>
      </c>
      <c r="C512" s="14" t="s">
        <v>996</v>
      </c>
      <c r="D512" s="14" t="s">
        <v>42</v>
      </c>
      <c r="E512" s="14" t="s">
        <v>43</v>
      </c>
      <c r="F512" s="14">
        <v>51</v>
      </c>
      <c r="G512" s="14" t="s">
        <v>99</v>
      </c>
      <c r="H512" s="14" t="s">
        <v>52</v>
      </c>
      <c r="I512" s="14" t="s">
        <v>99</v>
      </c>
      <c r="J512" s="14" t="s">
        <v>150</v>
      </c>
      <c r="K512" s="14">
        <v>1</v>
      </c>
      <c r="L512" s="14">
        <v>47284</v>
      </c>
      <c r="M512" s="14">
        <v>15</v>
      </c>
      <c r="N512" s="14">
        <v>7092.6</v>
      </c>
      <c r="O512" s="14">
        <v>7234.45</v>
      </c>
      <c r="P512" s="14">
        <v>432</v>
      </c>
      <c r="Q512" s="14">
        <f t="shared" si="7"/>
        <v>47425.85</v>
      </c>
      <c r="R512" s="14">
        <v>47857.85</v>
      </c>
      <c r="S512" s="14" t="s">
        <v>33</v>
      </c>
      <c r="T512" s="14" t="s">
        <v>34</v>
      </c>
      <c r="U512" s="14" t="s">
        <v>76</v>
      </c>
      <c r="V512" s="14" t="s">
        <v>77</v>
      </c>
      <c r="W512" s="14" t="s">
        <v>57</v>
      </c>
      <c r="X512" s="14">
        <v>9</v>
      </c>
      <c r="Y512" s="14" t="s">
        <v>38</v>
      </c>
      <c r="Z512" s="14">
        <v>4</v>
      </c>
      <c r="AA512" s="14" t="s">
        <v>91</v>
      </c>
    </row>
    <row r="513" spans="1:27" x14ac:dyDescent="0.35">
      <c r="A513" s="14" t="s">
        <v>997</v>
      </c>
      <c r="B513" s="15">
        <v>45941</v>
      </c>
      <c r="C513" s="14" t="s">
        <v>998</v>
      </c>
      <c r="D513" s="14" t="s">
        <v>111</v>
      </c>
      <c r="E513" s="14" t="s">
        <v>29</v>
      </c>
      <c r="F513" s="14">
        <v>49</v>
      </c>
      <c r="G513" s="14" t="s">
        <v>94</v>
      </c>
      <c r="H513" s="14" t="s">
        <v>31</v>
      </c>
      <c r="I513" s="14" t="s">
        <v>94</v>
      </c>
      <c r="J513" s="14" t="s">
        <v>62</v>
      </c>
      <c r="K513" s="14">
        <v>5</v>
      </c>
      <c r="L513" s="14">
        <v>15893</v>
      </c>
      <c r="M513" s="14">
        <v>15</v>
      </c>
      <c r="N513" s="14">
        <v>11919.75</v>
      </c>
      <c r="O513" s="14">
        <v>12158.15</v>
      </c>
      <c r="P513" s="14">
        <v>282</v>
      </c>
      <c r="Q513" s="14">
        <f t="shared" si="7"/>
        <v>79703.399999999994</v>
      </c>
      <c r="R513" s="14">
        <v>79985.399999999994</v>
      </c>
      <c r="S513" s="14" t="s">
        <v>33</v>
      </c>
      <c r="T513" s="14" t="s">
        <v>34</v>
      </c>
      <c r="U513" s="14" t="s">
        <v>84</v>
      </c>
      <c r="V513" s="14" t="s">
        <v>85</v>
      </c>
      <c r="W513" s="14" t="s">
        <v>86</v>
      </c>
      <c r="X513" s="14">
        <v>9</v>
      </c>
      <c r="Y513" s="14" t="s">
        <v>47</v>
      </c>
      <c r="Z513" s="14">
        <v>4</v>
      </c>
      <c r="AA513" s="14" t="s">
        <v>91</v>
      </c>
    </row>
    <row r="514" spans="1:27" x14ac:dyDescent="0.35">
      <c r="A514" s="14" t="s">
        <v>999</v>
      </c>
      <c r="B514" s="15">
        <v>45939</v>
      </c>
      <c r="C514" s="14" t="s">
        <v>1000</v>
      </c>
      <c r="D514" s="14" t="s">
        <v>28</v>
      </c>
      <c r="E514" s="14" t="s">
        <v>43</v>
      </c>
      <c r="F514" s="14">
        <v>24</v>
      </c>
      <c r="G514" s="14" t="s">
        <v>74</v>
      </c>
      <c r="H514" s="14" t="s">
        <v>31</v>
      </c>
      <c r="I514" s="14" t="s">
        <v>74</v>
      </c>
      <c r="J514" s="14" t="s">
        <v>112</v>
      </c>
      <c r="K514" s="14">
        <v>5</v>
      </c>
      <c r="L514" s="14">
        <v>27748</v>
      </c>
      <c r="M514" s="14">
        <v>10</v>
      </c>
      <c r="N514" s="14">
        <v>13874</v>
      </c>
      <c r="O514" s="14">
        <v>22475.88</v>
      </c>
      <c r="P514" s="14">
        <v>237</v>
      </c>
      <c r="Q514" s="14">
        <f t="shared" si="7"/>
        <v>147341.88</v>
      </c>
      <c r="R514" s="14">
        <v>147578.88</v>
      </c>
      <c r="S514" s="14" t="s">
        <v>33</v>
      </c>
      <c r="T514" s="14" t="s">
        <v>34</v>
      </c>
      <c r="U514" s="14" t="s">
        <v>76</v>
      </c>
      <c r="V514" s="14" t="s">
        <v>77</v>
      </c>
      <c r="W514" s="14" t="s">
        <v>57</v>
      </c>
      <c r="X514" s="14">
        <v>9</v>
      </c>
      <c r="Y514" s="14" t="s">
        <v>47</v>
      </c>
      <c r="Z514" s="14">
        <v>2</v>
      </c>
      <c r="AA514" s="14" t="s">
        <v>91</v>
      </c>
    </row>
    <row r="515" spans="1:27" x14ac:dyDescent="0.35">
      <c r="A515" s="14" t="s">
        <v>1001</v>
      </c>
      <c r="B515" s="15">
        <v>46082</v>
      </c>
      <c r="C515" s="14" t="s">
        <v>1002</v>
      </c>
      <c r="D515" s="14" t="s">
        <v>89</v>
      </c>
      <c r="E515" s="14" t="s">
        <v>43</v>
      </c>
      <c r="F515" s="14">
        <v>30</v>
      </c>
      <c r="G515" s="14" t="s">
        <v>67</v>
      </c>
      <c r="H515" s="14" t="s">
        <v>68</v>
      </c>
      <c r="I515" s="14" t="s">
        <v>67</v>
      </c>
      <c r="J515" s="14" t="s">
        <v>112</v>
      </c>
      <c r="K515" s="14">
        <v>1</v>
      </c>
      <c r="L515" s="14">
        <v>48180</v>
      </c>
      <c r="M515" s="14">
        <v>0</v>
      </c>
      <c r="N515" s="14">
        <v>0</v>
      </c>
      <c r="O515" s="14">
        <v>8672.4</v>
      </c>
      <c r="P515" s="14">
        <v>48</v>
      </c>
      <c r="Q515" s="14">
        <f t="shared" ref="Q515:Q578" si="8">R515-P515</f>
        <v>56852.4</v>
      </c>
      <c r="R515" s="14">
        <v>56900.4</v>
      </c>
      <c r="S515" s="14" t="s">
        <v>33</v>
      </c>
      <c r="T515" s="14" t="s">
        <v>63</v>
      </c>
      <c r="U515" s="14" t="s">
        <v>46</v>
      </c>
      <c r="V515" s="14" t="s">
        <v>36</v>
      </c>
      <c r="W515" s="14" t="s">
        <v>37</v>
      </c>
      <c r="X515" s="14">
        <v>7</v>
      </c>
      <c r="Y515" s="14" t="s">
        <v>38</v>
      </c>
      <c r="Z515" s="14">
        <v>3</v>
      </c>
      <c r="AA515" s="14" t="s">
        <v>39</v>
      </c>
    </row>
    <row r="516" spans="1:27" x14ac:dyDescent="0.35">
      <c r="A516" s="14" t="s">
        <v>1003</v>
      </c>
      <c r="B516" s="15">
        <v>46016</v>
      </c>
      <c r="C516" s="14" t="s">
        <v>1004</v>
      </c>
      <c r="D516" s="14" t="s">
        <v>73</v>
      </c>
      <c r="E516" s="14" t="s">
        <v>29</v>
      </c>
      <c r="F516" s="14">
        <v>49</v>
      </c>
      <c r="G516" s="14" t="s">
        <v>99</v>
      </c>
      <c r="H516" s="14" t="s">
        <v>52</v>
      </c>
      <c r="I516" s="14" t="s">
        <v>99</v>
      </c>
      <c r="J516" s="14" t="s">
        <v>202</v>
      </c>
      <c r="K516" s="14">
        <v>3</v>
      </c>
      <c r="L516" s="14">
        <v>13292</v>
      </c>
      <c r="M516" s="14">
        <v>15</v>
      </c>
      <c r="N516" s="14">
        <v>5981.4</v>
      </c>
      <c r="O516" s="14">
        <v>6101.03</v>
      </c>
      <c r="P516" s="14">
        <v>233</v>
      </c>
      <c r="Q516" s="14">
        <f t="shared" si="8"/>
        <v>39995.629999999997</v>
      </c>
      <c r="R516" s="14">
        <v>40228.629999999997</v>
      </c>
      <c r="S516" s="14" t="s">
        <v>83</v>
      </c>
      <c r="T516" s="14" t="s">
        <v>34</v>
      </c>
      <c r="U516" s="14" t="s">
        <v>70</v>
      </c>
      <c r="V516" s="14" t="s">
        <v>56</v>
      </c>
      <c r="W516" s="14" t="s">
        <v>57</v>
      </c>
      <c r="X516" s="14">
        <v>1</v>
      </c>
      <c r="Y516" s="14" t="s">
        <v>38</v>
      </c>
      <c r="Z516" s="14">
        <v>4</v>
      </c>
      <c r="AA516" s="14" t="s">
        <v>58</v>
      </c>
    </row>
    <row r="517" spans="1:27" x14ac:dyDescent="0.35">
      <c r="A517" s="14" t="s">
        <v>1005</v>
      </c>
      <c r="B517" s="15">
        <v>46120</v>
      </c>
      <c r="C517" s="14" t="s">
        <v>1006</v>
      </c>
      <c r="D517" s="14" t="s">
        <v>66</v>
      </c>
      <c r="E517" s="14" t="s">
        <v>29</v>
      </c>
      <c r="F517" s="14">
        <v>19</v>
      </c>
      <c r="G517" s="14" t="s">
        <v>134</v>
      </c>
      <c r="H517" s="14" t="s">
        <v>31</v>
      </c>
      <c r="I517" s="14" t="s">
        <v>134</v>
      </c>
      <c r="J517" s="14" t="s">
        <v>202</v>
      </c>
      <c r="K517" s="14">
        <v>4</v>
      </c>
      <c r="L517" s="14">
        <v>48469</v>
      </c>
      <c r="M517" s="14">
        <v>20</v>
      </c>
      <c r="N517" s="14">
        <v>38775.199999999997</v>
      </c>
      <c r="O517" s="14">
        <v>27918.14</v>
      </c>
      <c r="P517" s="14">
        <v>368</v>
      </c>
      <c r="Q517" s="14">
        <f t="shared" si="8"/>
        <v>183018.94</v>
      </c>
      <c r="R517" s="14">
        <v>183386.94</v>
      </c>
      <c r="S517" s="14" t="s">
        <v>45</v>
      </c>
      <c r="T517" s="14" t="s">
        <v>63</v>
      </c>
      <c r="U517" s="14" t="s">
        <v>35</v>
      </c>
      <c r="V517" s="14" t="s">
        <v>36</v>
      </c>
      <c r="W517" s="14" t="s">
        <v>37</v>
      </c>
      <c r="X517" s="14">
        <v>6</v>
      </c>
      <c r="Y517" s="14" t="s">
        <v>38</v>
      </c>
      <c r="Z517" s="14">
        <v>2</v>
      </c>
      <c r="AA517" s="14" t="s">
        <v>91</v>
      </c>
    </row>
    <row r="518" spans="1:27" x14ac:dyDescent="0.35">
      <c r="A518" s="14" t="s">
        <v>1007</v>
      </c>
      <c r="B518" s="15">
        <v>45990</v>
      </c>
      <c r="C518" s="14" t="s">
        <v>1008</v>
      </c>
      <c r="D518" s="14" t="s">
        <v>111</v>
      </c>
      <c r="E518" s="14" t="s">
        <v>43</v>
      </c>
      <c r="F518" s="14">
        <v>53</v>
      </c>
      <c r="G518" s="14" t="s">
        <v>139</v>
      </c>
      <c r="H518" s="14" t="s">
        <v>31</v>
      </c>
      <c r="I518" s="14" t="s">
        <v>139</v>
      </c>
      <c r="J518" s="14" t="s">
        <v>75</v>
      </c>
      <c r="K518" s="14">
        <v>5</v>
      </c>
      <c r="L518" s="14">
        <v>31571</v>
      </c>
      <c r="M518" s="14">
        <v>5</v>
      </c>
      <c r="N518" s="14">
        <v>7892.75</v>
      </c>
      <c r="O518" s="14">
        <v>26993.200000000001</v>
      </c>
      <c r="P518" s="14">
        <v>388</v>
      </c>
      <c r="Q518" s="14">
        <f t="shared" si="8"/>
        <v>176955.45</v>
      </c>
      <c r="R518" s="14">
        <v>177343.45</v>
      </c>
      <c r="S518" s="14" t="s">
        <v>54</v>
      </c>
      <c r="T518" s="14" t="s">
        <v>63</v>
      </c>
      <c r="U518" s="14" t="s">
        <v>103</v>
      </c>
      <c r="V518" s="14" t="s">
        <v>103</v>
      </c>
      <c r="W518" s="14" t="s">
        <v>57</v>
      </c>
      <c r="X518" s="14">
        <v>2</v>
      </c>
      <c r="Y518" s="14" t="s">
        <v>38</v>
      </c>
      <c r="Z518" s="14">
        <v>2</v>
      </c>
      <c r="AA518" s="14" t="s">
        <v>47</v>
      </c>
    </row>
    <row r="519" spans="1:27" x14ac:dyDescent="0.35">
      <c r="A519" s="14" t="s">
        <v>1009</v>
      </c>
      <c r="B519" s="15">
        <v>46044</v>
      </c>
      <c r="C519" s="14" t="s">
        <v>1010</v>
      </c>
      <c r="D519" s="14" t="s">
        <v>111</v>
      </c>
      <c r="E519" s="14" t="s">
        <v>43</v>
      </c>
      <c r="F519" s="14">
        <v>23</v>
      </c>
      <c r="G519" s="14" t="s">
        <v>51</v>
      </c>
      <c r="H519" s="14" t="s">
        <v>52</v>
      </c>
      <c r="I519" s="14" t="s">
        <v>51</v>
      </c>
      <c r="J519" s="14" t="s">
        <v>62</v>
      </c>
      <c r="K519" s="14">
        <v>3</v>
      </c>
      <c r="L519" s="14">
        <v>48754</v>
      </c>
      <c r="M519" s="14">
        <v>10</v>
      </c>
      <c r="N519" s="14">
        <v>14626.2</v>
      </c>
      <c r="O519" s="14">
        <v>23694.44</v>
      </c>
      <c r="P519" s="14">
        <v>56</v>
      </c>
      <c r="Q519" s="14">
        <f t="shared" si="8"/>
        <v>155330.23999999999</v>
      </c>
      <c r="R519" s="14">
        <v>155386.23999999999</v>
      </c>
      <c r="S519" s="14" t="s">
        <v>83</v>
      </c>
      <c r="T519" s="14" t="s">
        <v>63</v>
      </c>
      <c r="U519" s="14" t="s">
        <v>103</v>
      </c>
      <c r="V519" s="14" t="s">
        <v>103</v>
      </c>
      <c r="W519" s="14" t="s">
        <v>57</v>
      </c>
      <c r="X519" s="14">
        <v>4</v>
      </c>
      <c r="Y519" s="14" t="s">
        <v>47</v>
      </c>
      <c r="Z519" s="14">
        <v>2</v>
      </c>
      <c r="AA519" s="14" t="s">
        <v>39</v>
      </c>
    </row>
    <row r="520" spans="1:27" x14ac:dyDescent="0.35">
      <c r="A520" s="14" t="s">
        <v>1011</v>
      </c>
      <c r="B520" s="15">
        <v>45761</v>
      </c>
      <c r="C520" s="14" t="s">
        <v>516</v>
      </c>
      <c r="D520" s="14" t="s">
        <v>50</v>
      </c>
      <c r="E520" s="14" t="s">
        <v>43</v>
      </c>
      <c r="F520" s="14">
        <v>59</v>
      </c>
      <c r="G520" s="14" t="s">
        <v>99</v>
      </c>
      <c r="H520" s="14" t="s">
        <v>52</v>
      </c>
      <c r="I520" s="14" t="s">
        <v>99</v>
      </c>
      <c r="J520" s="14" t="s">
        <v>125</v>
      </c>
      <c r="K520" s="14">
        <v>5</v>
      </c>
      <c r="L520" s="14">
        <v>49241</v>
      </c>
      <c r="M520" s="14">
        <v>20</v>
      </c>
      <c r="N520" s="14">
        <v>49241</v>
      </c>
      <c r="O520" s="14">
        <v>35453.519999999997</v>
      </c>
      <c r="P520" s="14">
        <v>323</v>
      </c>
      <c r="Q520" s="14">
        <f t="shared" si="8"/>
        <v>232417.52</v>
      </c>
      <c r="R520" s="14">
        <v>232740.52</v>
      </c>
      <c r="S520" s="14" t="s">
        <v>45</v>
      </c>
      <c r="T520" s="14" t="s">
        <v>63</v>
      </c>
      <c r="U520" s="14" t="s">
        <v>35</v>
      </c>
      <c r="V520" s="14" t="s">
        <v>36</v>
      </c>
      <c r="W520" s="14" t="s">
        <v>37</v>
      </c>
      <c r="X520" s="14">
        <v>9</v>
      </c>
      <c r="Y520" s="14" t="s">
        <v>47</v>
      </c>
      <c r="Z520" s="14">
        <v>3</v>
      </c>
      <c r="AA520" s="14" t="s">
        <v>58</v>
      </c>
    </row>
    <row r="521" spans="1:27" x14ac:dyDescent="0.35">
      <c r="A521" s="14" t="s">
        <v>1012</v>
      </c>
      <c r="B521" s="15">
        <v>45802</v>
      </c>
      <c r="C521" s="14" t="s">
        <v>360</v>
      </c>
      <c r="D521" s="14" t="s">
        <v>80</v>
      </c>
      <c r="E521" s="14" t="s">
        <v>43</v>
      </c>
      <c r="F521" s="14">
        <v>52</v>
      </c>
      <c r="G521" s="14" t="s">
        <v>134</v>
      </c>
      <c r="H521" s="14" t="s">
        <v>31</v>
      </c>
      <c r="I521" s="14" t="s">
        <v>134</v>
      </c>
      <c r="J521" s="14" t="s">
        <v>75</v>
      </c>
      <c r="K521" s="14">
        <v>2</v>
      </c>
      <c r="L521" s="14">
        <v>17576</v>
      </c>
      <c r="M521" s="14">
        <v>10</v>
      </c>
      <c r="N521" s="14">
        <v>3515.2</v>
      </c>
      <c r="O521" s="14">
        <v>5694.62</v>
      </c>
      <c r="P521" s="14">
        <v>234</v>
      </c>
      <c r="Q521" s="14">
        <f t="shared" si="8"/>
        <v>37331.42</v>
      </c>
      <c r="R521" s="14">
        <v>37565.42</v>
      </c>
      <c r="S521" s="14" t="s">
        <v>54</v>
      </c>
      <c r="T521" s="14" t="s">
        <v>34</v>
      </c>
      <c r="U521" s="14" t="s">
        <v>55</v>
      </c>
      <c r="V521" s="14" t="s">
        <v>56</v>
      </c>
      <c r="W521" s="14" t="s">
        <v>57</v>
      </c>
      <c r="X521" s="14">
        <v>8</v>
      </c>
      <c r="Y521" s="14" t="s">
        <v>47</v>
      </c>
      <c r="Z521" s="14">
        <v>4</v>
      </c>
      <c r="AA521" s="14" t="s">
        <v>91</v>
      </c>
    </row>
    <row r="522" spans="1:27" x14ac:dyDescent="0.35">
      <c r="A522" s="14" t="s">
        <v>1013</v>
      </c>
      <c r="B522" s="15">
        <v>46034</v>
      </c>
      <c r="C522" s="14" t="s">
        <v>460</v>
      </c>
      <c r="D522" s="14" t="s">
        <v>73</v>
      </c>
      <c r="E522" s="14" t="s">
        <v>43</v>
      </c>
      <c r="F522" s="14">
        <v>48</v>
      </c>
      <c r="G522" s="14" t="s">
        <v>99</v>
      </c>
      <c r="H522" s="14" t="s">
        <v>52</v>
      </c>
      <c r="I522" s="14" t="s">
        <v>99</v>
      </c>
      <c r="J522" s="14" t="s">
        <v>202</v>
      </c>
      <c r="K522" s="14">
        <v>4</v>
      </c>
      <c r="L522" s="14">
        <v>14213</v>
      </c>
      <c r="M522" s="14">
        <v>5</v>
      </c>
      <c r="N522" s="14">
        <v>2842.6</v>
      </c>
      <c r="O522" s="14">
        <v>9721.69</v>
      </c>
      <c r="P522" s="14">
        <v>74</v>
      </c>
      <c r="Q522" s="14">
        <f t="shared" si="8"/>
        <v>63731.09</v>
      </c>
      <c r="R522" s="14">
        <v>63805.09</v>
      </c>
      <c r="S522" s="14" t="s">
        <v>45</v>
      </c>
      <c r="T522" s="14" t="s">
        <v>34</v>
      </c>
      <c r="U522" s="14" t="s">
        <v>35</v>
      </c>
      <c r="V522" s="14" t="s">
        <v>36</v>
      </c>
      <c r="W522" s="14" t="s">
        <v>37</v>
      </c>
      <c r="X522" s="14">
        <v>8</v>
      </c>
      <c r="Y522" s="14" t="s">
        <v>47</v>
      </c>
      <c r="Z522" s="14">
        <v>5</v>
      </c>
      <c r="AA522" s="14" t="s">
        <v>91</v>
      </c>
    </row>
    <row r="523" spans="1:27" x14ac:dyDescent="0.35">
      <c r="A523" s="14" t="s">
        <v>1014</v>
      </c>
      <c r="B523" s="15">
        <v>45953</v>
      </c>
      <c r="C523" s="14" t="s">
        <v>765</v>
      </c>
      <c r="D523" s="14" t="s">
        <v>111</v>
      </c>
      <c r="E523" s="14" t="s">
        <v>43</v>
      </c>
      <c r="F523" s="14">
        <v>35</v>
      </c>
      <c r="G523" s="14" t="s">
        <v>67</v>
      </c>
      <c r="H523" s="14" t="s">
        <v>68</v>
      </c>
      <c r="I523" s="14" t="s">
        <v>67</v>
      </c>
      <c r="J523" s="14" t="s">
        <v>202</v>
      </c>
      <c r="K523" s="14">
        <v>1</v>
      </c>
      <c r="L523" s="14">
        <v>43439</v>
      </c>
      <c r="M523" s="14">
        <v>0</v>
      </c>
      <c r="N523" s="14">
        <v>0</v>
      </c>
      <c r="O523" s="14">
        <v>7819.02</v>
      </c>
      <c r="P523" s="14">
        <v>403</v>
      </c>
      <c r="Q523" s="14">
        <f t="shared" si="8"/>
        <v>51258.02</v>
      </c>
      <c r="R523" s="14">
        <v>51661.02</v>
      </c>
      <c r="S523" s="14" t="s">
        <v>45</v>
      </c>
      <c r="T523" s="14" t="s">
        <v>63</v>
      </c>
      <c r="U523" s="14" t="s">
        <v>35</v>
      </c>
      <c r="V523" s="14" t="s">
        <v>36</v>
      </c>
      <c r="W523" s="14" t="s">
        <v>37</v>
      </c>
      <c r="X523" s="14">
        <v>3</v>
      </c>
      <c r="Y523" s="14" t="s">
        <v>38</v>
      </c>
      <c r="Z523" s="14">
        <v>1</v>
      </c>
      <c r="AA523" s="14" t="s">
        <v>58</v>
      </c>
    </row>
    <row r="524" spans="1:27" x14ac:dyDescent="0.35">
      <c r="A524" s="14" t="s">
        <v>1015</v>
      </c>
      <c r="B524" s="15">
        <v>45966</v>
      </c>
      <c r="C524" s="14" t="s">
        <v>1016</v>
      </c>
      <c r="D524" s="14" t="s">
        <v>73</v>
      </c>
      <c r="E524" s="14" t="s">
        <v>43</v>
      </c>
      <c r="F524" s="14">
        <v>42</v>
      </c>
      <c r="G524" s="14" t="s">
        <v>51</v>
      </c>
      <c r="H524" s="14" t="s">
        <v>52</v>
      </c>
      <c r="I524" s="14" t="s">
        <v>51</v>
      </c>
      <c r="J524" s="14" t="s">
        <v>112</v>
      </c>
      <c r="K524" s="14">
        <v>1</v>
      </c>
      <c r="L524" s="14">
        <v>35941</v>
      </c>
      <c r="M524" s="14">
        <v>5</v>
      </c>
      <c r="N524" s="14">
        <v>1797.05</v>
      </c>
      <c r="O524" s="14">
        <v>6145.91</v>
      </c>
      <c r="P524" s="14">
        <v>20</v>
      </c>
      <c r="Q524" s="14">
        <f t="shared" si="8"/>
        <v>40289.86</v>
      </c>
      <c r="R524" s="14">
        <v>40309.86</v>
      </c>
      <c r="S524" s="14" t="s">
        <v>45</v>
      </c>
      <c r="T524" s="14" t="s">
        <v>63</v>
      </c>
      <c r="U524" s="14" t="s">
        <v>46</v>
      </c>
      <c r="V524" s="14" t="s">
        <v>36</v>
      </c>
      <c r="W524" s="14" t="s">
        <v>37</v>
      </c>
      <c r="X524" s="14">
        <v>2</v>
      </c>
      <c r="Y524" s="14" t="s">
        <v>38</v>
      </c>
      <c r="Z524" s="14">
        <v>2</v>
      </c>
      <c r="AA524" s="14" t="s">
        <v>58</v>
      </c>
    </row>
    <row r="525" spans="1:27" x14ac:dyDescent="0.35">
      <c r="A525" s="14" t="s">
        <v>1017</v>
      </c>
      <c r="B525" s="15">
        <v>45937</v>
      </c>
      <c r="C525" s="14" t="s">
        <v>1018</v>
      </c>
      <c r="D525" s="14" t="s">
        <v>28</v>
      </c>
      <c r="E525" s="14" t="s">
        <v>43</v>
      </c>
      <c r="F525" s="14">
        <v>56</v>
      </c>
      <c r="G525" s="14" t="s">
        <v>30</v>
      </c>
      <c r="H525" s="14" t="s">
        <v>31</v>
      </c>
      <c r="I525" s="14" t="s">
        <v>30</v>
      </c>
      <c r="J525" s="14" t="s">
        <v>53</v>
      </c>
      <c r="K525" s="14">
        <v>2</v>
      </c>
      <c r="L525" s="14">
        <v>6043</v>
      </c>
      <c r="M525" s="14">
        <v>15</v>
      </c>
      <c r="N525" s="14">
        <v>1812.9</v>
      </c>
      <c r="O525" s="14">
        <v>1849.16</v>
      </c>
      <c r="P525" s="14">
        <v>480</v>
      </c>
      <c r="Q525" s="14">
        <f t="shared" si="8"/>
        <v>12122.26</v>
      </c>
      <c r="R525" s="14">
        <v>12602.26</v>
      </c>
      <c r="S525" s="14" t="s">
        <v>33</v>
      </c>
      <c r="T525" s="14" t="s">
        <v>34</v>
      </c>
      <c r="U525" s="14" t="s">
        <v>76</v>
      </c>
      <c r="V525" s="14" t="s">
        <v>77</v>
      </c>
      <c r="W525" s="14" t="s">
        <v>57</v>
      </c>
      <c r="X525" s="14">
        <v>7</v>
      </c>
      <c r="Y525" s="14" t="s">
        <v>47</v>
      </c>
      <c r="Z525" s="14">
        <v>5</v>
      </c>
      <c r="AA525" s="14" t="s">
        <v>47</v>
      </c>
    </row>
    <row r="526" spans="1:27" x14ac:dyDescent="0.35">
      <c r="A526" s="14" t="s">
        <v>1019</v>
      </c>
      <c r="B526" s="15">
        <v>46011</v>
      </c>
      <c r="C526" s="14" t="s">
        <v>339</v>
      </c>
      <c r="D526" s="14" t="s">
        <v>61</v>
      </c>
      <c r="E526" s="14" t="s">
        <v>43</v>
      </c>
      <c r="F526" s="14">
        <v>58</v>
      </c>
      <c r="G526" s="14" t="s">
        <v>90</v>
      </c>
      <c r="H526" s="14" t="s">
        <v>31</v>
      </c>
      <c r="I526" s="14" t="s">
        <v>90</v>
      </c>
      <c r="J526" s="14" t="s">
        <v>102</v>
      </c>
      <c r="K526" s="14">
        <v>3</v>
      </c>
      <c r="L526" s="14">
        <v>26460</v>
      </c>
      <c r="M526" s="14">
        <v>5</v>
      </c>
      <c r="N526" s="14">
        <v>3969</v>
      </c>
      <c r="O526" s="14">
        <v>13573.98</v>
      </c>
      <c r="P526" s="14">
        <v>340</v>
      </c>
      <c r="Q526" s="14">
        <f t="shared" si="8"/>
        <v>88984.98</v>
      </c>
      <c r="R526" s="14">
        <v>89324.98</v>
      </c>
      <c r="S526" s="14" t="s">
        <v>54</v>
      </c>
      <c r="T526" s="14" t="s">
        <v>63</v>
      </c>
      <c r="U526" s="14" t="s">
        <v>55</v>
      </c>
      <c r="V526" s="14" t="s">
        <v>56</v>
      </c>
      <c r="W526" s="14" t="s">
        <v>57</v>
      </c>
      <c r="X526" s="14">
        <v>2</v>
      </c>
      <c r="Y526" s="14" t="s">
        <v>38</v>
      </c>
      <c r="Z526" s="14">
        <v>4</v>
      </c>
      <c r="AA526" s="14" t="s">
        <v>91</v>
      </c>
    </row>
    <row r="527" spans="1:27" x14ac:dyDescent="0.35">
      <c r="A527" s="14" t="s">
        <v>1020</v>
      </c>
      <c r="B527" s="15">
        <v>45927</v>
      </c>
      <c r="C527" s="14" t="s">
        <v>1021</v>
      </c>
      <c r="D527" s="14" t="s">
        <v>28</v>
      </c>
      <c r="E527" s="14" t="s">
        <v>29</v>
      </c>
      <c r="F527" s="14">
        <v>51</v>
      </c>
      <c r="G527" s="14" t="s">
        <v>30</v>
      </c>
      <c r="H527" s="14" t="s">
        <v>31</v>
      </c>
      <c r="I527" s="14" t="s">
        <v>30</v>
      </c>
      <c r="J527" s="14" t="s">
        <v>150</v>
      </c>
      <c r="K527" s="14">
        <v>5</v>
      </c>
      <c r="L527" s="14">
        <v>37592</v>
      </c>
      <c r="M527" s="14">
        <v>10</v>
      </c>
      <c r="N527" s="14">
        <v>18796</v>
      </c>
      <c r="O527" s="14">
        <v>30449.52</v>
      </c>
      <c r="P527" s="14">
        <v>380</v>
      </c>
      <c r="Q527" s="14">
        <f t="shared" si="8"/>
        <v>199613.52</v>
      </c>
      <c r="R527" s="14">
        <v>199993.52</v>
      </c>
      <c r="S527" s="14" t="s">
        <v>54</v>
      </c>
      <c r="T527" s="14" t="s">
        <v>63</v>
      </c>
      <c r="U527" s="14" t="s">
        <v>76</v>
      </c>
      <c r="V527" s="14" t="s">
        <v>77</v>
      </c>
      <c r="W527" s="14" t="s">
        <v>57</v>
      </c>
      <c r="X527" s="14">
        <v>4</v>
      </c>
      <c r="Y527" s="14" t="s">
        <v>47</v>
      </c>
      <c r="Z527" s="14">
        <v>1</v>
      </c>
      <c r="AA527" s="14" t="s">
        <v>91</v>
      </c>
    </row>
    <row r="528" spans="1:27" x14ac:dyDescent="0.35">
      <c r="A528" s="14" t="s">
        <v>1022</v>
      </c>
      <c r="B528" s="15">
        <v>45925</v>
      </c>
      <c r="C528" s="14" t="s">
        <v>1023</v>
      </c>
      <c r="D528" s="14" t="s">
        <v>89</v>
      </c>
      <c r="E528" s="14" t="s">
        <v>29</v>
      </c>
      <c r="F528" s="14">
        <v>57</v>
      </c>
      <c r="G528" s="14" t="s">
        <v>74</v>
      </c>
      <c r="H528" s="14" t="s">
        <v>31</v>
      </c>
      <c r="I528" s="14" t="s">
        <v>74</v>
      </c>
      <c r="J528" s="14" t="s">
        <v>32</v>
      </c>
      <c r="K528" s="14">
        <v>1</v>
      </c>
      <c r="L528" s="14">
        <v>21149</v>
      </c>
      <c r="M528" s="14">
        <v>20</v>
      </c>
      <c r="N528" s="14">
        <v>4229.8</v>
      </c>
      <c r="O528" s="14">
        <v>3045.46</v>
      </c>
      <c r="P528" s="14">
        <v>298</v>
      </c>
      <c r="Q528" s="14">
        <f t="shared" si="8"/>
        <v>19964.66</v>
      </c>
      <c r="R528" s="14">
        <v>20262.66</v>
      </c>
      <c r="S528" s="14" t="s">
        <v>83</v>
      </c>
      <c r="T528" s="14" t="s">
        <v>63</v>
      </c>
      <c r="U528" s="14" t="s">
        <v>55</v>
      </c>
      <c r="V528" s="14" t="s">
        <v>56</v>
      </c>
      <c r="W528" s="14" t="s">
        <v>57</v>
      </c>
      <c r="X528" s="14">
        <v>1</v>
      </c>
      <c r="Y528" s="14" t="s">
        <v>47</v>
      </c>
      <c r="Z528" s="14">
        <v>5</v>
      </c>
      <c r="AA528" s="14" t="s">
        <v>39</v>
      </c>
    </row>
    <row r="529" spans="1:27" x14ac:dyDescent="0.35">
      <c r="A529" s="14" t="s">
        <v>1024</v>
      </c>
      <c r="B529" s="15">
        <v>46116</v>
      </c>
      <c r="C529" s="14" t="s">
        <v>981</v>
      </c>
      <c r="D529" s="14" t="s">
        <v>42</v>
      </c>
      <c r="E529" s="14" t="s">
        <v>29</v>
      </c>
      <c r="F529" s="14">
        <v>29</v>
      </c>
      <c r="G529" s="14" t="s">
        <v>139</v>
      </c>
      <c r="H529" s="14" t="s">
        <v>31</v>
      </c>
      <c r="I529" s="14" t="s">
        <v>139</v>
      </c>
      <c r="J529" s="14" t="s">
        <v>125</v>
      </c>
      <c r="K529" s="14">
        <v>2</v>
      </c>
      <c r="L529" s="14">
        <v>7542</v>
      </c>
      <c r="M529" s="14">
        <v>0</v>
      </c>
      <c r="N529" s="14">
        <v>0</v>
      </c>
      <c r="O529" s="14">
        <v>2715.12</v>
      </c>
      <c r="P529" s="14">
        <v>336</v>
      </c>
      <c r="Q529" s="14">
        <f t="shared" si="8"/>
        <v>17799.12</v>
      </c>
      <c r="R529" s="14">
        <v>18135.12</v>
      </c>
      <c r="S529" s="14" t="s">
        <v>83</v>
      </c>
      <c r="T529" s="14" t="s">
        <v>34</v>
      </c>
      <c r="U529" s="14" t="s">
        <v>55</v>
      </c>
      <c r="V529" s="14" t="s">
        <v>56</v>
      </c>
      <c r="W529" s="14" t="s">
        <v>57</v>
      </c>
      <c r="X529" s="14">
        <v>4</v>
      </c>
      <c r="Y529" s="14" t="s">
        <v>38</v>
      </c>
      <c r="Z529" s="14">
        <v>2</v>
      </c>
      <c r="AA529" s="14" t="s">
        <v>39</v>
      </c>
    </row>
    <row r="530" spans="1:27" x14ac:dyDescent="0.35">
      <c r="A530" s="14" t="s">
        <v>1025</v>
      </c>
      <c r="B530" s="15">
        <v>45796</v>
      </c>
      <c r="C530" s="14" t="s">
        <v>910</v>
      </c>
      <c r="D530" s="14" t="s">
        <v>42</v>
      </c>
      <c r="E530" s="14" t="s">
        <v>43</v>
      </c>
      <c r="F530" s="14">
        <v>44</v>
      </c>
      <c r="G530" s="14" t="s">
        <v>74</v>
      </c>
      <c r="H530" s="14" t="s">
        <v>31</v>
      </c>
      <c r="I530" s="14" t="s">
        <v>74</v>
      </c>
      <c r="J530" s="14" t="s">
        <v>112</v>
      </c>
      <c r="K530" s="14">
        <v>1</v>
      </c>
      <c r="L530" s="14">
        <v>13196</v>
      </c>
      <c r="M530" s="14">
        <v>15</v>
      </c>
      <c r="N530" s="14">
        <v>1979.4</v>
      </c>
      <c r="O530" s="14">
        <v>2018.99</v>
      </c>
      <c r="P530" s="14">
        <v>439</v>
      </c>
      <c r="Q530" s="14">
        <f t="shared" si="8"/>
        <v>13235.59</v>
      </c>
      <c r="R530" s="14">
        <v>13674.59</v>
      </c>
      <c r="S530" s="14" t="s">
        <v>45</v>
      </c>
      <c r="T530" s="14" t="s">
        <v>63</v>
      </c>
      <c r="U530" s="14" t="s">
        <v>55</v>
      </c>
      <c r="V530" s="14" t="s">
        <v>56</v>
      </c>
      <c r="W530" s="14" t="s">
        <v>57</v>
      </c>
      <c r="X530" s="14">
        <v>8</v>
      </c>
      <c r="Y530" s="14" t="s">
        <v>47</v>
      </c>
      <c r="Z530" s="14">
        <v>2</v>
      </c>
      <c r="AA530" s="14" t="s">
        <v>39</v>
      </c>
    </row>
    <row r="531" spans="1:27" x14ac:dyDescent="0.35">
      <c r="A531" s="14" t="s">
        <v>1026</v>
      </c>
      <c r="B531" s="15">
        <v>45843</v>
      </c>
      <c r="C531" s="14" t="s">
        <v>1027</v>
      </c>
      <c r="D531" s="14" t="s">
        <v>108</v>
      </c>
      <c r="E531" s="14" t="s">
        <v>29</v>
      </c>
      <c r="F531" s="14">
        <v>18</v>
      </c>
      <c r="G531" s="14" t="s">
        <v>74</v>
      </c>
      <c r="H531" s="14" t="s">
        <v>31</v>
      </c>
      <c r="I531" s="14" t="s">
        <v>74</v>
      </c>
      <c r="J531" s="14" t="s">
        <v>32</v>
      </c>
      <c r="K531" s="14">
        <v>4</v>
      </c>
      <c r="L531" s="14">
        <v>14222</v>
      </c>
      <c r="M531" s="14">
        <v>0</v>
      </c>
      <c r="N531" s="14">
        <v>0</v>
      </c>
      <c r="O531" s="14">
        <v>10239.84</v>
      </c>
      <c r="P531" s="14">
        <v>498</v>
      </c>
      <c r="Q531" s="14">
        <f t="shared" si="8"/>
        <v>67127.839999999997</v>
      </c>
      <c r="R531" s="14">
        <v>67625.84</v>
      </c>
      <c r="S531" s="14" t="s">
        <v>83</v>
      </c>
      <c r="T531" s="14" t="s">
        <v>34</v>
      </c>
      <c r="U531" s="14" t="s">
        <v>95</v>
      </c>
      <c r="V531" s="14" t="s">
        <v>96</v>
      </c>
      <c r="W531" s="14" t="s">
        <v>57</v>
      </c>
      <c r="X531" s="14">
        <v>8</v>
      </c>
      <c r="Y531" s="14" t="s">
        <v>47</v>
      </c>
      <c r="Z531" s="14">
        <v>4</v>
      </c>
      <c r="AA531" s="14" t="s">
        <v>58</v>
      </c>
    </row>
    <row r="532" spans="1:27" x14ac:dyDescent="0.35">
      <c r="A532" s="14" t="s">
        <v>1028</v>
      </c>
      <c r="B532" s="15">
        <v>45799</v>
      </c>
      <c r="C532" s="14" t="s">
        <v>1029</v>
      </c>
      <c r="D532" s="14" t="s">
        <v>66</v>
      </c>
      <c r="E532" s="14" t="s">
        <v>43</v>
      </c>
      <c r="F532" s="14">
        <v>33</v>
      </c>
      <c r="G532" s="14" t="s">
        <v>44</v>
      </c>
      <c r="H532" s="14" t="s">
        <v>31</v>
      </c>
      <c r="I532" s="14" t="s">
        <v>44</v>
      </c>
      <c r="J532" s="14" t="s">
        <v>125</v>
      </c>
      <c r="K532" s="14">
        <v>4</v>
      </c>
      <c r="L532" s="14">
        <v>19887</v>
      </c>
      <c r="M532" s="14">
        <v>10</v>
      </c>
      <c r="N532" s="14">
        <v>7954.8</v>
      </c>
      <c r="O532" s="14">
        <v>12886.78</v>
      </c>
      <c r="P532" s="14">
        <v>318</v>
      </c>
      <c r="Q532" s="14">
        <f t="shared" si="8"/>
        <v>84479.98</v>
      </c>
      <c r="R532" s="14">
        <v>84797.98</v>
      </c>
      <c r="S532" s="14" t="s">
        <v>33</v>
      </c>
      <c r="T532" s="14" t="s">
        <v>63</v>
      </c>
      <c r="U532" s="14" t="s">
        <v>35</v>
      </c>
      <c r="V532" s="14" t="s">
        <v>36</v>
      </c>
      <c r="W532" s="14" t="s">
        <v>37</v>
      </c>
      <c r="X532" s="14">
        <v>2</v>
      </c>
      <c r="Y532" s="14" t="s">
        <v>47</v>
      </c>
      <c r="Z532" s="14">
        <v>4</v>
      </c>
      <c r="AA532" s="14" t="s">
        <v>91</v>
      </c>
    </row>
    <row r="533" spans="1:27" x14ac:dyDescent="0.35">
      <c r="A533" s="14" t="s">
        <v>1030</v>
      </c>
      <c r="B533" s="15">
        <v>45808</v>
      </c>
      <c r="C533" s="14" t="s">
        <v>644</v>
      </c>
      <c r="D533" s="14" t="s">
        <v>50</v>
      </c>
      <c r="E533" s="14" t="s">
        <v>29</v>
      </c>
      <c r="F533" s="14">
        <v>51</v>
      </c>
      <c r="G533" s="14" t="s">
        <v>139</v>
      </c>
      <c r="H533" s="14" t="s">
        <v>31</v>
      </c>
      <c r="I533" s="14" t="s">
        <v>139</v>
      </c>
      <c r="J533" s="14" t="s">
        <v>32</v>
      </c>
      <c r="K533" s="14">
        <v>2</v>
      </c>
      <c r="L533" s="14">
        <v>7873</v>
      </c>
      <c r="M533" s="14">
        <v>5</v>
      </c>
      <c r="N533" s="14">
        <v>787.3</v>
      </c>
      <c r="O533" s="14">
        <v>2692.57</v>
      </c>
      <c r="P533" s="14">
        <v>155</v>
      </c>
      <c r="Q533" s="14">
        <f t="shared" si="8"/>
        <v>17651.27</v>
      </c>
      <c r="R533" s="14">
        <v>17806.27</v>
      </c>
      <c r="S533" s="14" t="s">
        <v>33</v>
      </c>
      <c r="T533" s="14" t="s">
        <v>34</v>
      </c>
      <c r="U533" s="14" t="s">
        <v>95</v>
      </c>
      <c r="V533" s="14" t="s">
        <v>96</v>
      </c>
      <c r="W533" s="14" t="s">
        <v>57</v>
      </c>
      <c r="X533" s="14">
        <v>7</v>
      </c>
      <c r="Y533" s="14" t="s">
        <v>47</v>
      </c>
      <c r="Z533" s="14">
        <v>5</v>
      </c>
      <c r="AA533" s="14" t="s">
        <v>91</v>
      </c>
    </row>
    <row r="534" spans="1:27" x14ac:dyDescent="0.35">
      <c r="A534" s="14" t="s">
        <v>1031</v>
      </c>
      <c r="B534" s="15">
        <v>45832</v>
      </c>
      <c r="C534" s="14" t="s">
        <v>339</v>
      </c>
      <c r="D534" s="14" t="s">
        <v>28</v>
      </c>
      <c r="E534" s="14" t="s">
        <v>29</v>
      </c>
      <c r="F534" s="14">
        <v>46</v>
      </c>
      <c r="G534" s="14" t="s">
        <v>44</v>
      </c>
      <c r="H534" s="14" t="s">
        <v>31</v>
      </c>
      <c r="I534" s="14" t="s">
        <v>44</v>
      </c>
      <c r="J534" s="14" t="s">
        <v>32</v>
      </c>
      <c r="K534" s="14">
        <v>1</v>
      </c>
      <c r="L534" s="14">
        <v>42929</v>
      </c>
      <c r="M534" s="14">
        <v>20</v>
      </c>
      <c r="N534" s="14">
        <v>8585.7999999999993</v>
      </c>
      <c r="O534" s="14">
        <v>6181.78</v>
      </c>
      <c r="P534" s="14">
        <v>228</v>
      </c>
      <c r="Q534" s="14">
        <f t="shared" si="8"/>
        <v>40524.980000000003</v>
      </c>
      <c r="R534" s="14">
        <v>40752.980000000003</v>
      </c>
      <c r="S534" s="14" t="s">
        <v>83</v>
      </c>
      <c r="T534" s="14" t="s">
        <v>34</v>
      </c>
      <c r="U534" s="14" t="s">
        <v>103</v>
      </c>
      <c r="V534" s="14" t="s">
        <v>103</v>
      </c>
      <c r="W534" s="14" t="s">
        <v>57</v>
      </c>
      <c r="X534" s="14">
        <v>10</v>
      </c>
      <c r="Y534" s="14" t="s">
        <v>38</v>
      </c>
      <c r="Z534" s="14">
        <v>3</v>
      </c>
      <c r="AA534" s="14" t="s">
        <v>91</v>
      </c>
    </row>
    <row r="535" spans="1:27" x14ac:dyDescent="0.35">
      <c r="A535" s="14" t="s">
        <v>1032</v>
      </c>
      <c r="B535" s="15">
        <v>45874</v>
      </c>
      <c r="C535" s="14" t="s">
        <v>1033</v>
      </c>
      <c r="D535" s="14" t="s">
        <v>89</v>
      </c>
      <c r="E535" s="14" t="s">
        <v>29</v>
      </c>
      <c r="F535" s="14">
        <v>43</v>
      </c>
      <c r="G535" s="14" t="s">
        <v>90</v>
      </c>
      <c r="H535" s="14" t="s">
        <v>31</v>
      </c>
      <c r="I535" s="14" t="s">
        <v>90</v>
      </c>
      <c r="J535" s="14" t="s">
        <v>75</v>
      </c>
      <c r="K535" s="14">
        <v>1</v>
      </c>
      <c r="L535" s="14">
        <v>41961</v>
      </c>
      <c r="M535" s="14">
        <v>10</v>
      </c>
      <c r="N535" s="14">
        <v>4196.1000000000004</v>
      </c>
      <c r="O535" s="14">
        <v>6797.68</v>
      </c>
      <c r="P535" s="14">
        <v>63</v>
      </c>
      <c r="Q535" s="14">
        <f t="shared" si="8"/>
        <v>44562.58</v>
      </c>
      <c r="R535" s="14">
        <v>44625.58</v>
      </c>
      <c r="S535" s="14" t="s">
        <v>54</v>
      </c>
      <c r="T535" s="14" t="s">
        <v>63</v>
      </c>
      <c r="U535" s="14" t="s">
        <v>76</v>
      </c>
      <c r="V535" s="14" t="s">
        <v>77</v>
      </c>
      <c r="W535" s="14" t="s">
        <v>57</v>
      </c>
      <c r="X535" s="14">
        <v>8</v>
      </c>
      <c r="Y535" s="14" t="s">
        <v>47</v>
      </c>
      <c r="Z535" s="14">
        <v>5</v>
      </c>
      <c r="AA535" s="14" t="s">
        <v>91</v>
      </c>
    </row>
    <row r="536" spans="1:27" x14ac:dyDescent="0.35">
      <c r="A536" s="14" t="s">
        <v>1034</v>
      </c>
      <c r="B536" s="15">
        <v>45879</v>
      </c>
      <c r="C536" s="14" t="s">
        <v>1035</v>
      </c>
      <c r="D536" s="14" t="s">
        <v>80</v>
      </c>
      <c r="E536" s="14" t="s">
        <v>29</v>
      </c>
      <c r="F536" s="14">
        <v>60</v>
      </c>
      <c r="G536" s="14" t="s">
        <v>134</v>
      </c>
      <c r="H536" s="14" t="s">
        <v>31</v>
      </c>
      <c r="I536" s="14" t="s">
        <v>134</v>
      </c>
      <c r="J536" s="14" t="s">
        <v>112</v>
      </c>
      <c r="K536" s="14">
        <v>5</v>
      </c>
      <c r="L536" s="14">
        <v>6154</v>
      </c>
      <c r="M536" s="14">
        <v>15</v>
      </c>
      <c r="N536" s="14">
        <v>4615.5</v>
      </c>
      <c r="O536" s="14">
        <v>4707.8100000000004</v>
      </c>
      <c r="P536" s="14">
        <v>460</v>
      </c>
      <c r="Q536" s="14">
        <f t="shared" si="8"/>
        <v>30862.31</v>
      </c>
      <c r="R536" s="14">
        <v>31322.31</v>
      </c>
      <c r="S536" s="14" t="s">
        <v>54</v>
      </c>
      <c r="T536" s="14" t="s">
        <v>63</v>
      </c>
      <c r="U536" s="14" t="s">
        <v>55</v>
      </c>
      <c r="V536" s="14" t="s">
        <v>56</v>
      </c>
      <c r="W536" s="14" t="s">
        <v>57</v>
      </c>
      <c r="X536" s="14">
        <v>10</v>
      </c>
      <c r="Y536" s="14" t="s">
        <v>47</v>
      </c>
      <c r="Z536" s="14">
        <v>1</v>
      </c>
      <c r="AA536" s="14" t="s">
        <v>39</v>
      </c>
    </row>
    <row r="537" spans="1:27" x14ac:dyDescent="0.35">
      <c r="A537" s="14" t="s">
        <v>1036</v>
      </c>
      <c r="B537" s="15">
        <v>46074</v>
      </c>
      <c r="C537" s="14" t="s">
        <v>937</v>
      </c>
      <c r="D537" s="14" t="s">
        <v>80</v>
      </c>
      <c r="E537" s="14" t="s">
        <v>43</v>
      </c>
      <c r="F537" s="14">
        <v>44</v>
      </c>
      <c r="G537" s="14" t="s">
        <v>67</v>
      </c>
      <c r="H537" s="14" t="s">
        <v>68</v>
      </c>
      <c r="I537" s="14" t="s">
        <v>67</v>
      </c>
      <c r="J537" s="14" t="s">
        <v>150</v>
      </c>
      <c r="K537" s="14">
        <v>2</v>
      </c>
      <c r="L537" s="14">
        <v>43139</v>
      </c>
      <c r="M537" s="14">
        <v>20</v>
      </c>
      <c r="N537" s="14">
        <v>17255.599999999999</v>
      </c>
      <c r="O537" s="14">
        <v>12424.03</v>
      </c>
      <c r="P537" s="14">
        <v>165</v>
      </c>
      <c r="Q537" s="14">
        <f t="shared" si="8"/>
        <v>81446.429999999993</v>
      </c>
      <c r="R537" s="14">
        <v>81611.429999999993</v>
      </c>
      <c r="S537" s="14" t="s">
        <v>54</v>
      </c>
      <c r="T537" s="14" t="s">
        <v>34</v>
      </c>
      <c r="U537" s="14" t="s">
        <v>55</v>
      </c>
      <c r="V537" s="14" t="s">
        <v>56</v>
      </c>
      <c r="W537" s="14" t="s">
        <v>57</v>
      </c>
      <c r="X537" s="14">
        <v>1</v>
      </c>
      <c r="Y537" s="14" t="s">
        <v>38</v>
      </c>
      <c r="Z537" s="14">
        <v>5</v>
      </c>
      <c r="AA537" s="14" t="s">
        <v>47</v>
      </c>
    </row>
    <row r="538" spans="1:27" x14ac:dyDescent="0.35">
      <c r="A538" s="14" t="s">
        <v>1037</v>
      </c>
      <c r="B538" s="15">
        <v>45867</v>
      </c>
      <c r="C538" s="14" t="s">
        <v>1038</v>
      </c>
      <c r="D538" s="14" t="s">
        <v>80</v>
      </c>
      <c r="E538" s="14" t="s">
        <v>43</v>
      </c>
      <c r="F538" s="14">
        <v>26</v>
      </c>
      <c r="G538" s="14" t="s">
        <v>51</v>
      </c>
      <c r="H538" s="14" t="s">
        <v>52</v>
      </c>
      <c r="I538" s="14" t="s">
        <v>51</v>
      </c>
      <c r="J538" s="14" t="s">
        <v>62</v>
      </c>
      <c r="K538" s="14">
        <v>4</v>
      </c>
      <c r="L538" s="14">
        <v>39551</v>
      </c>
      <c r="M538" s="14">
        <v>0</v>
      </c>
      <c r="N538" s="14">
        <v>0</v>
      </c>
      <c r="O538" s="14">
        <v>28476.720000000001</v>
      </c>
      <c r="P538" s="14">
        <v>416</v>
      </c>
      <c r="Q538" s="14">
        <f t="shared" si="8"/>
        <v>186680.72</v>
      </c>
      <c r="R538" s="14">
        <v>187096.72</v>
      </c>
      <c r="S538" s="14" t="s">
        <v>33</v>
      </c>
      <c r="T538" s="14" t="s">
        <v>63</v>
      </c>
      <c r="U538" s="14" t="s">
        <v>84</v>
      </c>
      <c r="V538" s="14" t="s">
        <v>85</v>
      </c>
      <c r="W538" s="14" t="s">
        <v>86</v>
      </c>
      <c r="X538" s="14">
        <v>5</v>
      </c>
      <c r="Y538" s="14" t="s">
        <v>47</v>
      </c>
      <c r="Z538" s="14">
        <v>4</v>
      </c>
      <c r="AA538" s="14" t="s">
        <v>47</v>
      </c>
    </row>
    <row r="539" spans="1:27" x14ac:dyDescent="0.35">
      <c r="A539" s="14" t="s">
        <v>1039</v>
      </c>
      <c r="B539" s="15">
        <v>46022</v>
      </c>
      <c r="C539" s="14" t="s">
        <v>1040</v>
      </c>
      <c r="D539" s="14" t="s">
        <v>89</v>
      </c>
      <c r="E539" s="14" t="s">
        <v>29</v>
      </c>
      <c r="F539" s="14">
        <v>27</v>
      </c>
      <c r="G539" s="14" t="s">
        <v>134</v>
      </c>
      <c r="H539" s="14" t="s">
        <v>31</v>
      </c>
      <c r="I539" s="14" t="s">
        <v>134</v>
      </c>
      <c r="J539" s="14" t="s">
        <v>32</v>
      </c>
      <c r="K539" s="14">
        <v>4</v>
      </c>
      <c r="L539" s="14">
        <v>48917</v>
      </c>
      <c r="M539" s="14">
        <v>0</v>
      </c>
      <c r="N539" s="14">
        <v>0</v>
      </c>
      <c r="O539" s="14">
        <v>35220.239999999998</v>
      </c>
      <c r="P539" s="14">
        <v>296</v>
      </c>
      <c r="Q539" s="14">
        <f t="shared" si="8"/>
        <v>230888.24</v>
      </c>
      <c r="R539" s="14">
        <v>231184.24</v>
      </c>
      <c r="S539" s="14" t="s">
        <v>83</v>
      </c>
      <c r="T539" s="14" t="s">
        <v>63</v>
      </c>
      <c r="U539" s="14" t="s">
        <v>70</v>
      </c>
      <c r="V539" s="14" t="s">
        <v>56</v>
      </c>
      <c r="W539" s="14" t="s">
        <v>57</v>
      </c>
      <c r="X539" s="14">
        <v>6</v>
      </c>
      <c r="Y539" s="14" t="s">
        <v>47</v>
      </c>
      <c r="Z539" s="14">
        <v>4</v>
      </c>
      <c r="AA539" s="14" t="s">
        <v>39</v>
      </c>
    </row>
    <row r="540" spans="1:27" x14ac:dyDescent="0.35">
      <c r="A540" s="14" t="s">
        <v>1041</v>
      </c>
      <c r="B540" s="15">
        <v>45952</v>
      </c>
      <c r="C540" s="14" t="s">
        <v>317</v>
      </c>
      <c r="D540" s="14" t="s">
        <v>28</v>
      </c>
      <c r="E540" s="14" t="s">
        <v>43</v>
      </c>
      <c r="F540" s="14">
        <v>47</v>
      </c>
      <c r="G540" s="14" t="s">
        <v>74</v>
      </c>
      <c r="H540" s="14" t="s">
        <v>31</v>
      </c>
      <c r="I540" s="14" t="s">
        <v>74</v>
      </c>
      <c r="J540" s="14" t="s">
        <v>150</v>
      </c>
      <c r="K540" s="14">
        <v>3</v>
      </c>
      <c r="L540" s="14">
        <v>40702</v>
      </c>
      <c r="M540" s="14">
        <v>20</v>
      </c>
      <c r="N540" s="14">
        <v>24421.200000000001</v>
      </c>
      <c r="O540" s="14">
        <v>17583.259999999998</v>
      </c>
      <c r="P540" s="14">
        <v>193</v>
      </c>
      <c r="Q540" s="14">
        <f t="shared" si="8"/>
        <v>115268.06</v>
      </c>
      <c r="R540" s="14">
        <v>115461.06</v>
      </c>
      <c r="S540" s="14" t="s">
        <v>83</v>
      </c>
      <c r="T540" s="14" t="s">
        <v>63</v>
      </c>
      <c r="U540" s="14" t="s">
        <v>84</v>
      </c>
      <c r="V540" s="14" t="s">
        <v>85</v>
      </c>
      <c r="W540" s="14" t="s">
        <v>86</v>
      </c>
      <c r="X540" s="14">
        <v>5</v>
      </c>
      <c r="Y540" s="14" t="s">
        <v>38</v>
      </c>
      <c r="Z540" s="14">
        <v>2</v>
      </c>
      <c r="AA540" s="14" t="s">
        <v>39</v>
      </c>
    </row>
    <row r="541" spans="1:27" x14ac:dyDescent="0.35">
      <c r="A541" s="14" t="s">
        <v>1042</v>
      </c>
      <c r="B541" s="15">
        <v>45908</v>
      </c>
      <c r="C541" s="14" t="s">
        <v>49</v>
      </c>
      <c r="D541" s="14" t="s">
        <v>80</v>
      </c>
      <c r="E541" s="14" t="s">
        <v>29</v>
      </c>
      <c r="F541" s="14">
        <v>58</v>
      </c>
      <c r="G541" s="14" t="s">
        <v>134</v>
      </c>
      <c r="H541" s="14" t="s">
        <v>31</v>
      </c>
      <c r="I541" s="14" t="s">
        <v>134</v>
      </c>
      <c r="J541" s="14" t="s">
        <v>150</v>
      </c>
      <c r="K541" s="14">
        <v>2</v>
      </c>
      <c r="L541" s="14">
        <v>4559</v>
      </c>
      <c r="M541" s="14">
        <v>0</v>
      </c>
      <c r="N541" s="14">
        <v>0</v>
      </c>
      <c r="O541" s="14">
        <v>1641.24</v>
      </c>
      <c r="P541" s="14">
        <v>387</v>
      </c>
      <c r="Q541" s="14">
        <f t="shared" si="8"/>
        <v>10759.24</v>
      </c>
      <c r="R541" s="14">
        <v>11146.24</v>
      </c>
      <c r="S541" s="14" t="s">
        <v>33</v>
      </c>
      <c r="T541" s="14" t="s">
        <v>63</v>
      </c>
      <c r="U541" s="14" t="s">
        <v>70</v>
      </c>
      <c r="V541" s="14" t="s">
        <v>56</v>
      </c>
      <c r="W541" s="14" t="s">
        <v>57</v>
      </c>
      <c r="X541" s="14">
        <v>6</v>
      </c>
      <c r="Y541" s="14" t="s">
        <v>47</v>
      </c>
      <c r="Z541" s="14">
        <v>1</v>
      </c>
      <c r="AA541" s="14" t="s">
        <v>47</v>
      </c>
    </row>
    <row r="542" spans="1:27" x14ac:dyDescent="0.35">
      <c r="A542" s="14" t="s">
        <v>1043</v>
      </c>
      <c r="B542" s="15">
        <v>46101</v>
      </c>
      <c r="C542" s="14" t="s">
        <v>1044</v>
      </c>
      <c r="D542" s="14" t="s">
        <v>28</v>
      </c>
      <c r="E542" s="14" t="s">
        <v>43</v>
      </c>
      <c r="F542" s="14">
        <v>34</v>
      </c>
      <c r="G542" s="14" t="s">
        <v>74</v>
      </c>
      <c r="H542" s="14" t="s">
        <v>31</v>
      </c>
      <c r="I542" s="14" t="s">
        <v>74</v>
      </c>
      <c r="J542" s="14" t="s">
        <v>32</v>
      </c>
      <c r="K542" s="14">
        <v>5</v>
      </c>
      <c r="L542" s="14">
        <v>2350</v>
      </c>
      <c r="M542" s="14">
        <v>10</v>
      </c>
      <c r="N542" s="14">
        <v>1175</v>
      </c>
      <c r="O542" s="14">
        <v>1903.5</v>
      </c>
      <c r="P542" s="14">
        <v>454</v>
      </c>
      <c r="Q542" s="14">
        <f t="shared" si="8"/>
        <v>12478.5</v>
      </c>
      <c r="R542" s="14">
        <v>12932.5</v>
      </c>
      <c r="S542" s="14" t="s">
        <v>33</v>
      </c>
      <c r="T542" s="14" t="s">
        <v>63</v>
      </c>
      <c r="U542" s="14" t="s">
        <v>55</v>
      </c>
      <c r="V542" s="14" t="s">
        <v>56</v>
      </c>
      <c r="W542" s="14" t="s">
        <v>57</v>
      </c>
      <c r="X542" s="14">
        <v>2</v>
      </c>
      <c r="Y542" s="14" t="s">
        <v>38</v>
      </c>
      <c r="Z542" s="14">
        <v>3</v>
      </c>
      <c r="AA542" s="14" t="s">
        <v>58</v>
      </c>
    </row>
    <row r="543" spans="1:27" x14ac:dyDescent="0.35">
      <c r="A543" s="14" t="s">
        <v>1045</v>
      </c>
      <c r="B543" s="15">
        <v>45985</v>
      </c>
      <c r="C543" s="14" t="s">
        <v>1023</v>
      </c>
      <c r="D543" s="14" t="s">
        <v>111</v>
      </c>
      <c r="E543" s="14" t="s">
        <v>29</v>
      </c>
      <c r="F543" s="14">
        <v>19</v>
      </c>
      <c r="G543" s="14" t="s">
        <v>74</v>
      </c>
      <c r="H543" s="14" t="s">
        <v>31</v>
      </c>
      <c r="I543" s="14" t="s">
        <v>74</v>
      </c>
      <c r="J543" s="14" t="s">
        <v>69</v>
      </c>
      <c r="K543" s="14">
        <v>2</v>
      </c>
      <c r="L543" s="14">
        <v>25923</v>
      </c>
      <c r="M543" s="14">
        <v>0</v>
      </c>
      <c r="N543" s="14">
        <v>0</v>
      </c>
      <c r="O543" s="14">
        <v>9332.2800000000007</v>
      </c>
      <c r="P543" s="14">
        <v>274</v>
      </c>
      <c r="Q543" s="14">
        <f t="shared" si="8"/>
        <v>61178.28</v>
      </c>
      <c r="R543" s="14">
        <v>61452.28</v>
      </c>
      <c r="S543" s="14" t="s">
        <v>33</v>
      </c>
      <c r="T543" s="14" t="s">
        <v>34</v>
      </c>
      <c r="U543" s="14" t="s">
        <v>46</v>
      </c>
      <c r="V543" s="14" t="s">
        <v>36</v>
      </c>
      <c r="W543" s="14" t="s">
        <v>37</v>
      </c>
      <c r="X543" s="14">
        <v>6</v>
      </c>
      <c r="Y543" s="14" t="s">
        <v>47</v>
      </c>
      <c r="Z543" s="14">
        <v>3</v>
      </c>
      <c r="AA543" s="14" t="s">
        <v>39</v>
      </c>
    </row>
    <row r="544" spans="1:27" x14ac:dyDescent="0.35">
      <c r="A544" s="14" t="s">
        <v>1046</v>
      </c>
      <c r="B544" s="15">
        <v>45863</v>
      </c>
      <c r="C544" s="14" t="s">
        <v>1047</v>
      </c>
      <c r="D544" s="14" t="s">
        <v>73</v>
      </c>
      <c r="E544" s="14" t="s">
        <v>29</v>
      </c>
      <c r="F544" s="14">
        <v>41</v>
      </c>
      <c r="G544" s="14" t="s">
        <v>51</v>
      </c>
      <c r="H544" s="14" t="s">
        <v>52</v>
      </c>
      <c r="I544" s="14" t="s">
        <v>51</v>
      </c>
      <c r="J544" s="14" t="s">
        <v>202</v>
      </c>
      <c r="K544" s="14">
        <v>5</v>
      </c>
      <c r="L544" s="14">
        <v>27464</v>
      </c>
      <c r="M544" s="14">
        <v>20</v>
      </c>
      <c r="N544" s="14">
        <v>27464</v>
      </c>
      <c r="O544" s="14">
        <v>19774.080000000002</v>
      </c>
      <c r="P544" s="14">
        <v>74</v>
      </c>
      <c r="Q544" s="14">
        <f t="shared" si="8"/>
        <v>129630.08</v>
      </c>
      <c r="R544" s="14">
        <v>129704.08</v>
      </c>
      <c r="S544" s="14" t="s">
        <v>45</v>
      </c>
      <c r="T544" s="14" t="s">
        <v>63</v>
      </c>
      <c r="U544" s="14" t="s">
        <v>35</v>
      </c>
      <c r="V544" s="14" t="s">
        <v>36</v>
      </c>
      <c r="W544" s="14" t="s">
        <v>37</v>
      </c>
      <c r="X544" s="14">
        <v>8</v>
      </c>
      <c r="Y544" s="14" t="s">
        <v>47</v>
      </c>
      <c r="Z544" s="14">
        <v>5</v>
      </c>
      <c r="AA544" s="14" t="s">
        <v>47</v>
      </c>
    </row>
    <row r="545" spans="1:27" x14ac:dyDescent="0.35">
      <c r="A545" s="14" t="s">
        <v>1048</v>
      </c>
      <c r="B545" s="15">
        <v>45882</v>
      </c>
      <c r="C545" s="14" t="s">
        <v>1049</v>
      </c>
      <c r="D545" s="14" t="s">
        <v>66</v>
      </c>
      <c r="E545" s="14" t="s">
        <v>29</v>
      </c>
      <c r="F545" s="14">
        <v>39</v>
      </c>
      <c r="G545" s="14" t="s">
        <v>51</v>
      </c>
      <c r="H545" s="14" t="s">
        <v>52</v>
      </c>
      <c r="I545" s="14" t="s">
        <v>51</v>
      </c>
      <c r="J545" s="14" t="s">
        <v>150</v>
      </c>
      <c r="K545" s="14">
        <v>3</v>
      </c>
      <c r="L545" s="14">
        <v>17597</v>
      </c>
      <c r="M545" s="14">
        <v>5</v>
      </c>
      <c r="N545" s="14">
        <v>2639.55</v>
      </c>
      <c r="O545" s="14">
        <v>9027.26</v>
      </c>
      <c r="P545" s="14">
        <v>297</v>
      </c>
      <c r="Q545" s="14">
        <f t="shared" si="8"/>
        <v>59178.71</v>
      </c>
      <c r="R545" s="14">
        <v>59475.71</v>
      </c>
      <c r="S545" s="14" t="s">
        <v>83</v>
      </c>
      <c r="T545" s="14" t="s">
        <v>63</v>
      </c>
      <c r="U545" s="14" t="s">
        <v>84</v>
      </c>
      <c r="V545" s="14" t="s">
        <v>85</v>
      </c>
      <c r="W545" s="14" t="s">
        <v>86</v>
      </c>
      <c r="X545" s="14">
        <v>5</v>
      </c>
      <c r="Y545" s="14" t="s">
        <v>47</v>
      </c>
      <c r="Z545" s="14">
        <v>1</v>
      </c>
      <c r="AA545" s="14" t="s">
        <v>58</v>
      </c>
    </row>
    <row r="546" spans="1:27" x14ac:dyDescent="0.35">
      <c r="A546" s="14" t="s">
        <v>1050</v>
      </c>
      <c r="B546" s="15">
        <v>46096</v>
      </c>
      <c r="C546" s="14" t="s">
        <v>1008</v>
      </c>
      <c r="D546" s="14" t="s">
        <v>42</v>
      </c>
      <c r="E546" s="14" t="s">
        <v>43</v>
      </c>
      <c r="F546" s="14">
        <v>44</v>
      </c>
      <c r="G546" s="14" t="s">
        <v>30</v>
      </c>
      <c r="H546" s="14" t="s">
        <v>31</v>
      </c>
      <c r="I546" s="14" t="s">
        <v>30</v>
      </c>
      <c r="J546" s="14" t="s">
        <v>112</v>
      </c>
      <c r="K546" s="14">
        <v>5</v>
      </c>
      <c r="L546" s="14">
        <v>4399</v>
      </c>
      <c r="M546" s="14">
        <v>0</v>
      </c>
      <c r="N546" s="14">
        <v>0</v>
      </c>
      <c r="O546" s="14">
        <v>3959.1</v>
      </c>
      <c r="P546" s="14">
        <v>41</v>
      </c>
      <c r="Q546" s="14">
        <f t="shared" si="8"/>
        <v>25954.1</v>
      </c>
      <c r="R546" s="14">
        <v>25995.1</v>
      </c>
      <c r="S546" s="14" t="s">
        <v>33</v>
      </c>
      <c r="T546" s="14" t="s">
        <v>63</v>
      </c>
      <c r="U546" s="14" t="s">
        <v>95</v>
      </c>
      <c r="V546" s="14" t="s">
        <v>96</v>
      </c>
      <c r="W546" s="14" t="s">
        <v>57</v>
      </c>
      <c r="X546" s="14">
        <v>3</v>
      </c>
      <c r="Y546" s="14" t="s">
        <v>47</v>
      </c>
      <c r="Z546" s="14">
        <v>3</v>
      </c>
      <c r="AA546" s="14" t="s">
        <v>39</v>
      </c>
    </row>
    <row r="547" spans="1:27" x14ac:dyDescent="0.35">
      <c r="A547" s="14" t="s">
        <v>1051</v>
      </c>
      <c r="B547" s="15">
        <v>46043</v>
      </c>
      <c r="C547" s="14" t="s">
        <v>468</v>
      </c>
      <c r="D547" s="14" t="s">
        <v>80</v>
      </c>
      <c r="E547" s="14" t="s">
        <v>29</v>
      </c>
      <c r="F547" s="14">
        <v>46</v>
      </c>
      <c r="G547" s="14" t="s">
        <v>30</v>
      </c>
      <c r="H547" s="14" t="s">
        <v>31</v>
      </c>
      <c r="I547" s="14" t="s">
        <v>30</v>
      </c>
      <c r="J547" s="14" t="s">
        <v>62</v>
      </c>
      <c r="K547" s="14">
        <v>4</v>
      </c>
      <c r="L547" s="14">
        <v>16338</v>
      </c>
      <c r="M547" s="14">
        <v>5</v>
      </c>
      <c r="N547" s="14">
        <v>3267.6</v>
      </c>
      <c r="O547" s="14">
        <v>11175.19</v>
      </c>
      <c r="P547" s="14">
        <v>104</v>
      </c>
      <c r="Q547" s="14">
        <f t="shared" si="8"/>
        <v>73259.59</v>
      </c>
      <c r="R547" s="14">
        <v>73363.59</v>
      </c>
      <c r="S547" s="14" t="s">
        <v>33</v>
      </c>
      <c r="T547" s="14" t="s">
        <v>34</v>
      </c>
      <c r="U547" s="14" t="s">
        <v>84</v>
      </c>
      <c r="V547" s="14" t="s">
        <v>85</v>
      </c>
      <c r="W547" s="14" t="s">
        <v>86</v>
      </c>
      <c r="X547" s="14">
        <v>9</v>
      </c>
      <c r="Y547" s="14" t="s">
        <v>47</v>
      </c>
      <c r="Z547" s="14">
        <v>5</v>
      </c>
      <c r="AA547" s="14" t="s">
        <v>58</v>
      </c>
    </row>
    <row r="548" spans="1:27" x14ac:dyDescent="0.35">
      <c r="A548" s="14" t="s">
        <v>1052</v>
      </c>
      <c r="B548" s="15">
        <v>45989</v>
      </c>
      <c r="C548" s="14" t="s">
        <v>712</v>
      </c>
      <c r="D548" s="14" t="s">
        <v>61</v>
      </c>
      <c r="E548" s="14" t="s">
        <v>43</v>
      </c>
      <c r="F548" s="14">
        <v>23</v>
      </c>
      <c r="G548" s="14" t="s">
        <v>139</v>
      </c>
      <c r="H548" s="14" t="s">
        <v>31</v>
      </c>
      <c r="I548" s="14" t="s">
        <v>139</v>
      </c>
      <c r="J548" s="14" t="s">
        <v>62</v>
      </c>
      <c r="K548" s="14">
        <v>5</v>
      </c>
      <c r="L548" s="14">
        <v>41403</v>
      </c>
      <c r="M548" s="14">
        <v>5</v>
      </c>
      <c r="N548" s="14">
        <v>10350.75</v>
      </c>
      <c r="O548" s="14">
        <v>35399.56</v>
      </c>
      <c r="P548" s="14">
        <v>376</v>
      </c>
      <c r="Q548" s="14">
        <f t="shared" si="8"/>
        <v>232063.82</v>
      </c>
      <c r="R548" s="14">
        <v>232439.82</v>
      </c>
      <c r="S548" s="14" t="s">
        <v>83</v>
      </c>
      <c r="T548" s="14" t="s">
        <v>34</v>
      </c>
      <c r="U548" s="14" t="s">
        <v>70</v>
      </c>
      <c r="V548" s="14" t="s">
        <v>56</v>
      </c>
      <c r="W548" s="14" t="s">
        <v>57</v>
      </c>
      <c r="X548" s="14">
        <v>4</v>
      </c>
      <c r="Y548" s="14" t="s">
        <v>47</v>
      </c>
      <c r="Z548" s="14">
        <v>5</v>
      </c>
      <c r="AA548" s="14" t="s">
        <v>91</v>
      </c>
    </row>
    <row r="549" spans="1:27" x14ac:dyDescent="0.35">
      <c r="A549" s="14" t="s">
        <v>1053</v>
      </c>
      <c r="B549" s="15">
        <v>45961</v>
      </c>
      <c r="C549" s="14" t="s">
        <v>1054</v>
      </c>
      <c r="D549" s="14" t="s">
        <v>42</v>
      </c>
      <c r="E549" s="14" t="s">
        <v>29</v>
      </c>
      <c r="F549" s="14">
        <v>29</v>
      </c>
      <c r="G549" s="14" t="s">
        <v>134</v>
      </c>
      <c r="H549" s="14" t="s">
        <v>31</v>
      </c>
      <c r="I549" s="14" t="s">
        <v>134</v>
      </c>
      <c r="J549" s="14" t="s">
        <v>53</v>
      </c>
      <c r="K549" s="14">
        <v>2</v>
      </c>
      <c r="L549" s="14">
        <v>19158</v>
      </c>
      <c r="M549" s="14">
        <v>5</v>
      </c>
      <c r="N549" s="14">
        <v>1915.8</v>
      </c>
      <c r="O549" s="14">
        <v>6552.04</v>
      </c>
      <c r="P549" s="14">
        <v>419</v>
      </c>
      <c r="Q549" s="14">
        <f t="shared" si="8"/>
        <v>42952.24</v>
      </c>
      <c r="R549" s="14">
        <v>43371.24</v>
      </c>
      <c r="S549" s="14" t="s">
        <v>45</v>
      </c>
      <c r="T549" s="14" t="s">
        <v>63</v>
      </c>
      <c r="U549" s="14" t="s">
        <v>76</v>
      </c>
      <c r="V549" s="14" t="s">
        <v>77</v>
      </c>
      <c r="W549" s="14" t="s">
        <v>57</v>
      </c>
      <c r="X549" s="14">
        <v>4</v>
      </c>
      <c r="Y549" s="14" t="s">
        <v>47</v>
      </c>
      <c r="Z549" s="14">
        <v>2</v>
      </c>
      <c r="AA549" s="14" t="s">
        <v>58</v>
      </c>
    </row>
    <row r="550" spans="1:27" x14ac:dyDescent="0.35">
      <c r="A550" s="14" t="s">
        <v>1055</v>
      </c>
      <c r="B550" s="15">
        <v>45809</v>
      </c>
      <c r="C550" s="14" t="s">
        <v>1056</v>
      </c>
      <c r="D550" s="14" t="s">
        <v>108</v>
      </c>
      <c r="E550" s="14" t="s">
        <v>43</v>
      </c>
      <c r="F550" s="14">
        <v>19</v>
      </c>
      <c r="G550" s="14" t="s">
        <v>74</v>
      </c>
      <c r="H550" s="14" t="s">
        <v>31</v>
      </c>
      <c r="I550" s="14" t="s">
        <v>74</v>
      </c>
      <c r="J550" s="14" t="s">
        <v>53</v>
      </c>
      <c r="K550" s="14">
        <v>4</v>
      </c>
      <c r="L550" s="14">
        <v>9541</v>
      </c>
      <c r="M550" s="14">
        <v>20</v>
      </c>
      <c r="N550" s="14">
        <v>7632.8</v>
      </c>
      <c r="O550" s="14">
        <v>5495.62</v>
      </c>
      <c r="P550" s="14">
        <v>462</v>
      </c>
      <c r="Q550" s="14">
        <f t="shared" si="8"/>
        <v>36026.82</v>
      </c>
      <c r="R550" s="14">
        <v>36488.82</v>
      </c>
      <c r="S550" s="14" t="s">
        <v>45</v>
      </c>
      <c r="T550" s="14" t="s">
        <v>34</v>
      </c>
      <c r="U550" s="14" t="s">
        <v>35</v>
      </c>
      <c r="V550" s="14" t="s">
        <v>36</v>
      </c>
      <c r="W550" s="14" t="s">
        <v>37</v>
      </c>
      <c r="X550" s="14">
        <v>10</v>
      </c>
      <c r="Y550" s="14" t="s">
        <v>47</v>
      </c>
      <c r="Z550" s="14">
        <v>3</v>
      </c>
      <c r="AA550" s="14" t="s">
        <v>58</v>
      </c>
    </row>
    <row r="551" spans="1:27" x14ac:dyDescent="0.35">
      <c r="A551" s="14" t="s">
        <v>1057</v>
      </c>
      <c r="B551" s="15">
        <v>46113</v>
      </c>
      <c r="C551" s="14" t="s">
        <v>242</v>
      </c>
      <c r="D551" s="14" t="s">
        <v>28</v>
      </c>
      <c r="E551" s="14" t="s">
        <v>43</v>
      </c>
      <c r="F551" s="14">
        <v>23</v>
      </c>
      <c r="G551" s="14" t="s">
        <v>90</v>
      </c>
      <c r="H551" s="14" t="s">
        <v>31</v>
      </c>
      <c r="I551" s="14" t="s">
        <v>90</v>
      </c>
      <c r="J551" s="14" t="s">
        <v>202</v>
      </c>
      <c r="K551" s="14">
        <v>2</v>
      </c>
      <c r="L551" s="14">
        <v>37411</v>
      </c>
      <c r="M551" s="14">
        <v>15</v>
      </c>
      <c r="N551" s="14">
        <v>11223.3</v>
      </c>
      <c r="O551" s="14">
        <v>11447.77</v>
      </c>
      <c r="P551" s="14">
        <v>407</v>
      </c>
      <c r="Q551" s="14">
        <f t="shared" si="8"/>
        <v>75046.47</v>
      </c>
      <c r="R551" s="14">
        <v>75453.47</v>
      </c>
      <c r="S551" s="14" t="s">
        <v>33</v>
      </c>
      <c r="T551" s="14" t="s">
        <v>34</v>
      </c>
      <c r="U551" s="14" t="s">
        <v>103</v>
      </c>
      <c r="V551" s="14" t="s">
        <v>103</v>
      </c>
      <c r="W551" s="14" t="s">
        <v>57</v>
      </c>
      <c r="X551" s="14">
        <v>1</v>
      </c>
      <c r="Y551" s="14" t="s">
        <v>38</v>
      </c>
      <c r="Z551" s="14">
        <v>3</v>
      </c>
      <c r="AA551" s="14" t="s">
        <v>39</v>
      </c>
    </row>
    <row r="552" spans="1:27" x14ac:dyDescent="0.35">
      <c r="A552" s="14" t="s">
        <v>1058</v>
      </c>
      <c r="B552" s="15">
        <v>45885</v>
      </c>
      <c r="C552" s="14" t="s">
        <v>1059</v>
      </c>
      <c r="D552" s="14" t="s">
        <v>80</v>
      </c>
      <c r="E552" s="14" t="s">
        <v>43</v>
      </c>
      <c r="F552" s="14">
        <v>35</v>
      </c>
      <c r="G552" s="14" t="s">
        <v>139</v>
      </c>
      <c r="H552" s="14" t="s">
        <v>31</v>
      </c>
      <c r="I552" s="14" t="s">
        <v>139</v>
      </c>
      <c r="J552" s="14" t="s">
        <v>125</v>
      </c>
      <c r="K552" s="14">
        <v>3</v>
      </c>
      <c r="L552" s="14">
        <v>20654</v>
      </c>
      <c r="M552" s="14">
        <v>10</v>
      </c>
      <c r="N552" s="14">
        <v>6196.2</v>
      </c>
      <c r="O552" s="14">
        <v>10037.84</v>
      </c>
      <c r="P552" s="14">
        <v>467</v>
      </c>
      <c r="Q552" s="14">
        <f t="shared" si="8"/>
        <v>65803.64</v>
      </c>
      <c r="R552" s="14">
        <v>66270.64</v>
      </c>
      <c r="S552" s="14" t="s">
        <v>45</v>
      </c>
      <c r="T552" s="14" t="s">
        <v>63</v>
      </c>
      <c r="U552" s="14" t="s">
        <v>84</v>
      </c>
      <c r="V552" s="14" t="s">
        <v>85</v>
      </c>
      <c r="W552" s="14" t="s">
        <v>86</v>
      </c>
      <c r="X552" s="14">
        <v>2</v>
      </c>
      <c r="Y552" s="14" t="s">
        <v>47</v>
      </c>
      <c r="Z552" s="14">
        <v>4</v>
      </c>
      <c r="AA552" s="14" t="s">
        <v>91</v>
      </c>
    </row>
    <row r="553" spans="1:27" x14ac:dyDescent="0.35">
      <c r="A553" s="14" t="s">
        <v>1060</v>
      </c>
      <c r="B553" s="15">
        <v>45804</v>
      </c>
      <c r="C553" s="14" t="s">
        <v>1061</v>
      </c>
      <c r="D553" s="14" t="s">
        <v>111</v>
      </c>
      <c r="E553" s="14" t="s">
        <v>43</v>
      </c>
      <c r="F553" s="14">
        <v>55</v>
      </c>
      <c r="G553" s="14" t="s">
        <v>74</v>
      </c>
      <c r="H553" s="14" t="s">
        <v>31</v>
      </c>
      <c r="I553" s="14" t="s">
        <v>74</v>
      </c>
      <c r="J553" s="14" t="s">
        <v>75</v>
      </c>
      <c r="K553" s="14">
        <v>1</v>
      </c>
      <c r="L553" s="14">
        <v>20050</v>
      </c>
      <c r="M553" s="14">
        <v>5</v>
      </c>
      <c r="N553" s="14">
        <v>1002.5</v>
      </c>
      <c r="O553" s="14">
        <v>3428.55</v>
      </c>
      <c r="P553" s="14">
        <v>205</v>
      </c>
      <c r="Q553" s="14">
        <f t="shared" si="8"/>
        <v>22476.05</v>
      </c>
      <c r="R553" s="14">
        <v>22681.05</v>
      </c>
      <c r="S553" s="14" t="s">
        <v>54</v>
      </c>
      <c r="T553" s="14" t="s">
        <v>34</v>
      </c>
      <c r="U553" s="14" t="s">
        <v>76</v>
      </c>
      <c r="V553" s="14" t="s">
        <v>77</v>
      </c>
      <c r="W553" s="14" t="s">
        <v>57</v>
      </c>
      <c r="X553" s="14">
        <v>5</v>
      </c>
      <c r="Y553" s="14" t="s">
        <v>47</v>
      </c>
      <c r="Z553" s="14">
        <v>2</v>
      </c>
      <c r="AA553" s="14" t="s">
        <v>91</v>
      </c>
    </row>
    <row r="554" spans="1:27" x14ac:dyDescent="0.35">
      <c r="A554" s="14" t="s">
        <v>1062</v>
      </c>
      <c r="B554" s="15">
        <v>45813</v>
      </c>
      <c r="C554" s="14" t="s">
        <v>610</v>
      </c>
      <c r="D554" s="14" t="s">
        <v>73</v>
      </c>
      <c r="E554" s="14" t="s">
        <v>43</v>
      </c>
      <c r="F554" s="14">
        <v>60</v>
      </c>
      <c r="G554" s="14" t="s">
        <v>90</v>
      </c>
      <c r="H554" s="14" t="s">
        <v>31</v>
      </c>
      <c r="I554" s="14" t="s">
        <v>90</v>
      </c>
      <c r="J554" s="14" t="s">
        <v>75</v>
      </c>
      <c r="K554" s="14">
        <v>5</v>
      </c>
      <c r="L554" s="14">
        <v>26702</v>
      </c>
      <c r="M554" s="14">
        <v>0</v>
      </c>
      <c r="N554" s="14">
        <v>0</v>
      </c>
      <c r="O554" s="14">
        <v>24031.8</v>
      </c>
      <c r="P554" s="14">
        <v>215</v>
      </c>
      <c r="Q554" s="14">
        <f t="shared" si="8"/>
        <v>157541.79999999999</v>
      </c>
      <c r="R554" s="14">
        <v>157756.79999999999</v>
      </c>
      <c r="S554" s="14" t="s">
        <v>54</v>
      </c>
      <c r="T554" s="14" t="s">
        <v>63</v>
      </c>
      <c r="U554" s="14" t="s">
        <v>35</v>
      </c>
      <c r="V554" s="14" t="s">
        <v>36</v>
      </c>
      <c r="W554" s="14" t="s">
        <v>37</v>
      </c>
      <c r="X554" s="14">
        <v>4</v>
      </c>
      <c r="Y554" s="14" t="s">
        <v>47</v>
      </c>
      <c r="Z554" s="14">
        <v>4</v>
      </c>
      <c r="AA554" s="14" t="s">
        <v>47</v>
      </c>
    </row>
    <row r="555" spans="1:27" x14ac:dyDescent="0.35">
      <c r="A555" s="14" t="s">
        <v>1063</v>
      </c>
      <c r="B555" s="15">
        <v>45829</v>
      </c>
      <c r="C555" s="14" t="s">
        <v>1064</v>
      </c>
      <c r="D555" s="14" t="s">
        <v>89</v>
      </c>
      <c r="E555" s="14" t="s">
        <v>43</v>
      </c>
      <c r="F555" s="14">
        <v>38</v>
      </c>
      <c r="G555" s="14" t="s">
        <v>90</v>
      </c>
      <c r="H555" s="14" t="s">
        <v>31</v>
      </c>
      <c r="I555" s="14" t="s">
        <v>90</v>
      </c>
      <c r="J555" s="14" t="s">
        <v>53</v>
      </c>
      <c r="K555" s="14">
        <v>1</v>
      </c>
      <c r="L555" s="14">
        <v>49429</v>
      </c>
      <c r="M555" s="14">
        <v>0</v>
      </c>
      <c r="N555" s="14">
        <v>0</v>
      </c>
      <c r="O555" s="14">
        <v>8897.2199999999993</v>
      </c>
      <c r="P555" s="14">
        <v>491</v>
      </c>
      <c r="Q555" s="14">
        <f t="shared" si="8"/>
        <v>58326.22</v>
      </c>
      <c r="R555" s="14">
        <v>58817.22</v>
      </c>
      <c r="S555" s="14" t="s">
        <v>54</v>
      </c>
      <c r="T555" s="14" t="s">
        <v>63</v>
      </c>
      <c r="U555" s="14" t="s">
        <v>70</v>
      </c>
      <c r="V555" s="14" t="s">
        <v>56</v>
      </c>
      <c r="W555" s="14" t="s">
        <v>57</v>
      </c>
      <c r="X555" s="14">
        <v>5</v>
      </c>
      <c r="Y555" s="14" t="s">
        <v>47</v>
      </c>
      <c r="Z555" s="14">
        <v>2</v>
      </c>
      <c r="AA555" s="14" t="s">
        <v>58</v>
      </c>
    </row>
    <row r="556" spans="1:27" x14ac:dyDescent="0.35">
      <c r="A556" s="14" t="s">
        <v>1065</v>
      </c>
      <c r="B556" s="15">
        <v>46106</v>
      </c>
      <c r="C556" s="14" t="s">
        <v>1066</v>
      </c>
      <c r="D556" s="14" t="s">
        <v>108</v>
      </c>
      <c r="E556" s="14" t="s">
        <v>29</v>
      </c>
      <c r="F556" s="14">
        <v>20</v>
      </c>
      <c r="G556" s="14" t="s">
        <v>44</v>
      </c>
      <c r="H556" s="14" t="s">
        <v>31</v>
      </c>
      <c r="I556" s="14" t="s">
        <v>44</v>
      </c>
      <c r="J556" s="14" t="s">
        <v>125</v>
      </c>
      <c r="K556" s="14">
        <v>5</v>
      </c>
      <c r="L556" s="14">
        <v>5569</v>
      </c>
      <c r="M556" s="14">
        <v>10</v>
      </c>
      <c r="N556" s="14">
        <v>2784.5</v>
      </c>
      <c r="O556" s="14">
        <v>4510.8900000000003</v>
      </c>
      <c r="P556" s="14">
        <v>202</v>
      </c>
      <c r="Q556" s="14">
        <f t="shared" si="8"/>
        <v>29571.39</v>
      </c>
      <c r="R556" s="14">
        <v>29773.39</v>
      </c>
      <c r="S556" s="14" t="s">
        <v>54</v>
      </c>
      <c r="T556" s="14" t="s">
        <v>63</v>
      </c>
      <c r="U556" s="14" t="s">
        <v>70</v>
      </c>
      <c r="V556" s="14" t="s">
        <v>56</v>
      </c>
      <c r="W556" s="14" t="s">
        <v>57</v>
      </c>
      <c r="X556" s="14">
        <v>1</v>
      </c>
      <c r="Y556" s="14" t="s">
        <v>47</v>
      </c>
      <c r="Z556" s="14">
        <v>3</v>
      </c>
      <c r="AA556" s="14" t="s">
        <v>39</v>
      </c>
    </row>
    <row r="557" spans="1:27" x14ac:dyDescent="0.35">
      <c r="A557" s="14" t="s">
        <v>1067</v>
      </c>
      <c r="B557" s="15">
        <v>46009</v>
      </c>
      <c r="C557" s="14" t="s">
        <v>1068</v>
      </c>
      <c r="D557" s="14" t="s">
        <v>42</v>
      </c>
      <c r="E557" s="14" t="s">
        <v>29</v>
      </c>
      <c r="F557" s="14">
        <v>19</v>
      </c>
      <c r="G557" s="14" t="s">
        <v>44</v>
      </c>
      <c r="H557" s="14" t="s">
        <v>31</v>
      </c>
      <c r="I557" s="14" t="s">
        <v>44</v>
      </c>
      <c r="J557" s="14" t="s">
        <v>112</v>
      </c>
      <c r="K557" s="14">
        <v>1</v>
      </c>
      <c r="L557" s="14">
        <v>4090</v>
      </c>
      <c r="M557" s="14">
        <v>0</v>
      </c>
      <c r="N557" s="14">
        <v>0</v>
      </c>
      <c r="O557" s="14">
        <v>736.2</v>
      </c>
      <c r="P557" s="14">
        <v>158</v>
      </c>
      <c r="Q557" s="14">
        <f t="shared" si="8"/>
        <v>4826.2</v>
      </c>
      <c r="R557" s="14">
        <v>4984.2</v>
      </c>
      <c r="S557" s="14" t="s">
        <v>45</v>
      </c>
      <c r="T557" s="14" t="s">
        <v>34</v>
      </c>
      <c r="U557" s="14" t="s">
        <v>76</v>
      </c>
      <c r="V557" s="14" t="s">
        <v>77</v>
      </c>
      <c r="W557" s="14" t="s">
        <v>57</v>
      </c>
      <c r="X557" s="14">
        <v>1</v>
      </c>
      <c r="Y557" s="14" t="s">
        <v>38</v>
      </c>
      <c r="Z557" s="14">
        <v>2</v>
      </c>
      <c r="AA557" s="14" t="s">
        <v>91</v>
      </c>
    </row>
    <row r="558" spans="1:27" x14ac:dyDescent="0.35">
      <c r="A558" s="14" t="s">
        <v>1069</v>
      </c>
      <c r="B558" s="15">
        <v>46099</v>
      </c>
      <c r="C558" s="14" t="s">
        <v>1070</v>
      </c>
      <c r="D558" s="14" t="s">
        <v>66</v>
      </c>
      <c r="E558" s="14" t="s">
        <v>29</v>
      </c>
      <c r="F558" s="14">
        <v>41</v>
      </c>
      <c r="G558" s="14" t="s">
        <v>99</v>
      </c>
      <c r="H558" s="14" t="s">
        <v>52</v>
      </c>
      <c r="I558" s="14" t="s">
        <v>99</v>
      </c>
      <c r="J558" s="14" t="s">
        <v>62</v>
      </c>
      <c r="K558" s="14">
        <v>2</v>
      </c>
      <c r="L558" s="14">
        <v>36676</v>
      </c>
      <c r="M558" s="14">
        <v>10</v>
      </c>
      <c r="N558" s="14">
        <v>7335.2</v>
      </c>
      <c r="O558" s="14">
        <v>11883.02</v>
      </c>
      <c r="P558" s="14">
        <v>71</v>
      </c>
      <c r="Q558" s="14">
        <f t="shared" si="8"/>
        <v>77899.820000000007</v>
      </c>
      <c r="R558" s="14">
        <v>77970.820000000007</v>
      </c>
      <c r="S558" s="14" t="s">
        <v>45</v>
      </c>
      <c r="T558" s="14" t="s">
        <v>34</v>
      </c>
      <c r="U558" s="14" t="s">
        <v>55</v>
      </c>
      <c r="V558" s="14" t="s">
        <v>56</v>
      </c>
      <c r="W558" s="14" t="s">
        <v>57</v>
      </c>
      <c r="X558" s="14">
        <v>2</v>
      </c>
      <c r="Y558" s="14" t="s">
        <v>47</v>
      </c>
      <c r="Z558" s="14">
        <v>4</v>
      </c>
      <c r="AA558" s="14" t="s">
        <v>91</v>
      </c>
    </row>
    <row r="559" spans="1:27" x14ac:dyDescent="0.35">
      <c r="A559" s="14" t="s">
        <v>1071</v>
      </c>
      <c r="B559" s="15">
        <v>45901</v>
      </c>
      <c r="C559" s="14" t="s">
        <v>914</v>
      </c>
      <c r="D559" s="14" t="s">
        <v>66</v>
      </c>
      <c r="E559" s="14" t="s">
        <v>29</v>
      </c>
      <c r="F559" s="14">
        <v>36</v>
      </c>
      <c r="G559" s="14" t="s">
        <v>90</v>
      </c>
      <c r="H559" s="14" t="s">
        <v>31</v>
      </c>
      <c r="I559" s="14" t="s">
        <v>90</v>
      </c>
      <c r="J559" s="14" t="s">
        <v>202</v>
      </c>
      <c r="K559" s="14">
        <v>3</v>
      </c>
      <c r="L559" s="14">
        <v>7820</v>
      </c>
      <c r="M559" s="14">
        <v>5</v>
      </c>
      <c r="N559" s="14">
        <v>1173</v>
      </c>
      <c r="O559" s="14">
        <v>4011.66</v>
      </c>
      <c r="P559" s="14">
        <v>161</v>
      </c>
      <c r="Q559" s="14">
        <f t="shared" si="8"/>
        <v>26298.66</v>
      </c>
      <c r="R559" s="14">
        <v>26459.66</v>
      </c>
      <c r="S559" s="14" t="s">
        <v>33</v>
      </c>
      <c r="T559" s="14" t="s">
        <v>63</v>
      </c>
      <c r="U559" s="14" t="s">
        <v>55</v>
      </c>
      <c r="V559" s="14" t="s">
        <v>56</v>
      </c>
      <c r="W559" s="14" t="s">
        <v>57</v>
      </c>
      <c r="X559" s="14">
        <v>7</v>
      </c>
      <c r="Y559" s="14" t="s">
        <v>38</v>
      </c>
      <c r="Z559" s="14">
        <v>5</v>
      </c>
      <c r="AA559" s="14" t="s">
        <v>47</v>
      </c>
    </row>
    <row r="560" spans="1:27" x14ac:dyDescent="0.35">
      <c r="A560" s="14" t="s">
        <v>1072</v>
      </c>
      <c r="B560" s="15">
        <v>45778</v>
      </c>
      <c r="C560" s="14" t="s">
        <v>675</v>
      </c>
      <c r="D560" s="14" t="s">
        <v>61</v>
      </c>
      <c r="E560" s="14" t="s">
        <v>43</v>
      </c>
      <c r="F560" s="14">
        <v>55</v>
      </c>
      <c r="G560" s="14" t="s">
        <v>99</v>
      </c>
      <c r="H560" s="14" t="s">
        <v>52</v>
      </c>
      <c r="I560" s="14" t="s">
        <v>99</v>
      </c>
      <c r="J560" s="14" t="s">
        <v>53</v>
      </c>
      <c r="K560" s="14">
        <v>2</v>
      </c>
      <c r="L560" s="14">
        <v>13342</v>
      </c>
      <c r="M560" s="14">
        <v>0</v>
      </c>
      <c r="N560" s="14">
        <v>0</v>
      </c>
      <c r="O560" s="14">
        <v>4803.12</v>
      </c>
      <c r="P560" s="14">
        <v>174</v>
      </c>
      <c r="Q560" s="14">
        <f t="shared" si="8"/>
        <v>31487.119999999999</v>
      </c>
      <c r="R560" s="14">
        <v>31661.119999999999</v>
      </c>
      <c r="S560" s="14" t="s">
        <v>45</v>
      </c>
      <c r="T560" s="14" t="s">
        <v>34</v>
      </c>
      <c r="U560" s="14" t="s">
        <v>84</v>
      </c>
      <c r="V560" s="14" t="s">
        <v>85</v>
      </c>
      <c r="W560" s="14" t="s">
        <v>86</v>
      </c>
      <c r="X560" s="14">
        <v>4</v>
      </c>
      <c r="Y560" s="14" t="s">
        <v>38</v>
      </c>
      <c r="Z560" s="14">
        <v>5</v>
      </c>
      <c r="AA560" s="14" t="s">
        <v>58</v>
      </c>
    </row>
    <row r="561" spans="1:27" x14ac:dyDescent="0.35">
      <c r="A561" s="14" t="s">
        <v>1073</v>
      </c>
      <c r="B561" s="15">
        <v>46075</v>
      </c>
      <c r="C561" s="14" t="s">
        <v>632</v>
      </c>
      <c r="D561" s="14" t="s">
        <v>28</v>
      </c>
      <c r="E561" s="14" t="s">
        <v>43</v>
      </c>
      <c r="F561" s="14">
        <v>60</v>
      </c>
      <c r="G561" s="14" t="s">
        <v>99</v>
      </c>
      <c r="H561" s="14" t="s">
        <v>52</v>
      </c>
      <c r="I561" s="14" t="s">
        <v>99</v>
      </c>
      <c r="J561" s="14" t="s">
        <v>32</v>
      </c>
      <c r="K561" s="14">
        <v>1</v>
      </c>
      <c r="L561" s="14">
        <v>22384</v>
      </c>
      <c r="M561" s="14">
        <v>0</v>
      </c>
      <c r="N561" s="14">
        <v>0</v>
      </c>
      <c r="O561" s="14">
        <v>4029.12</v>
      </c>
      <c r="P561" s="14">
        <v>175</v>
      </c>
      <c r="Q561" s="14">
        <f t="shared" si="8"/>
        <v>26413.119999999999</v>
      </c>
      <c r="R561" s="14">
        <v>26588.12</v>
      </c>
      <c r="S561" s="14" t="s">
        <v>33</v>
      </c>
      <c r="T561" s="14" t="s">
        <v>63</v>
      </c>
      <c r="U561" s="14" t="s">
        <v>103</v>
      </c>
      <c r="V561" s="14" t="s">
        <v>103</v>
      </c>
      <c r="W561" s="14" t="s">
        <v>57</v>
      </c>
      <c r="X561" s="14">
        <v>2</v>
      </c>
      <c r="Y561" s="14" t="s">
        <v>47</v>
      </c>
      <c r="Z561" s="14">
        <v>2</v>
      </c>
      <c r="AA561" s="14" t="s">
        <v>47</v>
      </c>
    </row>
    <row r="562" spans="1:27" x14ac:dyDescent="0.35">
      <c r="A562" s="14" t="s">
        <v>1074</v>
      </c>
      <c r="B562" s="15">
        <v>45937</v>
      </c>
      <c r="C562" s="14" t="s">
        <v>1075</v>
      </c>
      <c r="D562" s="14" t="s">
        <v>66</v>
      </c>
      <c r="E562" s="14" t="s">
        <v>43</v>
      </c>
      <c r="F562" s="14">
        <v>45</v>
      </c>
      <c r="G562" s="14" t="s">
        <v>44</v>
      </c>
      <c r="H562" s="14" t="s">
        <v>31</v>
      </c>
      <c r="I562" s="14" t="s">
        <v>44</v>
      </c>
      <c r="J562" s="14" t="s">
        <v>202</v>
      </c>
      <c r="K562" s="14">
        <v>2</v>
      </c>
      <c r="L562" s="14">
        <v>22350</v>
      </c>
      <c r="M562" s="14">
        <v>0</v>
      </c>
      <c r="N562" s="14">
        <v>0</v>
      </c>
      <c r="O562" s="14">
        <v>8046</v>
      </c>
      <c r="P562" s="14">
        <v>119</v>
      </c>
      <c r="Q562" s="14">
        <f t="shared" si="8"/>
        <v>52746</v>
      </c>
      <c r="R562" s="14">
        <v>52865</v>
      </c>
      <c r="S562" s="14" t="s">
        <v>54</v>
      </c>
      <c r="T562" s="14" t="s">
        <v>34</v>
      </c>
      <c r="U562" s="14" t="s">
        <v>76</v>
      </c>
      <c r="V562" s="14" t="s">
        <v>77</v>
      </c>
      <c r="W562" s="14" t="s">
        <v>57</v>
      </c>
      <c r="X562" s="14">
        <v>9</v>
      </c>
      <c r="Y562" s="14" t="s">
        <v>47</v>
      </c>
      <c r="Z562" s="14">
        <v>3</v>
      </c>
      <c r="AA562" s="14" t="s">
        <v>58</v>
      </c>
    </row>
    <row r="563" spans="1:27" x14ac:dyDescent="0.35">
      <c r="A563" s="14" t="s">
        <v>1076</v>
      </c>
      <c r="B563" s="15">
        <v>45860</v>
      </c>
      <c r="C563" s="14" t="s">
        <v>156</v>
      </c>
      <c r="D563" s="14" t="s">
        <v>50</v>
      </c>
      <c r="E563" s="14" t="s">
        <v>43</v>
      </c>
      <c r="F563" s="14">
        <v>36</v>
      </c>
      <c r="G563" s="14" t="s">
        <v>44</v>
      </c>
      <c r="H563" s="14" t="s">
        <v>31</v>
      </c>
      <c r="I563" s="14" t="s">
        <v>44</v>
      </c>
      <c r="J563" s="14" t="s">
        <v>62</v>
      </c>
      <c r="K563" s="14">
        <v>1</v>
      </c>
      <c r="L563" s="14">
        <v>30336</v>
      </c>
      <c r="M563" s="14">
        <v>5</v>
      </c>
      <c r="N563" s="14">
        <v>1516.8</v>
      </c>
      <c r="O563" s="14">
        <v>5187.46</v>
      </c>
      <c r="P563" s="14">
        <v>83</v>
      </c>
      <c r="Q563" s="14">
        <f t="shared" si="8"/>
        <v>34006.660000000003</v>
      </c>
      <c r="R563" s="14">
        <v>34089.660000000003</v>
      </c>
      <c r="S563" s="14" t="s">
        <v>33</v>
      </c>
      <c r="T563" s="14" t="s">
        <v>34</v>
      </c>
      <c r="U563" s="14" t="s">
        <v>103</v>
      </c>
      <c r="V563" s="14" t="s">
        <v>103</v>
      </c>
      <c r="W563" s="14" t="s">
        <v>57</v>
      </c>
      <c r="X563" s="14">
        <v>9</v>
      </c>
      <c r="Y563" s="14" t="s">
        <v>38</v>
      </c>
      <c r="Z563" s="14">
        <v>4</v>
      </c>
      <c r="AA563" s="14" t="s">
        <v>39</v>
      </c>
    </row>
    <row r="564" spans="1:27" x14ac:dyDescent="0.35">
      <c r="A564" s="14" t="s">
        <v>1077</v>
      </c>
      <c r="B564" s="15">
        <v>45872</v>
      </c>
      <c r="C564" s="14" t="s">
        <v>1078</v>
      </c>
      <c r="D564" s="14" t="s">
        <v>50</v>
      </c>
      <c r="E564" s="14" t="s">
        <v>29</v>
      </c>
      <c r="F564" s="14">
        <v>47</v>
      </c>
      <c r="G564" s="14" t="s">
        <v>94</v>
      </c>
      <c r="H564" s="14" t="s">
        <v>31</v>
      </c>
      <c r="I564" s="14" t="s">
        <v>94</v>
      </c>
      <c r="J564" s="14" t="s">
        <v>75</v>
      </c>
      <c r="K564" s="14">
        <v>5</v>
      </c>
      <c r="L564" s="14">
        <v>14793</v>
      </c>
      <c r="M564" s="14">
        <v>10</v>
      </c>
      <c r="N564" s="14">
        <v>7396.5</v>
      </c>
      <c r="O564" s="14">
        <v>11982.33</v>
      </c>
      <c r="P564" s="14">
        <v>384</v>
      </c>
      <c r="Q564" s="14">
        <f t="shared" si="8"/>
        <v>78550.83</v>
      </c>
      <c r="R564" s="14">
        <v>78934.83</v>
      </c>
      <c r="S564" s="14" t="s">
        <v>83</v>
      </c>
      <c r="T564" s="14" t="s">
        <v>34</v>
      </c>
      <c r="U564" s="14" t="s">
        <v>103</v>
      </c>
      <c r="V564" s="14" t="s">
        <v>103</v>
      </c>
      <c r="W564" s="14" t="s">
        <v>57</v>
      </c>
      <c r="X564" s="14">
        <v>10</v>
      </c>
      <c r="Y564" s="14" t="s">
        <v>47</v>
      </c>
      <c r="Z564" s="14">
        <v>3</v>
      </c>
      <c r="AA564" s="14" t="s">
        <v>91</v>
      </c>
    </row>
    <row r="565" spans="1:27" x14ac:dyDescent="0.35">
      <c r="A565" s="14" t="s">
        <v>1079</v>
      </c>
      <c r="B565" s="15">
        <v>45791</v>
      </c>
      <c r="C565" s="14" t="s">
        <v>1080</v>
      </c>
      <c r="D565" s="14" t="s">
        <v>42</v>
      </c>
      <c r="E565" s="14" t="s">
        <v>29</v>
      </c>
      <c r="F565" s="14">
        <v>33</v>
      </c>
      <c r="G565" s="14" t="s">
        <v>74</v>
      </c>
      <c r="H565" s="14" t="s">
        <v>31</v>
      </c>
      <c r="I565" s="14" t="s">
        <v>74</v>
      </c>
      <c r="J565" s="14" t="s">
        <v>112</v>
      </c>
      <c r="K565" s="14">
        <v>3</v>
      </c>
      <c r="L565" s="14">
        <v>38101</v>
      </c>
      <c r="M565" s="14">
        <v>10</v>
      </c>
      <c r="N565" s="14">
        <v>11430.3</v>
      </c>
      <c r="O565" s="14">
        <v>18517.09</v>
      </c>
      <c r="P565" s="14">
        <v>123</v>
      </c>
      <c r="Q565" s="14">
        <f t="shared" si="8"/>
        <v>121389.79</v>
      </c>
      <c r="R565" s="14">
        <v>121512.79</v>
      </c>
      <c r="S565" s="14" t="s">
        <v>83</v>
      </c>
      <c r="T565" s="14" t="s">
        <v>63</v>
      </c>
      <c r="U565" s="14" t="s">
        <v>95</v>
      </c>
      <c r="V565" s="14" t="s">
        <v>96</v>
      </c>
      <c r="W565" s="14" t="s">
        <v>57</v>
      </c>
      <c r="X565" s="14">
        <v>4</v>
      </c>
      <c r="Y565" s="14" t="s">
        <v>38</v>
      </c>
      <c r="Z565" s="14">
        <v>1</v>
      </c>
      <c r="AA565" s="14" t="s">
        <v>91</v>
      </c>
    </row>
    <row r="566" spans="1:27" x14ac:dyDescent="0.35">
      <c r="A566" s="14" t="s">
        <v>1081</v>
      </c>
      <c r="B566" s="15">
        <v>45951</v>
      </c>
      <c r="C566" s="14" t="s">
        <v>201</v>
      </c>
      <c r="D566" s="14" t="s">
        <v>89</v>
      </c>
      <c r="E566" s="14" t="s">
        <v>29</v>
      </c>
      <c r="F566" s="14">
        <v>27</v>
      </c>
      <c r="G566" s="14" t="s">
        <v>67</v>
      </c>
      <c r="H566" s="14" t="s">
        <v>68</v>
      </c>
      <c r="I566" s="14" t="s">
        <v>67</v>
      </c>
      <c r="J566" s="14" t="s">
        <v>62</v>
      </c>
      <c r="K566" s="14">
        <v>2</v>
      </c>
      <c r="L566" s="14">
        <v>20386</v>
      </c>
      <c r="M566" s="14">
        <v>20</v>
      </c>
      <c r="N566" s="14">
        <v>8154.4</v>
      </c>
      <c r="O566" s="14">
        <v>5871.17</v>
      </c>
      <c r="P566" s="14">
        <v>48</v>
      </c>
      <c r="Q566" s="14">
        <f t="shared" si="8"/>
        <v>38488.769999999997</v>
      </c>
      <c r="R566" s="14">
        <v>38536.769999999997</v>
      </c>
      <c r="S566" s="14" t="s">
        <v>83</v>
      </c>
      <c r="T566" s="14" t="s">
        <v>63</v>
      </c>
      <c r="U566" s="14" t="s">
        <v>46</v>
      </c>
      <c r="V566" s="14" t="s">
        <v>36</v>
      </c>
      <c r="W566" s="14" t="s">
        <v>37</v>
      </c>
      <c r="X566" s="14">
        <v>10</v>
      </c>
      <c r="Y566" s="14" t="s">
        <v>38</v>
      </c>
      <c r="Z566" s="14">
        <v>1</v>
      </c>
      <c r="AA566" s="14" t="s">
        <v>91</v>
      </c>
    </row>
    <row r="567" spans="1:27" x14ac:dyDescent="0.35">
      <c r="A567" s="14" t="s">
        <v>1082</v>
      </c>
      <c r="B567" s="15">
        <v>46066</v>
      </c>
      <c r="C567" s="14" t="s">
        <v>267</v>
      </c>
      <c r="D567" s="14" t="s">
        <v>73</v>
      </c>
      <c r="E567" s="14" t="s">
        <v>29</v>
      </c>
      <c r="F567" s="14">
        <v>28</v>
      </c>
      <c r="G567" s="14" t="s">
        <v>90</v>
      </c>
      <c r="H567" s="14" t="s">
        <v>31</v>
      </c>
      <c r="I567" s="14" t="s">
        <v>90</v>
      </c>
      <c r="J567" s="14" t="s">
        <v>32</v>
      </c>
      <c r="K567" s="14">
        <v>2</v>
      </c>
      <c r="L567" s="14">
        <v>12947</v>
      </c>
      <c r="M567" s="14">
        <v>10</v>
      </c>
      <c r="N567" s="14">
        <v>2589.4</v>
      </c>
      <c r="O567" s="14">
        <v>4194.83</v>
      </c>
      <c r="P567" s="14">
        <v>401</v>
      </c>
      <c r="Q567" s="14">
        <f t="shared" si="8"/>
        <v>27499.43</v>
      </c>
      <c r="R567" s="14">
        <v>27900.43</v>
      </c>
      <c r="S567" s="14" t="s">
        <v>54</v>
      </c>
      <c r="T567" s="14" t="s">
        <v>34</v>
      </c>
      <c r="U567" s="14" t="s">
        <v>46</v>
      </c>
      <c r="V567" s="14" t="s">
        <v>36</v>
      </c>
      <c r="W567" s="14" t="s">
        <v>37</v>
      </c>
      <c r="X567" s="14">
        <v>1</v>
      </c>
      <c r="Y567" s="14" t="s">
        <v>47</v>
      </c>
      <c r="Z567" s="14">
        <v>1</v>
      </c>
      <c r="AA567" s="14" t="s">
        <v>58</v>
      </c>
    </row>
    <row r="568" spans="1:27" x14ac:dyDescent="0.35">
      <c r="A568" s="14" t="s">
        <v>1083</v>
      </c>
      <c r="B568" s="15">
        <v>45993</v>
      </c>
      <c r="C568" s="14" t="s">
        <v>1084</v>
      </c>
      <c r="D568" s="14" t="s">
        <v>28</v>
      </c>
      <c r="E568" s="14" t="s">
        <v>43</v>
      </c>
      <c r="F568" s="14">
        <v>29</v>
      </c>
      <c r="G568" s="14" t="s">
        <v>67</v>
      </c>
      <c r="H568" s="14" t="s">
        <v>68</v>
      </c>
      <c r="I568" s="14" t="s">
        <v>67</v>
      </c>
      <c r="J568" s="14" t="s">
        <v>125</v>
      </c>
      <c r="K568" s="14">
        <v>1</v>
      </c>
      <c r="L568" s="14">
        <v>45669</v>
      </c>
      <c r="M568" s="14">
        <v>20</v>
      </c>
      <c r="N568" s="14">
        <v>9133.7999999999993</v>
      </c>
      <c r="O568" s="14">
        <v>6576.34</v>
      </c>
      <c r="P568" s="14">
        <v>84</v>
      </c>
      <c r="Q568" s="14">
        <f t="shared" si="8"/>
        <v>43111.54</v>
      </c>
      <c r="R568" s="14">
        <v>43195.54</v>
      </c>
      <c r="S568" s="14" t="s">
        <v>83</v>
      </c>
      <c r="T568" s="14" t="s">
        <v>34</v>
      </c>
      <c r="U568" s="14" t="s">
        <v>103</v>
      </c>
      <c r="V568" s="14" t="s">
        <v>103</v>
      </c>
      <c r="W568" s="14" t="s">
        <v>57</v>
      </c>
      <c r="X568" s="14">
        <v>9</v>
      </c>
      <c r="Y568" s="14" t="s">
        <v>47</v>
      </c>
      <c r="Z568" s="14">
        <v>1</v>
      </c>
      <c r="AA568" s="14" t="s">
        <v>58</v>
      </c>
    </row>
    <row r="569" spans="1:27" x14ac:dyDescent="0.35">
      <c r="A569" s="14" t="s">
        <v>1085</v>
      </c>
      <c r="B569" s="15">
        <v>45923</v>
      </c>
      <c r="C569" s="14" t="s">
        <v>1086</v>
      </c>
      <c r="D569" s="14" t="s">
        <v>66</v>
      </c>
      <c r="E569" s="14" t="s">
        <v>29</v>
      </c>
      <c r="F569" s="14">
        <v>27</v>
      </c>
      <c r="G569" s="14" t="s">
        <v>44</v>
      </c>
      <c r="H569" s="14" t="s">
        <v>31</v>
      </c>
      <c r="I569" s="14" t="s">
        <v>44</v>
      </c>
      <c r="J569" s="14" t="s">
        <v>150</v>
      </c>
      <c r="K569" s="14">
        <v>5</v>
      </c>
      <c r="L569" s="14">
        <v>32363</v>
      </c>
      <c r="M569" s="14">
        <v>15</v>
      </c>
      <c r="N569" s="14">
        <v>24272.25</v>
      </c>
      <c r="O569" s="14">
        <v>24757.69</v>
      </c>
      <c r="P569" s="14">
        <v>55</v>
      </c>
      <c r="Q569" s="14">
        <f t="shared" si="8"/>
        <v>162300.45000000001</v>
      </c>
      <c r="R569" s="14">
        <v>162355.45000000001</v>
      </c>
      <c r="S569" s="14" t="s">
        <v>33</v>
      </c>
      <c r="T569" s="14" t="s">
        <v>63</v>
      </c>
      <c r="U569" s="14" t="s">
        <v>103</v>
      </c>
      <c r="V569" s="14" t="s">
        <v>103</v>
      </c>
      <c r="W569" s="14" t="s">
        <v>57</v>
      </c>
      <c r="X569" s="14">
        <v>4</v>
      </c>
      <c r="Y569" s="14" t="s">
        <v>47</v>
      </c>
      <c r="Z569" s="14">
        <v>3</v>
      </c>
      <c r="AA569" s="14" t="s">
        <v>39</v>
      </c>
    </row>
    <row r="570" spans="1:27" x14ac:dyDescent="0.35">
      <c r="A570" s="14" t="s">
        <v>1087</v>
      </c>
      <c r="B570" s="15">
        <v>45902</v>
      </c>
      <c r="C570" s="14" t="s">
        <v>1088</v>
      </c>
      <c r="D570" s="14" t="s">
        <v>108</v>
      </c>
      <c r="E570" s="14" t="s">
        <v>29</v>
      </c>
      <c r="F570" s="14">
        <v>18</v>
      </c>
      <c r="G570" s="14" t="s">
        <v>90</v>
      </c>
      <c r="H570" s="14" t="s">
        <v>31</v>
      </c>
      <c r="I570" s="14" t="s">
        <v>90</v>
      </c>
      <c r="J570" s="14" t="s">
        <v>202</v>
      </c>
      <c r="K570" s="14">
        <v>2</v>
      </c>
      <c r="L570" s="14">
        <v>26083</v>
      </c>
      <c r="M570" s="14">
        <v>5</v>
      </c>
      <c r="N570" s="14">
        <v>2608.3000000000002</v>
      </c>
      <c r="O570" s="14">
        <v>8920.39</v>
      </c>
      <c r="P570" s="14">
        <v>148</v>
      </c>
      <c r="Q570" s="14">
        <f t="shared" si="8"/>
        <v>58478.09</v>
      </c>
      <c r="R570" s="14">
        <v>58626.09</v>
      </c>
      <c r="S570" s="14" t="s">
        <v>45</v>
      </c>
      <c r="T570" s="14" t="s">
        <v>34</v>
      </c>
      <c r="U570" s="14" t="s">
        <v>95</v>
      </c>
      <c r="V570" s="14" t="s">
        <v>96</v>
      </c>
      <c r="W570" s="14" t="s">
        <v>57</v>
      </c>
      <c r="X570" s="14">
        <v>4</v>
      </c>
      <c r="Y570" s="14" t="s">
        <v>38</v>
      </c>
      <c r="Z570" s="14">
        <v>2</v>
      </c>
      <c r="AA570" s="14" t="s">
        <v>39</v>
      </c>
    </row>
    <row r="571" spans="1:27" x14ac:dyDescent="0.35">
      <c r="A571" s="14" t="s">
        <v>1089</v>
      </c>
      <c r="B571" s="15">
        <v>46113</v>
      </c>
      <c r="C571" s="14" t="s">
        <v>492</v>
      </c>
      <c r="D571" s="14" t="s">
        <v>42</v>
      </c>
      <c r="E571" s="14" t="s">
        <v>43</v>
      </c>
      <c r="F571" s="14">
        <v>28</v>
      </c>
      <c r="G571" s="14" t="s">
        <v>90</v>
      </c>
      <c r="H571" s="14" t="s">
        <v>31</v>
      </c>
      <c r="I571" s="14" t="s">
        <v>90</v>
      </c>
      <c r="J571" s="14" t="s">
        <v>112</v>
      </c>
      <c r="K571" s="14">
        <v>4</v>
      </c>
      <c r="L571" s="14">
        <v>18529</v>
      </c>
      <c r="M571" s="14">
        <v>20</v>
      </c>
      <c r="N571" s="14">
        <v>14823.2</v>
      </c>
      <c r="O571" s="14">
        <v>10672.7</v>
      </c>
      <c r="P571" s="14">
        <v>326</v>
      </c>
      <c r="Q571" s="14">
        <f t="shared" si="8"/>
        <v>69965.5</v>
      </c>
      <c r="R571" s="14">
        <v>70291.5</v>
      </c>
      <c r="S571" s="14" t="s">
        <v>33</v>
      </c>
      <c r="T571" s="14" t="s">
        <v>63</v>
      </c>
      <c r="U571" s="14" t="s">
        <v>84</v>
      </c>
      <c r="V571" s="14" t="s">
        <v>85</v>
      </c>
      <c r="W571" s="14" t="s">
        <v>86</v>
      </c>
      <c r="X571" s="14">
        <v>10</v>
      </c>
      <c r="Y571" s="14" t="s">
        <v>38</v>
      </c>
      <c r="Z571" s="14">
        <v>4</v>
      </c>
      <c r="AA571" s="14" t="s">
        <v>91</v>
      </c>
    </row>
    <row r="572" spans="1:27" x14ac:dyDescent="0.35">
      <c r="A572" s="14" t="s">
        <v>1090</v>
      </c>
      <c r="B572" s="15">
        <v>46038</v>
      </c>
      <c r="C572" s="14" t="s">
        <v>541</v>
      </c>
      <c r="D572" s="14" t="s">
        <v>73</v>
      </c>
      <c r="E572" s="14" t="s">
        <v>29</v>
      </c>
      <c r="F572" s="14">
        <v>22</v>
      </c>
      <c r="G572" s="14" t="s">
        <v>44</v>
      </c>
      <c r="H572" s="14" t="s">
        <v>31</v>
      </c>
      <c r="I572" s="14" t="s">
        <v>44</v>
      </c>
      <c r="J572" s="14" t="s">
        <v>32</v>
      </c>
      <c r="K572" s="14">
        <v>5</v>
      </c>
      <c r="L572" s="14">
        <v>48092</v>
      </c>
      <c r="M572" s="14">
        <v>0</v>
      </c>
      <c r="N572" s="14">
        <v>0</v>
      </c>
      <c r="O572" s="14">
        <v>43282.8</v>
      </c>
      <c r="P572" s="14">
        <v>210</v>
      </c>
      <c r="Q572" s="14">
        <f t="shared" si="8"/>
        <v>283742.8</v>
      </c>
      <c r="R572" s="14">
        <v>283952.8</v>
      </c>
      <c r="S572" s="14" t="s">
        <v>54</v>
      </c>
      <c r="T572" s="14" t="s">
        <v>34</v>
      </c>
      <c r="U572" s="14" t="s">
        <v>95</v>
      </c>
      <c r="V572" s="14" t="s">
        <v>96</v>
      </c>
      <c r="W572" s="14" t="s">
        <v>57</v>
      </c>
      <c r="X572" s="14">
        <v>3</v>
      </c>
      <c r="Y572" s="14" t="s">
        <v>38</v>
      </c>
      <c r="Z572" s="14">
        <v>1</v>
      </c>
      <c r="AA572" s="14" t="s">
        <v>47</v>
      </c>
    </row>
    <row r="573" spans="1:27" x14ac:dyDescent="0.35">
      <c r="A573" s="14" t="s">
        <v>1091</v>
      </c>
      <c r="B573" s="15">
        <v>45975</v>
      </c>
      <c r="C573" s="14" t="s">
        <v>1018</v>
      </c>
      <c r="D573" s="14" t="s">
        <v>111</v>
      </c>
      <c r="E573" s="14" t="s">
        <v>43</v>
      </c>
      <c r="F573" s="14">
        <v>28</v>
      </c>
      <c r="G573" s="14" t="s">
        <v>51</v>
      </c>
      <c r="H573" s="14" t="s">
        <v>52</v>
      </c>
      <c r="I573" s="14" t="s">
        <v>51</v>
      </c>
      <c r="J573" s="14" t="s">
        <v>102</v>
      </c>
      <c r="K573" s="14">
        <v>1</v>
      </c>
      <c r="L573" s="14">
        <v>46450</v>
      </c>
      <c r="M573" s="14">
        <v>10</v>
      </c>
      <c r="N573" s="14">
        <v>4645</v>
      </c>
      <c r="O573" s="14">
        <v>7524.9</v>
      </c>
      <c r="P573" s="14">
        <v>11</v>
      </c>
      <c r="Q573" s="14">
        <f t="shared" si="8"/>
        <v>49329.9</v>
      </c>
      <c r="R573" s="14">
        <v>49340.9</v>
      </c>
      <c r="S573" s="14" t="s">
        <v>54</v>
      </c>
      <c r="T573" s="14" t="s">
        <v>34</v>
      </c>
      <c r="U573" s="14" t="s">
        <v>84</v>
      </c>
      <c r="V573" s="14" t="s">
        <v>85</v>
      </c>
      <c r="W573" s="14" t="s">
        <v>86</v>
      </c>
      <c r="X573" s="14">
        <v>8</v>
      </c>
      <c r="Y573" s="14" t="s">
        <v>38</v>
      </c>
      <c r="Z573" s="14">
        <v>5</v>
      </c>
      <c r="AA573" s="14" t="s">
        <v>39</v>
      </c>
    </row>
    <row r="574" spans="1:27" x14ac:dyDescent="0.35">
      <c r="A574" s="14" t="s">
        <v>1092</v>
      </c>
      <c r="B574" s="15">
        <v>46041</v>
      </c>
      <c r="C574" s="14" t="s">
        <v>524</v>
      </c>
      <c r="D574" s="14" t="s">
        <v>108</v>
      </c>
      <c r="E574" s="14" t="s">
        <v>43</v>
      </c>
      <c r="F574" s="14">
        <v>19</v>
      </c>
      <c r="G574" s="14" t="s">
        <v>44</v>
      </c>
      <c r="H574" s="14" t="s">
        <v>31</v>
      </c>
      <c r="I574" s="14" t="s">
        <v>44</v>
      </c>
      <c r="J574" s="14" t="s">
        <v>53</v>
      </c>
      <c r="K574" s="14">
        <v>2</v>
      </c>
      <c r="L574" s="14">
        <v>7461</v>
      </c>
      <c r="M574" s="14">
        <v>5</v>
      </c>
      <c r="N574" s="14">
        <v>746.1</v>
      </c>
      <c r="O574" s="14">
        <v>2551.66</v>
      </c>
      <c r="P574" s="14">
        <v>462</v>
      </c>
      <c r="Q574" s="14">
        <f t="shared" si="8"/>
        <v>16727.560000000001</v>
      </c>
      <c r="R574" s="14">
        <v>17189.560000000001</v>
      </c>
      <c r="S574" s="14" t="s">
        <v>54</v>
      </c>
      <c r="T574" s="14" t="s">
        <v>63</v>
      </c>
      <c r="U574" s="14" t="s">
        <v>84</v>
      </c>
      <c r="V574" s="14" t="s">
        <v>85</v>
      </c>
      <c r="W574" s="14" t="s">
        <v>86</v>
      </c>
      <c r="X574" s="14">
        <v>4</v>
      </c>
      <c r="Y574" s="14" t="s">
        <v>47</v>
      </c>
      <c r="Z574" s="14">
        <v>5</v>
      </c>
      <c r="AA574" s="14" t="s">
        <v>91</v>
      </c>
    </row>
    <row r="575" spans="1:27" x14ac:dyDescent="0.35">
      <c r="A575" s="14" t="s">
        <v>1093</v>
      </c>
      <c r="B575" s="15">
        <v>45764</v>
      </c>
      <c r="C575" s="14" t="s">
        <v>258</v>
      </c>
      <c r="D575" s="14" t="s">
        <v>89</v>
      </c>
      <c r="E575" s="14" t="s">
        <v>29</v>
      </c>
      <c r="F575" s="14">
        <v>26</v>
      </c>
      <c r="G575" s="14" t="s">
        <v>94</v>
      </c>
      <c r="H575" s="14" t="s">
        <v>31</v>
      </c>
      <c r="I575" s="14" t="s">
        <v>94</v>
      </c>
      <c r="J575" s="14" t="s">
        <v>202</v>
      </c>
      <c r="K575" s="14">
        <v>4</v>
      </c>
      <c r="L575" s="14">
        <v>34693</v>
      </c>
      <c r="M575" s="14">
        <v>20</v>
      </c>
      <c r="N575" s="14">
        <v>27754.400000000001</v>
      </c>
      <c r="O575" s="14">
        <v>19983.169999999998</v>
      </c>
      <c r="P575" s="14">
        <v>92</v>
      </c>
      <c r="Q575" s="14">
        <f t="shared" si="8"/>
        <v>131000.76999999999</v>
      </c>
      <c r="R575" s="14">
        <v>131092.76999999999</v>
      </c>
      <c r="S575" s="14" t="s">
        <v>83</v>
      </c>
      <c r="T575" s="14" t="s">
        <v>34</v>
      </c>
      <c r="U575" s="14" t="s">
        <v>35</v>
      </c>
      <c r="V575" s="14" t="s">
        <v>36</v>
      </c>
      <c r="W575" s="14" t="s">
        <v>37</v>
      </c>
      <c r="X575" s="14">
        <v>6</v>
      </c>
      <c r="Y575" s="14" t="s">
        <v>47</v>
      </c>
      <c r="Z575" s="14">
        <v>3</v>
      </c>
      <c r="AA575" s="14" t="s">
        <v>91</v>
      </c>
    </row>
    <row r="576" spans="1:27" x14ac:dyDescent="0.35">
      <c r="A576" s="14" t="s">
        <v>1094</v>
      </c>
      <c r="B576" s="15">
        <v>45875</v>
      </c>
      <c r="C576" s="14" t="s">
        <v>315</v>
      </c>
      <c r="D576" s="14" t="s">
        <v>50</v>
      </c>
      <c r="E576" s="14" t="s">
        <v>43</v>
      </c>
      <c r="F576" s="14">
        <v>29</v>
      </c>
      <c r="G576" s="14" t="s">
        <v>90</v>
      </c>
      <c r="H576" s="14" t="s">
        <v>31</v>
      </c>
      <c r="I576" s="14" t="s">
        <v>90</v>
      </c>
      <c r="J576" s="14" t="s">
        <v>112</v>
      </c>
      <c r="K576" s="14">
        <v>1</v>
      </c>
      <c r="L576" s="14">
        <v>32825</v>
      </c>
      <c r="M576" s="14">
        <v>10</v>
      </c>
      <c r="N576" s="14">
        <v>3282.5</v>
      </c>
      <c r="O576" s="14">
        <v>5317.65</v>
      </c>
      <c r="P576" s="14">
        <v>116</v>
      </c>
      <c r="Q576" s="14">
        <f t="shared" si="8"/>
        <v>34860.15</v>
      </c>
      <c r="R576" s="14">
        <v>34976.15</v>
      </c>
      <c r="S576" s="14" t="s">
        <v>45</v>
      </c>
      <c r="T576" s="14" t="s">
        <v>63</v>
      </c>
      <c r="U576" s="14" t="s">
        <v>103</v>
      </c>
      <c r="V576" s="14" t="s">
        <v>103</v>
      </c>
      <c r="W576" s="14" t="s">
        <v>57</v>
      </c>
      <c r="X576" s="14">
        <v>7</v>
      </c>
      <c r="Y576" s="14" t="s">
        <v>47</v>
      </c>
      <c r="Z576" s="14">
        <v>4</v>
      </c>
      <c r="AA576" s="14" t="s">
        <v>39</v>
      </c>
    </row>
    <row r="577" spans="1:27" x14ac:dyDescent="0.35">
      <c r="A577" s="14" t="s">
        <v>1095</v>
      </c>
      <c r="B577" s="15">
        <v>45786</v>
      </c>
      <c r="C577" s="14" t="s">
        <v>809</v>
      </c>
      <c r="D577" s="14" t="s">
        <v>42</v>
      </c>
      <c r="E577" s="14" t="s">
        <v>29</v>
      </c>
      <c r="F577" s="14">
        <v>33</v>
      </c>
      <c r="G577" s="14" t="s">
        <v>44</v>
      </c>
      <c r="H577" s="14" t="s">
        <v>31</v>
      </c>
      <c r="I577" s="14" t="s">
        <v>44</v>
      </c>
      <c r="J577" s="14" t="s">
        <v>112</v>
      </c>
      <c r="K577" s="14">
        <v>3</v>
      </c>
      <c r="L577" s="14">
        <v>10600</v>
      </c>
      <c r="M577" s="14">
        <v>20</v>
      </c>
      <c r="N577" s="14">
        <v>6360</v>
      </c>
      <c r="O577" s="14">
        <v>4579.2</v>
      </c>
      <c r="P577" s="14">
        <v>129</v>
      </c>
      <c r="Q577" s="14">
        <f t="shared" si="8"/>
        <v>30019.200000000001</v>
      </c>
      <c r="R577" s="14">
        <v>30148.2</v>
      </c>
      <c r="S577" s="14" t="s">
        <v>83</v>
      </c>
      <c r="T577" s="14" t="s">
        <v>34</v>
      </c>
      <c r="U577" s="14" t="s">
        <v>55</v>
      </c>
      <c r="V577" s="14" t="s">
        <v>56</v>
      </c>
      <c r="W577" s="14" t="s">
        <v>57</v>
      </c>
      <c r="X577" s="14">
        <v>10</v>
      </c>
      <c r="Y577" s="14" t="s">
        <v>47</v>
      </c>
      <c r="Z577" s="14">
        <v>2</v>
      </c>
      <c r="AA577" s="14" t="s">
        <v>91</v>
      </c>
    </row>
    <row r="578" spans="1:27" x14ac:dyDescent="0.35">
      <c r="A578" s="14" t="s">
        <v>1096</v>
      </c>
      <c r="B578" s="15">
        <v>46008</v>
      </c>
      <c r="C578" s="14" t="s">
        <v>160</v>
      </c>
      <c r="D578" s="14" t="s">
        <v>61</v>
      </c>
      <c r="E578" s="14" t="s">
        <v>29</v>
      </c>
      <c r="F578" s="14">
        <v>50</v>
      </c>
      <c r="G578" s="14" t="s">
        <v>67</v>
      </c>
      <c r="H578" s="14" t="s">
        <v>68</v>
      </c>
      <c r="I578" s="14" t="s">
        <v>67</v>
      </c>
      <c r="J578" s="14" t="s">
        <v>53</v>
      </c>
      <c r="K578" s="14">
        <v>3</v>
      </c>
      <c r="L578" s="14">
        <v>36848</v>
      </c>
      <c r="M578" s="14">
        <v>5</v>
      </c>
      <c r="N578" s="14">
        <v>5527.2</v>
      </c>
      <c r="O578" s="14">
        <v>18903.02</v>
      </c>
      <c r="P578" s="14">
        <v>368</v>
      </c>
      <c r="Q578" s="14">
        <f t="shared" si="8"/>
        <v>123919.82</v>
      </c>
      <c r="R578" s="14">
        <v>124287.82</v>
      </c>
      <c r="S578" s="14" t="s">
        <v>45</v>
      </c>
      <c r="T578" s="14" t="s">
        <v>63</v>
      </c>
      <c r="U578" s="14" t="s">
        <v>55</v>
      </c>
      <c r="V578" s="14" t="s">
        <v>56</v>
      </c>
      <c r="W578" s="14" t="s">
        <v>57</v>
      </c>
      <c r="X578" s="14">
        <v>3</v>
      </c>
      <c r="Y578" s="14" t="s">
        <v>38</v>
      </c>
      <c r="Z578" s="14">
        <v>1</v>
      </c>
      <c r="AA578" s="14" t="s">
        <v>58</v>
      </c>
    </row>
    <row r="579" spans="1:27" x14ac:dyDescent="0.35">
      <c r="A579" s="14" t="s">
        <v>1097</v>
      </c>
      <c r="B579" s="15">
        <v>45936</v>
      </c>
      <c r="C579" s="14" t="s">
        <v>1098</v>
      </c>
      <c r="D579" s="14" t="s">
        <v>80</v>
      </c>
      <c r="E579" s="14" t="s">
        <v>43</v>
      </c>
      <c r="F579" s="14">
        <v>32</v>
      </c>
      <c r="G579" s="14" t="s">
        <v>67</v>
      </c>
      <c r="H579" s="14" t="s">
        <v>68</v>
      </c>
      <c r="I579" s="14" t="s">
        <v>67</v>
      </c>
      <c r="J579" s="14" t="s">
        <v>112</v>
      </c>
      <c r="K579" s="14">
        <v>3</v>
      </c>
      <c r="L579" s="14">
        <v>35709</v>
      </c>
      <c r="M579" s="14">
        <v>0</v>
      </c>
      <c r="N579" s="14">
        <v>0</v>
      </c>
      <c r="O579" s="14">
        <v>19282.86</v>
      </c>
      <c r="P579" s="14">
        <v>36</v>
      </c>
      <c r="Q579" s="14">
        <f t="shared" ref="Q579:Q642" si="9">R579-P579</f>
        <v>126409.86</v>
      </c>
      <c r="R579" s="14">
        <v>126445.86</v>
      </c>
      <c r="S579" s="14" t="s">
        <v>33</v>
      </c>
      <c r="T579" s="14" t="s">
        <v>34</v>
      </c>
      <c r="U579" s="14" t="s">
        <v>103</v>
      </c>
      <c r="V579" s="14" t="s">
        <v>103</v>
      </c>
      <c r="W579" s="14" t="s">
        <v>57</v>
      </c>
      <c r="X579" s="14">
        <v>7</v>
      </c>
      <c r="Y579" s="14" t="s">
        <v>38</v>
      </c>
      <c r="Z579" s="14">
        <v>4</v>
      </c>
      <c r="AA579" s="14" t="s">
        <v>91</v>
      </c>
    </row>
    <row r="580" spans="1:27" x14ac:dyDescent="0.35">
      <c r="A580" s="14" t="s">
        <v>1099</v>
      </c>
      <c r="B580" s="15">
        <v>46070</v>
      </c>
      <c r="C580" s="14" t="s">
        <v>714</v>
      </c>
      <c r="D580" s="14" t="s">
        <v>61</v>
      </c>
      <c r="E580" s="14" t="s">
        <v>43</v>
      </c>
      <c r="F580" s="14">
        <v>27</v>
      </c>
      <c r="G580" s="14" t="s">
        <v>90</v>
      </c>
      <c r="H580" s="14" t="s">
        <v>31</v>
      </c>
      <c r="I580" s="14" t="s">
        <v>90</v>
      </c>
      <c r="J580" s="14" t="s">
        <v>125</v>
      </c>
      <c r="K580" s="14">
        <v>4</v>
      </c>
      <c r="L580" s="14">
        <v>20644</v>
      </c>
      <c r="M580" s="14">
        <v>5</v>
      </c>
      <c r="N580" s="14">
        <v>4128.8</v>
      </c>
      <c r="O580" s="14">
        <v>14120.5</v>
      </c>
      <c r="P580" s="14">
        <v>344</v>
      </c>
      <c r="Q580" s="14">
        <f t="shared" si="9"/>
        <v>92567.7</v>
      </c>
      <c r="R580" s="14">
        <v>92911.7</v>
      </c>
      <c r="S580" s="14" t="s">
        <v>83</v>
      </c>
      <c r="T580" s="14" t="s">
        <v>63</v>
      </c>
      <c r="U580" s="14" t="s">
        <v>70</v>
      </c>
      <c r="V580" s="14" t="s">
        <v>56</v>
      </c>
      <c r="W580" s="14" t="s">
        <v>57</v>
      </c>
      <c r="X580" s="14">
        <v>6</v>
      </c>
      <c r="Y580" s="14" t="s">
        <v>38</v>
      </c>
      <c r="Z580" s="14">
        <v>3</v>
      </c>
      <c r="AA580" s="14" t="s">
        <v>91</v>
      </c>
    </row>
    <row r="581" spans="1:27" x14ac:dyDescent="0.35">
      <c r="A581" s="14" t="s">
        <v>1100</v>
      </c>
      <c r="B581" s="15">
        <v>46005</v>
      </c>
      <c r="C581" s="14" t="s">
        <v>1101</v>
      </c>
      <c r="D581" s="14" t="s">
        <v>42</v>
      </c>
      <c r="E581" s="14" t="s">
        <v>43</v>
      </c>
      <c r="F581" s="14">
        <v>40</v>
      </c>
      <c r="G581" s="14" t="s">
        <v>30</v>
      </c>
      <c r="H581" s="14" t="s">
        <v>31</v>
      </c>
      <c r="I581" s="14" t="s">
        <v>30</v>
      </c>
      <c r="J581" s="14" t="s">
        <v>150</v>
      </c>
      <c r="K581" s="14">
        <v>2</v>
      </c>
      <c r="L581" s="14">
        <v>6782</v>
      </c>
      <c r="M581" s="14">
        <v>10</v>
      </c>
      <c r="N581" s="14">
        <v>1356.4</v>
      </c>
      <c r="O581" s="14">
        <v>2197.37</v>
      </c>
      <c r="P581" s="14">
        <v>59</v>
      </c>
      <c r="Q581" s="14">
        <f t="shared" si="9"/>
        <v>14404.97</v>
      </c>
      <c r="R581" s="14">
        <v>14463.97</v>
      </c>
      <c r="S581" s="14" t="s">
        <v>83</v>
      </c>
      <c r="T581" s="14" t="s">
        <v>34</v>
      </c>
      <c r="U581" s="14" t="s">
        <v>95</v>
      </c>
      <c r="V581" s="14" t="s">
        <v>96</v>
      </c>
      <c r="W581" s="14" t="s">
        <v>57</v>
      </c>
      <c r="X581" s="14">
        <v>2</v>
      </c>
      <c r="Y581" s="14" t="s">
        <v>38</v>
      </c>
      <c r="Z581" s="14">
        <v>1</v>
      </c>
      <c r="AA581" s="14" t="s">
        <v>39</v>
      </c>
    </row>
    <row r="582" spans="1:27" x14ac:dyDescent="0.35">
      <c r="A582" s="14" t="s">
        <v>1102</v>
      </c>
      <c r="B582" s="15">
        <v>46105</v>
      </c>
      <c r="C582" s="14" t="s">
        <v>1103</v>
      </c>
      <c r="D582" s="14" t="s">
        <v>42</v>
      </c>
      <c r="E582" s="14" t="s">
        <v>43</v>
      </c>
      <c r="F582" s="14">
        <v>33</v>
      </c>
      <c r="G582" s="14" t="s">
        <v>99</v>
      </c>
      <c r="H582" s="14" t="s">
        <v>52</v>
      </c>
      <c r="I582" s="14" t="s">
        <v>99</v>
      </c>
      <c r="J582" s="14" t="s">
        <v>125</v>
      </c>
      <c r="K582" s="14">
        <v>3</v>
      </c>
      <c r="L582" s="14">
        <v>30995</v>
      </c>
      <c r="M582" s="14">
        <v>5</v>
      </c>
      <c r="N582" s="14">
        <v>4649.25</v>
      </c>
      <c r="O582" s="14">
        <v>15900.43</v>
      </c>
      <c r="P582" s="14">
        <v>207</v>
      </c>
      <c r="Q582" s="14">
        <f t="shared" si="9"/>
        <v>104236.18</v>
      </c>
      <c r="R582" s="14">
        <v>104443.18</v>
      </c>
      <c r="S582" s="14" t="s">
        <v>45</v>
      </c>
      <c r="T582" s="14" t="s">
        <v>63</v>
      </c>
      <c r="U582" s="14" t="s">
        <v>55</v>
      </c>
      <c r="V582" s="14" t="s">
        <v>56</v>
      </c>
      <c r="W582" s="14" t="s">
        <v>57</v>
      </c>
      <c r="X582" s="14">
        <v>6</v>
      </c>
      <c r="Y582" s="14" t="s">
        <v>38</v>
      </c>
      <c r="Z582" s="14">
        <v>5</v>
      </c>
      <c r="AA582" s="14" t="s">
        <v>91</v>
      </c>
    </row>
    <row r="583" spans="1:27" x14ac:dyDescent="0.35">
      <c r="A583" s="14" t="s">
        <v>1104</v>
      </c>
      <c r="B583" s="15">
        <v>45929</v>
      </c>
      <c r="C583" s="14" t="s">
        <v>1105</v>
      </c>
      <c r="D583" s="14" t="s">
        <v>61</v>
      </c>
      <c r="E583" s="14" t="s">
        <v>43</v>
      </c>
      <c r="F583" s="14">
        <v>19</v>
      </c>
      <c r="G583" s="14" t="s">
        <v>44</v>
      </c>
      <c r="H583" s="14" t="s">
        <v>31</v>
      </c>
      <c r="I583" s="14" t="s">
        <v>44</v>
      </c>
      <c r="J583" s="14" t="s">
        <v>102</v>
      </c>
      <c r="K583" s="14">
        <v>1</v>
      </c>
      <c r="L583" s="14">
        <v>31065</v>
      </c>
      <c r="M583" s="14">
        <v>20</v>
      </c>
      <c r="N583" s="14">
        <v>6213</v>
      </c>
      <c r="O583" s="14">
        <v>4473.3599999999997</v>
      </c>
      <c r="P583" s="14">
        <v>485</v>
      </c>
      <c r="Q583" s="14">
        <f t="shared" si="9"/>
        <v>29325.360000000001</v>
      </c>
      <c r="R583" s="14">
        <v>29810.36</v>
      </c>
      <c r="S583" s="14" t="s">
        <v>45</v>
      </c>
      <c r="T583" s="14" t="s">
        <v>63</v>
      </c>
      <c r="U583" s="14" t="s">
        <v>70</v>
      </c>
      <c r="V583" s="14" t="s">
        <v>56</v>
      </c>
      <c r="W583" s="14" t="s">
        <v>57</v>
      </c>
      <c r="X583" s="14">
        <v>8</v>
      </c>
      <c r="Y583" s="14" t="s">
        <v>47</v>
      </c>
      <c r="Z583" s="14">
        <v>4</v>
      </c>
      <c r="AA583" s="14" t="s">
        <v>39</v>
      </c>
    </row>
    <row r="584" spans="1:27" x14ac:dyDescent="0.35">
      <c r="A584" s="14" t="s">
        <v>1106</v>
      </c>
      <c r="B584" s="15">
        <v>45797</v>
      </c>
      <c r="C584" s="14" t="s">
        <v>626</v>
      </c>
      <c r="D584" s="14" t="s">
        <v>50</v>
      </c>
      <c r="E584" s="14" t="s">
        <v>43</v>
      </c>
      <c r="F584" s="14">
        <v>23</v>
      </c>
      <c r="G584" s="14" t="s">
        <v>51</v>
      </c>
      <c r="H584" s="14" t="s">
        <v>52</v>
      </c>
      <c r="I584" s="14" t="s">
        <v>51</v>
      </c>
      <c r="J584" s="14" t="s">
        <v>112</v>
      </c>
      <c r="K584" s="14">
        <v>4</v>
      </c>
      <c r="L584" s="14">
        <v>25638</v>
      </c>
      <c r="M584" s="14">
        <v>5</v>
      </c>
      <c r="N584" s="14">
        <v>5127.6000000000004</v>
      </c>
      <c r="O584" s="14">
        <v>17536.39</v>
      </c>
      <c r="P584" s="14">
        <v>105</v>
      </c>
      <c r="Q584" s="14">
        <f t="shared" si="9"/>
        <v>114960.79</v>
      </c>
      <c r="R584" s="14">
        <v>115065.79</v>
      </c>
      <c r="S584" s="14" t="s">
        <v>33</v>
      </c>
      <c r="T584" s="14" t="s">
        <v>63</v>
      </c>
      <c r="U584" s="14" t="s">
        <v>70</v>
      </c>
      <c r="V584" s="14" t="s">
        <v>56</v>
      </c>
      <c r="W584" s="14" t="s">
        <v>57</v>
      </c>
      <c r="X584" s="14">
        <v>6</v>
      </c>
      <c r="Y584" s="14" t="s">
        <v>38</v>
      </c>
      <c r="Z584" s="14">
        <v>5</v>
      </c>
      <c r="AA584" s="14" t="s">
        <v>91</v>
      </c>
    </row>
    <row r="585" spans="1:27" x14ac:dyDescent="0.35">
      <c r="A585" s="14" t="s">
        <v>1107</v>
      </c>
      <c r="B585" s="15">
        <v>45758</v>
      </c>
      <c r="C585" s="14" t="s">
        <v>945</v>
      </c>
      <c r="D585" s="14" t="s">
        <v>42</v>
      </c>
      <c r="E585" s="14" t="s">
        <v>43</v>
      </c>
      <c r="F585" s="14">
        <v>44</v>
      </c>
      <c r="G585" s="14" t="s">
        <v>51</v>
      </c>
      <c r="H585" s="14" t="s">
        <v>52</v>
      </c>
      <c r="I585" s="14" t="s">
        <v>51</v>
      </c>
      <c r="J585" s="14" t="s">
        <v>202</v>
      </c>
      <c r="K585" s="14">
        <v>3</v>
      </c>
      <c r="L585" s="14">
        <v>36997</v>
      </c>
      <c r="M585" s="14">
        <v>20</v>
      </c>
      <c r="N585" s="14">
        <v>22198.2</v>
      </c>
      <c r="O585" s="14">
        <v>15982.7</v>
      </c>
      <c r="P585" s="14">
        <v>276</v>
      </c>
      <c r="Q585" s="14">
        <f t="shared" si="9"/>
        <v>104775.5</v>
      </c>
      <c r="R585" s="14">
        <v>105051.5</v>
      </c>
      <c r="S585" s="14" t="s">
        <v>33</v>
      </c>
      <c r="T585" s="14" t="s">
        <v>63</v>
      </c>
      <c r="U585" s="14" t="s">
        <v>95</v>
      </c>
      <c r="V585" s="14" t="s">
        <v>96</v>
      </c>
      <c r="W585" s="14" t="s">
        <v>57</v>
      </c>
      <c r="X585" s="14">
        <v>7</v>
      </c>
      <c r="Y585" s="14" t="s">
        <v>47</v>
      </c>
      <c r="Z585" s="14">
        <v>2</v>
      </c>
      <c r="AA585" s="14" t="s">
        <v>47</v>
      </c>
    </row>
    <row r="586" spans="1:27" x14ac:dyDescent="0.35">
      <c r="A586" s="14" t="s">
        <v>1108</v>
      </c>
      <c r="B586" s="15">
        <v>46066</v>
      </c>
      <c r="C586" s="14" t="s">
        <v>267</v>
      </c>
      <c r="D586" s="14" t="s">
        <v>61</v>
      </c>
      <c r="E586" s="14" t="s">
        <v>29</v>
      </c>
      <c r="F586" s="14">
        <v>57</v>
      </c>
      <c r="G586" s="14" t="s">
        <v>99</v>
      </c>
      <c r="H586" s="14" t="s">
        <v>52</v>
      </c>
      <c r="I586" s="14" t="s">
        <v>99</v>
      </c>
      <c r="J586" s="14" t="s">
        <v>125</v>
      </c>
      <c r="K586" s="14">
        <v>2</v>
      </c>
      <c r="L586" s="14">
        <v>22302</v>
      </c>
      <c r="M586" s="14">
        <v>0</v>
      </c>
      <c r="N586" s="14">
        <v>0</v>
      </c>
      <c r="O586" s="14">
        <v>8028.72</v>
      </c>
      <c r="P586" s="14">
        <v>137</v>
      </c>
      <c r="Q586" s="14">
        <f t="shared" si="9"/>
        <v>52632.72</v>
      </c>
      <c r="R586" s="14">
        <v>52769.72</v>
      </c>
      <c r="S586" s="14" t="s">
        <v>83</v>
      </c>
      <c r="T586" s="14" t="s">
        <v>34</v>
      </c>
      <c r="U586" s="14" t="s">
        <v>95</v>
      </c>
      <c r="V586" s="14" t="s">
        <v>96</v>
      </c>
      <c r="W586" s="14" t="s">
        <v>57</v>
      </c>
      <c r="X586" s="14">
        <v>9</v>
      </c>
      <c r="Y586" s="14" t="s">
        <v>47</v>
      </c>
      <c r="Z586" s="14">
        <v>2</v>
      </c>
      <c r="AA586" s="14" t="s">
        <v>58</v>
      </c>
    </row>
    <row r="587" spans="1:27" x14ac:dyDescent="0.35">
      <c r="A587" s="14" t="s">
        <v>1109</v>
      </c>
      <c r="B587" s="15">
        <v>45887</v>
      </c>
      <c r="C587" s="14" t="s">
        <v>579</v>
      </c>
      <c r="D587" s="14" t="s">
        <v>28</v>
      </c>
      <c r="E587" s="14" t="s">
        <v>29</v>
      </c>
      <c r="F587" s="14">
        <v>54</v>
      </c>
      <c r="G587" s="14" t="s">
        <v>99</v>
      </c>
      <c r="H587" s="14" t="s">
        <v>52</v>
      </c>
      <c r="I587" s="14" t="s">
        <v>99</v>
      </c>
      <c r="J587" s="14" t="s">
        <v>69</v>
      </c>
      <c r="K587" s="14">
        <v>4</v>
      </c>
      <c r="L587" s="14">
        <v>27890</v>
      </c>
      <c r="M587" s="14">
        <v>5</v>
      </c>
      <c r="N587" s="14">
        <v>5578</v>
      </c>
      <c r="O587" s="14">
        <v>19076.759999999998</v>
      </c>
      <c r="P587" s="14">
        <v>263</v>
      </c>
      <c r="Q587" s="14">
        <f t="shared" si="9"/>
        <v>125058.76</v>
      </c>
      <c r="R587" s="14">
        <v>125321.76</v>
      </c>
      <c r="S587" s="14" t="s">
        <v>83</v>
      </c>
      <c r="T587" s="14" t="s">
        <v>63</v>
      </c>
      <c r="U587" s="14" t="s">
        <v>76</v>
      </c>
      <c r="V587" s="14" t="s">
        <v>77</v>
      </c>
      <c r="W587" s="14" t="s">
        <v>57</v>
      </c>
      <c r="X587" s="14">
        <v>4</v>
      </c>
      <c r="Y587" s="14" t="s">
        <v>38</v>
      </c>
      <c r="Z587" s="14">
        <v>5</v>
      </c>
      <c r="AA587" s="14" t="s">
        <v>91</v>
      </c>
    </row>
    <row r="588" spans="1:27" x14ac:dyDescent="0.35">
      <c r="A588" s="14" t="s">
        <v>1110</v>
      </c>
      <c r="B588" s="15">
        <v>46092</v>
      </c>
      <c r="C588" s="14" t="s">
        <v>1111</v>
      </c>
      <c r="D588" s="14" t="s">
        <v>50</v>
      </c>
      <c r="E588" s="14" t="s">
        <v>43</v>
      </c>
      <c r="F588" s="14">
        <v>43</v>
      </c>
      <c r="G588" s="14" t="s">
        <v>99</v>
      </c>
      <c r="H588" s="14" t="s">
        <v>52</v>
      </c>
      <c r="I588" s="14" t="s">
        <v>99</v>
      </c>
      <c r="J588" s="14" t="s">
        <v>53</v>
      </c>
      <c r="K588" s="14">
        <v>1</v>
      </c>
      <c r="L588" s="14">
        <v>3325</v>
      </c>
      <c r="M588" s="14">
        <v>15</v>
      </c>
      <c r="N588" s="14">
        <v>498.75</v>
      </c>
      <c r="O588" s="14">
        <v>508.72</v>
      </c>
      <c r="P588" s="14">
        <v>182</v>
      </c>
      <c r="Q588" s="14">
        <f t="shared" si="9"/>
        <v>3334.97</v>
      </c>
      <c r="R588" s="14">
        <v>3516.97</v>
      </c>
      <c r="S588" s="14" t="s">
        <v>33</v>
      </c>
      <c r="T588" s="14" t="s">
        <v>63</v>
      </c>
      <c r="U588" s="14" t="s">
        <v>103</v>
      </c>
      <c r="V588" s="14" t="s">
        <v>103</v>
      </c>
      <c r="W588" s="14" t="s">
        <v>57</v>
      </c>
      <c r="X588" s="14">
        <v>6</v>
      </c>
      <c r="Y588" s="14" t="s">
        <v>47</v>
      </c>
      <c r="Z588" s="14">
        <v>5</v>
      </c>
      <c r="AA588" s="14" t="s">
        <v>47</v>
      </c>
    </row>
    <row r="589" spans="1:27" x14ac:dyDescent="0.35">
      <c r="A589" s="14" t="s">
        <v>1112</v>
      </c>
      <c r="B589" s="15">
        <v>45841</v>
      </c>
      <c r="C589" s="14" t="s">
        <v>630</v>
      </c>
      <c r="D589" s="14" t="s">
        <v>73</v>
      </c>
      <c r="E589" s="14" t="s">
        <v>43</v>
      </c>
      <c r="F589" s="14">
        <v>42</v>
      </c>
      <c r="G589" s="14" t="s">
        <v>44</v>
      </c>
      <c r="H589" s="14" t="s">
        <v>31</v>
      </c>
      <c r="I589" s="14" t="s">
        <v>44</v>
      </c>
      <c r="J589" s="14" t="s">
        <v>202</v>
      </c>
      <c r="K589" s="14">
        <v>1</v>
      </c>
      <c r="L589" s="14">
        <v>46035</v>
      </c>
      <c r="M589" s="14">
        <v>0</v>
      </c>
      <c r="N589" s="14">
        <v>0</v>
      </c>
      <c r="O589" s="14">
        <v>8286.2999999999993</v>
      </c>
      <c r="P589" s="14">
        <v>39</v>
      </c>
      <c r="Q589" s="14">
        <f t="shared" si="9"/>
        <v>54321.3</v>
      </c>
      <c r="R589" s="14">
        <v>54360.3</v>
      </c>
      <c r="S589" s="14" t="s">
        <v>33</v>
      </c>
      <c r="T589" s="14" t="s">
        <v>63</v>
      </c>
      <c r="U589" s="14" t="s">
        <v>84</v>
      </c>
      <c r="V589" s="14" t="s">
        <v>85</v>
      </c>
      <c r="W589" s="14" t="s">
        <v>86</v>
      </c>
      <c r="X589" s="14">
        <v>2</v>
      </c>
      <c r="Y589" s="14" t="s">
        <v>38</v>
      </c>
      <c r="Z589" s="14">
        <v>2</v>
      </c>
      <c r="AA589" s="14" t="s">
        <v>47</v>
      </c>
    </row>
    <row r="590" spans="1:27" x14ac:dyDescent="0.35">
      <c r="A590" s="14" t="s">
        <v>1113</v>
      </c>
      <c r="B590" s="15">
        <v>45905</v>
      </c>
      <c r="C590" s="14" t="s">
        <v>1114</v>
      </c>
      <c r="D590" s="14" t="s">
        <v>89</v>
      </c>
      <c r="E590" s="14" t="s">
        <v>43</v>
      </c>
      <c r="F590" s="14">
        <v>26</v>
      </c>
      <c r="G590" s="14" t="s">
        <v>44</v>
      </c>
      <c r="H590" s="14" t="s">
        <v>31</v>
      </c>
      <c r="I590" s="14" t="s">
        <v>44</v>
      </c>
      <c r="J590" s="14" t="s">
        <v>69</v>
      </c>
      <c r="K590" s="14">
        <v>4</v>
      </c>
      <c r="L590" s="14">
        <v>43793</v>
      </c>
      <c r="M590" s="14">
        <v>0</v>
      </c>
      <c r="N590" s="14">
        <v>0</v>
      </c>
      <c r="O590" s="14">
        <v>31530.959999999999</v>
      </c>
      <c r="P590" s="14">
        <v>187</v>
      </c>
      <c r="Q590" s="14">
        <f t="shared" si="9"/>
        <v>206702.96</v>
      </c>
      <c r="R590" s="14">
        <v>206889.96</v>
      </c>
      <c r="S590" s="14" t="s">
        <v>33</v>
      </c>
      <c r="T590" s="14" t="s">
        <v>63</v>
      </c>
      <c r="U590" s="14" t="s">
        <v>103</v>
      </c>
      <c r="V590" s="14" t="s">
        <v>103</v>
      </c>
      <c r="W590" s="14" t="s">
        <v>57</v>
      </c>
      <c r="X590" s="14">
        <v>2</v>
      </c>
      <c r="Y590" s="14" t="s">
        <v>38</v>
      </c>
      <c r="Z590" s="14">
        <v>5</v>
      </c>
      <c r="AA590" s="14" t="s">
        <v>47</v>
      </c>
    </row>
    <row r="591" spans="1:27" x14ac:dyDescent="0.35">
      <c r="A591" s="14" t="s">
        <v>1115</v>
      </c>
      <c r="B591" s="15">
        <v>45950</v>
      </c>
      <c r="C591" s="14" t="s">
        <v>313</v>
      </c>
      <c r="D591" s="14" t="s">
        <v>80</v>
      </c>
      <c r="E591" s="14" t="s">
        <v>43</v>
      </c>
      <c r="F591" s="14">
        <v>51</v>
      </c>
      <c r="G591" s="14" t="s">
        <v>51</v>
      </c>
      <c r="H591" s="14" t="s">
        <v>52</v>
      </c>
      <c r="I591" s="14" t="s">
        <v>51</v>
      </c>
      <c r="J591" s="14" t="s">
        <v>75</v>
      </c>
      <c r="K591" s="14">
        <v>1</v>
      </c>
      <c r="L591" s="14">
        <v>36558</v>
      </c>
      <c r="M591" s="14">
        <v>10</v>
      </c>
      <c r="N591" s="14">
        <v>3655.8</v>
      </c>
      <c r="O591" s="14">
        <v>5922.4</v>
      </c>
      <c r="P591" s="14">
        <v>204</v>
      </c>
      <c r="Q591" s="14">
        <f t="shared" si="9"/>
        <v>38824.6</v>
      </c>
      <c r="R591" s="14">
        <v>39028.6</v>
      </c>
      <c r="S591" s="14" t="s">
        <v>33</v>
      </c>
      <c r="T591" s="14" t="s">
        <v>34</v>
      </c>
      <c r="U591" s="14" t="s">
        <v>103</v>
      </c>
      <c r="V591" s="14" t="s">
        <v>103</v>
      </c>
      <c r="W591" s="14" t="s">
        <v>57</v>
      </c>
      <c r="X591" s="14">
        <v>10</v>
      </c>
      <c r="Y591" s="14" t="s">
        <v>47</v>
      </c>
      <c r="Z591" s="14">
        <v>2</v>
      </c>
      <c r="AA591" s="14" t="s">
        <v>39</v>
      </c>
    </row>
    <row r="592" spans="1:27" x14ac:dyDescent="0.35">
      <c r="A592" s="14" t="s">
        <v>1116</v>
      </c>
      <c r="B592" s="15">
        <v>46039</v>
      </c>
      <c r="C592" s="14" t="s">
        <v>356</v>
      </c>
      <c r="D592" s="14" t="s">
        <v>66</v>
      </c>
      <c r="E592" s="14" t="s">
        <v>29</v>
      </c>
      <c r="F592" s="14">
        <v>22</v>
      </c>
      <c r="G592" s="14" t="s">
        <v>74</v>
      </c>
      <c r="H592" s="14" t="s">
        <v>31</v>
      </c>
      <c r="I592" s="14" t="s">
        <v>74</v>
      </c>
      <c r="J592" s="14" t="s">
        <v>75</v>
      </c>
      <c r="K592" s="14">
        <v>1</v>
      </c>
      <c r="L592" s="14">
        <v>11976</v>
      </c>
      <c r="M592" s="14">
        <v>10</v>
      </c>
      <c r="N592" s="14">
        <v>1197.5999999999999</v>
      </c>
      <c r="O592" s="14">
        <v>1940.11</v>
      </c>
      <c r="P592" s="14">
        <v>188</v>
      </c>
      <c r="Q592" s="14">
        <f t="shared" si="9"/>
        <v>12718.51</v>
      </c>
      <c r="R592" s="14">
        <v>12906.51</v>
      </c>
      <c r="S592" s="14" t="s">
        <v>83</v>
      </c>
      <c r="T592" s="14" t="s">
        <v>63</v>
      </c>
      <c r="U592" s="14" t="s">
        <v>46</v>
      </c>
      <c r="V592" s="14" t="s">
        <v>36</v>
      </c>
      <c r="W592" s="14" t="s">
        <v>37</v>
      </c>
      <c r="X592" s="14">
        <v>9</v>
      </c>
      <c r="Y592" s="14" t="s">
        <v>47</v>
      </c>
      <c r="Z592" s="14">
        <v>3</v>
      </c>
      <c r="AA592" s="14" t="s">
        <v>91</v>
      </c>
    </row>
    <row r="593" spans="1:27" x14ac:dyDescent="0.35">
      <c r="A593" s="14" t="s">
        <v>1117</v>
      </c>
      <c r="B593" s="15">
        <v>45773</v>
      </c>
      <c r="C593" s="14" t="s">
        <v>1118</v>
      </c>
      <c r="D593" s="14" t="s">
        <v>61</v>
      </c>
      <c r="E593" s="14" t="s">
        <v>43</v>
      </c>
      <c r="F593" s="14">
        <v>33</v>
      </c>
      <c r="G593" s="14" t="s">
        <v>74</v>
      </c>
      <c r="H593" s="14" t="s">
        <v>31</v>
      </c>
      <c r="I593" s="14" t="s">
        <v>74</v>
      </c>
      <c r="J593" s="14" t="s">
        <v>69</v>
      </c>
      <c r="K593" s="14">
        <v>2</v>
      </c>
      <c r="L593" s="14">
        <v>30404</v>
      </c>
      <c r="M593" s="14">
        <v>15</v>
      </c>
      <c r="N593" s="14">
        <v>9121.2000000000007</v>
      </c>
      <c r="O593" s="14">
        <v>9303.6200000000008</v>
      </c>
      <c r="P593" s="14">
        <v>243</v>
      </c>
      <c r="Q593" s="14">
        <f t="shared" si="9"/>
        <v>60990.42</v>
      </c>
      <c r="R593" s="14">
        <v>61233.42</v>
      </c>
      <c r="S593" s="14" t="s">
        <v>54</v>
      </c>
      <c r="T593" s="14" t="s">
        <v>63</v>
      </c>
      <c r="U593" s="14" t="s">
        <v>84</v>
      </c>
      <c r="V593" s="14" t="s">
        <v>85</v>
      </c>
      <c r="W593" s="14" t="s">
        <v>86</v>
      </c>
      <c r="X593" s="14">
        <v>6</v>
      </c>
      <c r="Y593" s="14" t="s">
        <v>47</v>
      </c>
      <c r="Z593" s="14">
        <v>2</v>
      </c>
      <c r="AA593" s="14" t="s">
        <v>47</v>
      </c>
    </row>
    <row r="594" spans="1:27" x14ac:dyDescent="0.35">
      <c r="A594" s="14" t="s">
        <v>1119</v>
      </c>
      <c r="B594" s="15">
        <v>46007</v>
      </c>
      <c r="C594" s="14" t="s">
        <v>1066</v>
      </c>
      <c r="D594" s="14" t="s">
        <v>111</v>
      </c>
      <c r="E594" s="14" t="s">
        <v>43</v>
      </c>
      <c r="F594" s="14">
        <v>35</v>
      </c>
      <c r="G594" s="14" t="s">
        <v>134</v>
      </c>
      <c r="H594" s="14" t="s">
        <v>31</v>
      </c>
      <c r="I594" s="14" t="s">
        <v>134</v>
      </c>
      <c r="J594" s="14" t="s">
        <v>62</v>
      </c>
      <c r="K594" s="14">
        <v>5</v>
      </c>
      <c r="L594" s="14">
        <v>19190</v>
      </c>
      <c r="M594" s="14">
        <v>15</v>
      </c>
      <c r="N594" s="14">
        <v>14392.5</v>
      </c>
      <c r="O594" s="14">
        <v>14680.35</v>
      </c>
      <c r="P594" s="14">
        <v>285</v>
      </c>
      <c r="Q594" s="14">
        <f t="shared" si="9"/>
        <v>96237.85</v>
      </c>
      <c r="R594" s="14">
        <v>96522.85</v>
      </c>
      <c r="S594" s="14" t="s">
        <v>54</v>
      </c>
      <c r="T594" s="14" t="s">
        <v>63</v>
      </c>
      <c r="U594" s="14" t="s">
        <v>84</v>
      </c>
      <c r="V594" s="14" t="s">
        <v>85</v>
      </c>
      <c r="W594" s="14" t="s">
        <v>86</v>
      </c>
      <c r="X594" s="14">
        <v>2</v>
      </c>
      <c r="Y594" s="14" t="s">
        <v>47</v>
      </c>
      <c r="Z594" s="14">
        <v>2</v>
      </c>
      <c r="AA594" s="14" t="s">
        <v>58</v>
      </c>
    </row>
    <row r="595" spans="1:27" x14ac:dyDescent="0.35">
      <c r="A595" s="14" t="s">
        <v>1120</v>
      </c>
      <c r="B595" s="15">
        <v>45909</v>
      </c>
      <c r="C595" s="14" t="s">
        <v>823</v>
      </c>
      <c r="D595" s="14" t="s">
        <v>73</v>
      </c>
      <c r="E595" s="14" t="s">
        <v>43</v>
      </c>
      <c r="F595" s="14">
        <v>44</v>
      </c>
      <c r="G595" s="14" t="s">
        <v>90</v>
      </c>
      <c r="H595" s="14" t="s">
        <v>31</v>
      </c>
      <c r="I595" s="14" t="s">
        <v>90</v>
      </c>
      <c r="J595" s="14" t="s">
        <v>150</v>
      </c>
      <c r="K595" s="14">
        <v>2</v>
      </c>
      <c r="L595" s="14">
        <v>13865</v>
      </c>
      <c r="M595" s="14">
        <v>15</v>
      </c>
      <c r="N595" s="14">
        <v>4159.5</v>
      </c>
      <c r="O595" s="14">
        <v>4242.6899999999996</v>
      </c>
      <c r="P595" s="14">
        <v>362</v>
      </c>
      <c r="Q595" s="14">
        <f t="shared" si="9"/>
        <v>27813.19</v>
      </c>
      <c r="R595" s="14">
        <v>28175.19</v>
      </c>
      <c r="S595" s="14" t="s">
        <v>33</v>
      </c>
      <c r="T595" s="14" t="s">
        <v>63</v>
      </c>
      <c r="U595" s="14" t="s">
        <v>95</v>
      </c>
      <c r="V595" s="14" t="s">
        <v>96</v>
      </c>
      <c r="W595" s="14" t="s">
        <v>57</v>
      </c>
      <c r="X595" s="14">
        <v>4</v>
      </c>
      <c r="Y595" s="14" t="s">
        <v>38</v>
      </c>
      <c r="Z595" s="14">
        <v>1</v>
      </c>
      <c r="AA595" s="14" t="s">
        <v>58</v>
      </c>
    </row>
    <row r="596" spans="1:27" x14ac:dyDescent="0.35">
      <c r="A596" s="14" t="s">
        <v>1121</v>
      </c>
      <c r="B596" s="15">
        <v>46058</v>
      </c>
      <c r="C596" s="14" t="s">
        <v>393</v>
      </c>
      <c r="D596" s="14" t="s">
        <v>80</v>
      </c>
      <c r="E596" s="14" t="s">
        <v>43</v>
      </c>
      <c r="F596" s="14">
        <v>20</v>
      </c>
      <c r="G596" s="14" t="s">
        <v>94</v>
      </c>
      <c r="H596" s="14" t="s">
        <v>31</v>
      </c>
      <c r="I596" s="14" t="s">
        <v>94</v>
      </c>
      <c r="J596" s="14" t="s">
        <v>75</v>
      </c>
      <c r="K596" s="14">
        <v>5</v>
      </c>
      <c r="L596" s="14">
        <v>45732</v>
      </c>
      <c r="M596" s="14">
        <v>20</v>
      </c>
      <c r="N596" s="14">
        <v>45732</v>
      </c>
      <c r="O596" s="14">
        <v>32927.040000000001</v>
      </c>
      <c r="P596" s="14">
        <v>346</v>
      </c>
      <c r="Q596" s="14">
        <f t="shared" si="9"/>
        <v>215855.04</v>
      </c>
      <c r="R596" s="14">
        <v>216201.04</v>
      </c>
      <c r="S596" s="14" t="s">
        <v>54</v>
      </c>
      <c r="T596" s="14" t="s">
        <v>34</v>
      </c>
      <c r="U596" s="14" t="s">
        <v>76</v>
      </c>
      <c r="V596" s="14" t="s">
        <v>77</v>
      </c>
      <c r="W596" s="14" t="s">
        <v>57</v>
      </c>
      <c r="X596" s="14">
        <v>6</v>
      </c>
      <c r="Y596" s="14" t="s">
        <v>38</v>
      </c>
      <c r="Z596" s="14">
        <v>5</v>
      </c>
      <c r="AA596" s="14" t="s">
        <v>58</v>
      </c>
    </row>
    <row r="597" spans="1:27" x14ac:dyDescent="0.35">
      <c r="A597" s="14" t="s">
        <v>1122</v>
      </c>
      <c r="B597" s="15">
        <v>45827</v>
      </c>
      <c r="C597" s="14" t="s">
        <v>1123</v>
      </c>
      <c r="D597" s="14" t="s">
        <v>80</v>
      </c>
      <c r="E597" s="14" t="s">
        <v>29</v>
      </c>
      <c r="F597" s="14">
        <v>37</v>
      </c>
      <c r="G597" s="14" t="s">
        <v>134</v>
      </c>
      <c r="H597" s="14" t="s">
        <v>31</v>
      </c>
      <c r="I597" s="14" t="s">
        <v>134</v>
      </c>
      <c r="J597" s="14" t="s">
        <v>53</v>
      </c>
      <c r="K597" s="14">
        <v>3</v>
      </c>
      <c r="L597" s="14">
        <v>13690</v>
      </c>
      <c r="M597" s="14">
        <v>0</v>
      </c>
      <c r="N597" s="14">
        <v>0</v>
      </c>
      <c r="O597" s="14">
        <v>7392.6</v>
      </c>
      <c r="P597" s="14">
        <v>496</v>
      </c>
      <c r="Q597" s="14">
        <f t="shared" si="9"/>
        <v>48462.6</v>
      </c>
      <c r="R597" s="14">
        <v>48958.6</v>
      </c>
      <c r="S597" s="14" t="s">
        <v>33</v>
      </c>
      <c r="T597" s="14" t="s">
        <v>34</v>
      </c>
      <c r="U597" s="14" t="s">
        <v>55</v>
      </c>
      <c r="V597" s="14" t="s">
        <v>56</v>
      </c>
      <c r="W597" s="14" t="s">
        <v>57</v>
      </c>
      <c r="X597" s="14">
        <v>8</v>
      </c>
      <c r="Y597" s="14" t="s">
        <v>38</v>
      </c>
      <c r="Z597" s="14">
        <v>4</v>
      </c>
      <c r="AA597" s="14" t="s">
        <v>91</v>
      </c>
    </row>
    <row r="598" spans="1:27" x14ac:dyDescent="0.35">
      <c r="A598" s="14" t="s">
        <v>1124</v>
      </c>
      <c r="B598" s="15">
        <v>46063</v>
      </c>
      <c r="C598" s="14" t="s">
        <v>1125</v>
      </c>
      <c r="D598" s="14" t="s">
        <v>108</v>
      </c>
      <c r="E598" s="14" t="s">
        <v>29</v>
      </c>
      <c r="F598" s="14">
        <v>47</v>
      </c>
      <c r="G598" s="14" t="s">
        <v>94</v>
      </c>
      <c r="H598" s="14" t="s">
        <v>31</v>
      </c>
      <c r="I598" s="14" t="s">
        <v>94</v>
      </c>
      <c r="J598" s="14" t="s">
        <v>150</v>
      </c>
      <c r="K598" s="14">
        <v>5</v>
      </c>
      <c r="L598" s="14">
        <v>35073</v>
      </c>
      <c r="M598" s="14">
        <v>5</v>
      </c>
      <c r="N598" s="14">
        <v>8768.25</v>
      </c>
      <c r="O598" s="14">
        <v>29987.41</v>
      </c>
      <c r="P598" s="14">
        <v>32</v>
      </c>
      <c r="Q598" s="14">
        <f t="shared" si="9"/>
        <v>196584.17</v>
      </c>
      <c r="R598" s="14">
        <v>196616.17</v>
      </c>
      <c r="S598" s="14" t="s">
        <v>83</v>
      </c>
      <c r="T598" s="14" t="s">
        <v>34</v>
      </c>
      <c r="U598" s="14" t="s">
        <v>46</v>
      </c>
      <c r="V598" s="14" t="s">
        <v>36</v>
      </c>
      <c r="W598" s="14" t="s">
        <v>37</v>
      </c>
      <c r="X598" s="14">
        <v>1</v>
      </c>
      <c r="Y598" s="14" t="s">
        <v>47</v>
      </c>
      <c r="Z598" s="14">
        <v>5</v>
      </c>
      <c r="AA598" s="14" t="s">
        <v>39</v>
      </c>
    </row>
    <row r="599" spans="1:27" x14ac:dyDescent="0.35">
      <c r="A599" s="14" t="s">
        <v>1126</v>
      </c>
      <c r="B599" s="15">
        <v>45910</v>
      </c>
      <c r="C599" s="14" t="s">
        <v>981</v>
      </c>
      <c r="D599" s="14" t="s">
        <v>50</v>
      </c>
      <c r="E599" s="14" t="s">
        <v>29</v>
      </c>
      <c r="F599" s="14">
        <v>56</v>
      </c>
      <c r="G599" s="14" t="s">
        <v>94</v>
      </c>
      <c r="H599" s="14" t="s">
        <v>31</v>
      </c>
      <c r="I599" s="14" t="s">
        <v>94</v>
      </c>
      <c r="J599" s="14" t="s">
        <v>102</v>
      </c>
      <c r="K599" s="14">
        <v>2</v>
      </c>
      <c r="L599" s="14">
        <v>24176</v>
      </c>
      <c r="M599" s="14">
        <v>20</v>
      </c>
      <c r="N599" s="14">
        <v>9670.4</v>
      </c>
      <c r="O599" s="14">
        <v>6962.69</v>
      </c>
      <c r="P599" s="14">
        <v>241</v>
      </c>
      <c r="Q599" s="14">
        <f t="shared" si="9"/>
        <v>45644.29</v>
      </c>
      <c r="R599" s="14">
        <v>45885.29</v>
      </c>
      <c r="S599" s="14" t="s">
        <v>33</v>
      </c>
      <c r="T599" s="14" t="s">
        <v>34</v>
      </c>
      <c r="U599" s="14" t="s">
        <v>84</v>
      </c>
      <c r="V599" s="14" t="s">
        <v>85</v>
      </c>
      <c r="W599" s="14" t="s">
        <v>86</v>
      </c>
      <c r="X599" s="14">
        <v>10</v>
      </c>
      <c r="Y599" s="14" t="s">
        <v>47</v>
      </c>
      <c r="Z599" s="14">
        <v>3</v>
      </c>
      <c r="AA599" s="14" t="s">
        <v>91</v>
      </c>
    </row>
    <row r="600" spans="1:27" x14ac:dyDescent="0.35">
      <c r="A600" s="14" t="s">
        <v>1127</v>
      </c>
      <c r="B600" s="15">
        <v>45766</v>
      </c>
      <c r="C600" s="14" t="s">
        <v>1128</v>
      </c>
      <c r="D600" s="14" t="s">
        <v>108</v>
      </c>
      <c r="E600" s="14" t="s">
        <v>29</v>
      </c>
      <c r="F600" s="14">
        <v>28</v>
      </c>
      <c r="G600" s="14" t="s">
        <v>134</v>
      </c>
      <c r="H600" s="14" t="s">
        <v>31</v>
      </c>
      <c r="I600" s="14" t="s">
        <v>134</v>
      </c>
      <c r="J600" s="14" t="s">
        <v>202</v>
      </c>
      <c r="K600" s="14">
        <v>4</v>
      </c>
      <c r="L600" s="14">
        <v>3776</v>
      </c>
      <c r="M600" s="14">
        <v>5</v>
      </c>
      <c r="N600" s="14">
        <v>755.2</v>
      </c>
      <c r="O600" s="14">
        <v>2582.7800000000002</v>
      </c>
      <c r="P600" s="14">
        <v>358</v>
      </c>
      <c r="Q600" s="14">
        <f t="shared" si="9"/>
        <v>16931.580000000002</v>
      </c>
      <c r="R600" s="14">
        <v>17289.580000000002</v>
      </c>
      <c r="S600" s="14" t="s">
        <v>54</v>
      </c>
      <c r="T600" s="14" t="s">
        <v>34</v>
      </c>
      <c r="U600" s="14" t="s">
        <v>84</v>
      </c>
      <c r="V600" s="14" t="s">
        <v>85</v>
      </c>
      <c r="W600" s="14" t="s">
        <v>86</v>
      </c>
      <c r="X600" s="14">
        <v>1</v>
      </c>
      <c r="Y600" s="14" t="s">
        <v>47</v>
      </c>
      <c r="Z600" s="14">
        <v>5</v>
      </c>
      <c r="AA600" s="14" t="s">
        <v>91</v>
      </c>
    </row>
    <row r="601" spans="1:27" x14ac:dyDescent="0.35">
      <c r="A601" s="14" t="s">
        <v>1129</v>
      </c>
      <c r="B601" s="15">
        <v>45892</v>
      </c>
      <c r="C601" s="14" t="s">
        <v>1130</v>
      </c>
      <c r="D601" s="14" t="s">
        <v>73</v>
      </c>
      <c r="E601" s="14" t="s">
        <v>43</v>
      </c>
      <c r="F601" s="14">
        <v>48</v>
      </c>
      <c r="G601" s="14" t="s">
        <v>90</v>
      </c>
      <c r="H601" s="14" t="s">
        <v>31</v>
      </c>
      <c r="I601" s="14" t="s">
        <v>90</v>
      </c>
      <c r="J601" s="14" t="s">
        <v>69</v>
      </c>
      <c r="K601" s="14">
        <v>2</v>
      </c>
      <c r="L601" s="14">
        <v>31074</v>
      </c>
      <c r="M601" s="14">
        <v>20</v>
      </c>
      <c r="N601" s="14">
        <v>12429.6</v>
      </c>
      <c r="O601" s="14">
        <v>8949.31</v>
      </c>
      <c r="P601" s="14">
        <v>343</v>
      </c>
      <c r="Q601" s="14">
        <f t="shared" si="9"/>
        <v>58667.71</v>
      </c>
      <c r="R601" s="14">
        <v>59010.71</v>
      </c>
      <c r="S601" s="14" t="s">
        <v>54</v>
      </c>
      <c r="T601" s="14" t="s">
        <v>63</v>
      </c>
      <c r="U601" s="14" t="s">
        <v>35</v>
      </c>
      <c r="V601" s="14" t="s">
        <v>36</v>
      </c>
      <c r="W601" s="14" t="s">
        <v>37</v>
      </c>
      <c r="X601" s="14">
        <v>7</v>
      </c>
      <c r="Y601" s="14" t="s">
        <v>47</v>
      </c>
      <c r="Z601" s="14">
        <v>4</v>
      </c>
      <c r="AA601" s="14" t="s">
        <v>39</v>
      </c>
    </row>
    <row r="602" spans="1:27" x14ac:dyDescent="0.35">
      <c r="A602" s="14" t="s">
        <v>1131</v>
      </c>
      <c r="B602" s="15">
        <v>45790</v>
      </c>
      <c r="C602" s="14" t="s">
        <v>1132</v>
      </c>
      <c r="D602" s="14" t="s">
        <v>108</v>
      </c>
      <c r="E602" s="14" t="s">
        <v>43</v>
      </c>
      <c r="F602" s="14">
        <v>55</v>
      </c>
      <c r="G602" s="14" t="s">
        <v>44</v>
      </c>
      <c r="H602" s="14" t="s">
        <v>31</v>
      </c>
      <c r="I602" s="14" t="s">
        <v>44</v>
      </c>
      <c r="J602" s="14" t="s">
        <v>202</v>
      </c>
      <c r="K602" s="14">
        <v>4</v>
      </c>
      <c r="L602" s="14">
        <v>34430</v>
      </c>
      <c r="M602" s="14">
        <v>20</v>
      </c>
      <c r="N602" s="14">
        <v>27544</v>
      </c>
      <c r="O602" s="14">
        <v>19831.68</v>
      </c>
      <c r="P602" s="14">
        <v>63</v>
      </c>
      <c r="Q602" s="14">
        <f t="shared" si="9"/>
        <v>130007.67999999999</v>
      </c>
      <c r="R602" s="14">
        <v>130070.68</v>
      </c>
      <c r="S602" s="14" t="s">
        <v>54</v>
      </c>
      <c r="T602" s="14" t="s">
        <v>63</v>
      </c>
      <c r="U602" s="14" t="s">
        <v>76</v>
      </c>
      <c r="V602" s="14" t="s">
        <v>77</v>
      </c>
      <c r="W602" s="14" t="s">
        <v>57</v>
      </c>
      <c r="X602" s="14">
        <v>1</v>
      </c>
      <c r="Y602" s="14" t="s">
        <v>47</v>
      </c>
      <c r="Z602" s="14">
        <v>2</v>
      </c>
      <c r="AA602" s="14" t="s">
        <v>58</v>
      </c>
    </row>
    <row r="603" spans="1:27" x14ac:dyDescent="0.35">
      <c r="A603" s="14" t="s">
        <v>1133</v>
      </c>
      <c r="B603" s="15">
        <v>45810</v>
      </c>
      <c r="C603" s="14" t="s">
        <v>347</v>
      </c>
      <c r="D603" s="14" t="s">
        <v>50</v>
      </c>
      <c r="E603" s="14" t="s">
        <v>29</v>
      </c>
      <c r="F603" s="14">
        <v>56</v>
      </c>
      <c r="G603" s="14" t="s">
        <v>139</v>
      </c>
      <c r="H603" s="14" t="s">
        <v>31</v>
      </c>
      <c r="I603" s="14" t="s">
        <v>139</v>
      </c>
      <c r="J603" s="14" t="s">
        <v>75</v>
      </c>
      <c r="K603" s="14">
        <v>2</v>
      </c>
      <c r="L603" s="14">
        <v>39830</v>
      </c>
      <c r="M603" s="14">
        <v>10</v>
      </c>
      <c r="N603" s="14">
        <v>7966</v>
      </c>
      <c r="O603" s="14">
        <v>12904.92</v>
      </c>
      <c r="P603" s="14">
        <v>432</v>
      </c>
      <c r="Q603" s="14">
        <f t="shared" si="9"/>
        <v>84598.92</v>
      </c>
      <c r="R603" s="14">
        <v>85030.92</v>
      </c>
      <c r="S603" s="14" t="s">
        <v>45</v>
      </c>
      <c r="T603" s="14" t="s">
        <v>63</v>
      </c>
      <c r="U603" s="14" t="s">
        <v>55</v>
      </c>
      <c r="V603" s="14" t="s">
        <v>56</v>
      </c>
      <c r="W603" s="14" t="s">
        <v>57</v>
      </c>
      <c r="X603" s="14">
        <v>8</v>
      </c>
      <c r="Y603" s="14" t="s">
        <v>47</v>
      </c>
      <c r="Z603" s="14">
        <v>2</v>
      </c>
      <c r="AA603" s="14" t="s">
        <v>47</v>
      </c>
    </row>
    <row r="604" spans="1:27" x14ac:dyDescent="0.35">
      <c r="A604" s="14" t="s">
        <v>1134</v>
      </c>
      <c r="B604" s="15">
        <v>45887</v>
      </c>
      <c r="C604" s="14" t="s">
        <v>1135</v>
      </c>
      <c r="D604" s="14" t="s">
        <v>61</v>
      </c>
      <c r="E604" s="14" t="s">
        <v>29</v>
      </c>
      <c r="F604" s="14">
        <v>21</v>
      </c>
      <c r="G604" s="14" t="s">
        <v>139</v>
      </c>
      <c r="H604" s="14" t="s">
        <v>31</v>
      </c>
      <c r="I604" s="14" t="s">
        <v>139</v>
      </c>
      <c r="J604" s="14" t="s">
        <v>62</v>
      </c>
      <c r="K604" s="14">
        <v>2</v>
      </c>
      <c r="L604" s="14">
        <v>41119</v>
      </c>
      <c r="M604" s="14">
        <v>5</v>
      </c>
      <c r="N604" s="14">
        <v>4111.8999999999996</v>
      </c>
      <c r="O604" s="14">
        <v>14062.7</v>
      </c>
      <c r="P604" s="14">
        <v>355</v>
      </c>
      <c r="Q604" s="14">
        <f t="shared" si="9"/>
        <v>92188.800000000003</v>
      </c>
      <c r="R604" s="14">
        <v>92543.8</v>
      </c>
      <c r="S604" s="14" t="s">
        <v>33</v>
      </c>
      <c r="T604" s="14" t="s">
        <v>34</v>
      </c>
      <c r="U604" s="14" t="s">
        <v>103</v>
      </c>
      <c r="V604" s="14" t="s">
        <v>103</v>
      </c>
      <c r="W604" s="14" t="s">
        <v>57</v>
      </c>
      <c r="X604" s="14">
        <v>7</v>
      </c>
      <c r="Y604" s="14" t="s">
        <v>47</v>
      </c>
      <c r="Z604" s="14">
        <v>3</v>
      </c>
      <c r="AA604" s="14" t="s">
        <v>39</v>
      </c>
    </row>
    <row r="605" spans="1:27" x14ac:dyDescent="0.35">
      <c r="A605" s="14" t="s">
        <v>1136</v>
      </c>
      <c r="B605" s="15">
        <v>46057</v>
      </c>
      <c r="C605" s="14" t="s">
        <v>743</v>
      </c>
      <c r="D605" s="14" t="s">
        <v>80</v>
      </c>
      <c r="E605" s="14" t="s">
        <v>43</v>
      </c>
      <c r="F605" s="14">
        <v>27</v>
      </c>
      <c r="G605" s="14" t="s">
        <v>90</v>
      </c>
      <c r="H605" s="14" t="s">
        <v>31</v>
      </c>
      <c r="I605" s="14" t="s">
        <v>90</v>
      </c>
      <c r="J605" s="14" t="s">
        <v>112</v>
      </c>
      <c r="K605" s="14">
        <v>2</v>
      </c>
      <c r="L605" s="14">
        <v>35061</v>
      </c>
      <c r="M605" s="14">
        <v>5</v>
      </c>
      <c r="N605" s="14">
        <v>3506.1</v>
      </c>
      <c r="O605" s="14">
        <v>11990.86</v>
      </c>
      <c r="P605" s="14">
        <v>303</v>
      </c>
      <c r="Q605" s="14">
        <f t="shared" si="9"/>
        <v>78606.759999999995</v>
      </c>
      <c r="R605" s="14">
        <v>78909.759999999995</v>
      </c>
      <c r="S605" s="14" t="s">
        <v>54</v>
      </c>
      <c r="T605" s="14" t="s">
        <v>34</v>
      </c>
      <c r="U605" s="14" t="s">
        <v>55</v>
      </c>
      <c r="V605" s="14" t="s">
        <v>56</v>
      </c>
      <c r="W605" s="14" t="s">
        <v>57</v>
      </c>
      <c r="X605" s="14">
        <v>6</v>
      </c>
      <c r="Y605" s="14" t="s">
        <v>38</v>
      </c>
      <c r="Z605" s="14">
        <v>1</v>
      </c>
      <c r="AA605" s="14" t="s">
        <v>91</v>
      </c>
    </row>
    <row r="606" spans="1:27" x14ac:dyDescent="0.35">
      <c r="A606" s="14" t="s">
        <v>1137</v>
      </c>
      <c r="B606" s="15">
        <v>45967</v>
      </c>
      <c r="C606" s="14" t="s">
        <v>1138</v>
      </c>
      <c r="D606" s="14" t="s">
        <v>89</v>
      </c>
      <c r="E606" s="14" t="s">
        <v>43</v>
      </c>
      <c r="F606" s="14">
        <v>25</v>
      </c>
      <c r="G606" s="14" t="s">
        <v>30</v>
      </c>
      <c r="H606" s="14" t="s">
        <v>31</v>
      </c>
      <c r="I606" s="14" t="s">
        <v>30</v>
      </c>
      <c r="J606" s="14" t="s">
        <v>62</v>
      </c>
      <c r="K606" s="14">
        <v>5</v>
      </c>
      <c r="L606" s="14">
        <v>13176</v>
      </c>
      <c r="M606" s="14">
        <v>20</v>
      </c>
      <c r="N606" s="14">
        <v>13176</v>
      </c>
      <c r="O606" s="14">
        <v>9486.7199999999993</v>
      </c>
      <c r="P606" s="14">
        <v>109</v>
      </c>
      <c r="Q606" s="14">
        <f t="shared" si="9"/>
        <v>62190.720000000001</v>
      </c>
      <c r="R606" s="14">
        <v>62299.72</v>
      </c>
      <c r="S606" s="14" t="s">
        <v>45</v>
      </c>
      <c r="T606" s="14" t="s">
        <v>63</v>
      </c>
      <c r="U606" s="14" t="s">
        <v>46</v>
      </c>
      <c r="V606" s="14" t="s">
        <v>36</v>
      </c>
      <c r="W606" s="14" t="s">
        <v>37</v>
      </c>
      <c r="X606" s="14">
        <v>1</v>
      </c>
      <c r="Y606" s="14" t="s">
        <v>47</v>
      </c>
      <c r="Z606" s="14">
        <v>4</v>
      </c>
      <c r="AA606" s="14" t="s">
        <v>58</v>
      </c>
    </row>
    <row r="607" spans="1:27" x14ac:dyDescent="0.35">
      <c r="A607" s="14" t="s">
        <v>1139</v>
      </c>
      <c r="B607" s="15">
        <v>45865</v>
      </c>
      <c r="C607" s="14" t="s">
        <v>1140</v>
      </c>
      <c r="D607" s="14" t="s">
        <v>89</v>
      </c>
      <c r="E607" s="14" t="s">
        <v>43</v>
      </c>
      <c r="F607" s="14">
        <v>42</v>
      </c>
      <c r="G607" s="14" t="s">
        <v>99</v>
      </c>
      <c r="H607" s="14" t="s">
        <v>52</v>
      </c>
      <c r="I607" s="14" t="s">
        <v>99</v>
      </c>
      <c r="J607" s="14" t="s">
        <v>62</v>
      </c>
      <c r="K607" s="14">
        <v>5</v>
      </c>
      <c r="L607" s="14">
        <v>38288</v>
      </c>
      <c r="M607" s="14">
        <v>10</v>
      </c>
      <c r="N607" s="14">
        <v>19144</v>
      </c>
      <c r="O607" s="14">
        <v>31013.279999999999</v>
      </c>
      <c r="P607" s="14">
        <v>33</v>
      </c>
      <c r="Q607" s="14">
        <f t="shared" si="9"/>
        <v>203309.28</v>
      </c>
      <c r="R607" s="14">
        <v>203342.28</v>
      </c>
      <c r="S607" s="14" t="s">
        <v>33</v>
      </c>
      <c r="T607" s="14" t="s">
        <v>63</v>
      </c>
      <c r="U607" s="14" t="s">
        <v>55</v>
      </c>
      <c r="V607" s="14" t="s">
        <v>56</v>
      </c>
      <c r="W607" s="14" t="s">
        <v>57</v>
      </c>
      <c r="X607" s="14">
        <v>2</v>
      </c>
      <c r="Y607" s="14" t="s">
        <v>47</v>
      </c>
      <c r="Z607" s="14">
        <v>2</v>
      </c>
      <c r="AA607" s="14" t="s">
        <v>91</v>
      </c>
    </row>
    <row r="608" spans="1:27" x14ac:dyDescent="0.35">
      <c r="A608" s="14" t="s">
        <v>1141</v>
      </c>
      <c r="B608" s="15">
        <v>45829</v>
      </c>
      <c r="C608" s="14" t="s">
        <v>696</v>
      </c>
      <c r="D608" s="14" t="s">
        <v>80</v>
      </c>
      <c r="E608" s="14" t="s">
        <v>29</v>
      </c>
      <c r="F608" s="14">
        <v>23</v>
      </c>
      <c r="G608" s="14" t="s">
        <v>51</v>
      </c>
      <c r="H608" s="14" t="s">
        <v>52</v>
      </c>
      <c r="I608" s="14" t="s">
        <v>51</v>
      </c>
      <c r="J608" s="14" t="s">
        <v>32</v>
      </c>
      <c r="K608" s="14">
        <v>5</v>
      </c>
      <c r="L608" s="14">
        <v>34595</v>
      </c>
      <c r="M608" s="14">
        <v>0</v>
      </c>
      <c r="N608" s="14">
        <v>0</v>
      </c>
      <c r="O608" s="14">
        <v>31135.5</v>
      </c>
      <c r="P608" s="14">
        <v>278</v>
      </c>
      <c r="Q608" s="14">
        <f t="shared" si="9"/>
        <v>204110.5</v>
      </c>
      <c r="R608" s="14">
        <v>204388.5</v>
      </c>
      <c r="S608" s="14" t="s">
        <v>45</v>
      </c>
      <c r="T608" s="14" t="s">
        <v>34</v>
      </c>
      <c r="U608" s="14" t="s">
        <v>55</v>
      </c>
      <c r="V608" s="14" t="s">
        <v>56</v>
      </c>
      <c r="W608" s="14" t="s">
        <v>57</v>
      </c>
      <c r="X608" s="14">
        <v>7</v>
      </c>
      <c r="Y608" s="14" t="s">
        <v>47</v>
      </c>
      <c r="Z608" s="14">
        <v>4</v>
      </c>
      <c r="AA608" s="14" t="s">
        <v>58</v>
      </c>
    </row>
    <row r="609" spans="1:27" x14ac:dyDescent="0.35">
      <c r="A609" s="14" t="s">
        <v>1142</v>
      </c>
      <c r="B609" s="15">
        <v>45972</v>
      </c>
      <c r="C609" s="14" t="s">
        <v>494</v>
      </c>
      <c r="D609" s="14" t="s">
        <v>66</v>
      </c>
      <c r="E609" s="14" t="s">
        <v>43</v>
      </c>
      <c r="F609" s="14">
        <v>45</v>
      </c>
      <c r="G609" s="14" t="s">
        <v>94</v>
      </c>
      <c r="H609" s="14" t="s">
        <v>31</v>
      </c>
      <c r="I609" s="14" t="s">
        <v>94</v>
      </c>
      <c r="J609" s="14" t="s">
        <v>202</v>
      </c>
      <c r="K609" s="14">
        <v>4</v>
      </c>
      <c r="L609" s="14">
        <v>14803</v>
      </c>
      <c r="M609" s="14">
        <v>5</v>
      </c>
      <c r="N609" s="14">
        <v>2960.6</v>
      </c>
      <c r="O609" s="14">
        <v>10125.25</v>
      </c>
      <c r="P609" s="14">
        <v>444</v>
      </c>
      <c r="Q609" s="14">
        <f t="shared" si="9"/>
        <v>66376.649999999994</v>
      </c>
      <c r="R609" s="14">
        <v>66820.649999999994</v>
      </c>
      <c r="S609" s="14" t="s">
        <v>83</v>
      </c>
      <c r="T609" s="14" t="s">
        <v>34</v>
      </c>
      <c r="U609" s="14" t="s">
        <v>95</v>
      </c>
      <c r="V609" s="14" t="s">
        <v>96</v>
      </c>
      <c r="W609" s="14" t="s">
        <v>57</v>
      </c>
      <c r="X609" s="14">
        <v>1</v>
      </c>
      <c r="Y609" s="14" t="s">
        <v>38</v>
      </c>
      <c r="Z609" s="14">
        <v>4</v>
      </c>
      <c r="AA609" s="14" t="s">
        <v>39</v>
      </c>
    </row>
    <row r="610" spans="1:27" x14ac:dyDescent="0.35">
      <c r="A610" s="14" t="s">
        <v>1143</v>
      </c>
      <c r="B610" s="15">
        <v>46095</v>
      </c>
      <c r="C610" s="14" t="s">
        <v>1018</v>
      </c>
      <c r="D610" s="14" t="s">
        <v>89</v>
      </c>
      <c r="E610" s="14" t="s">
        <v>43</v>
      </c>
      <c r="F610" s="14">
        <v>23</v>
      </c>
      <c r="G610" s="14" t="s">
        <v>99</v>
      </c>
      <c r="H610" s="14" t="s">
        <v>52</v>
      </c>
      <c r="I610" s="14" t="s">
        <v>99</v>
      </c>
      <c r="J610" s="14" t="s">
        <v>202</v>
      </c>
      <c r="K610" s="14">
        <v>4</v>
      </c>
      <c r="L610" s="14">
        <v>46728</v>
      </c>
      <c r="M610" s="14">
        <v>20</v>
      </c>
      <c r="N610" s="14">
        <v>37382.400000000001</v>
      </c>
      <c r="O610" s="14">
        <v>26915.33</v>
      </c>
      <c r="P610" s="14">
        <v>488</v>
      </c>
      <c r="Q610" s="14">
        <f t="shared" si="9"/>
        <v>176444.93</v>
      </c>
      <c r="R610" s="14">
        <v>176932.93</v>
      </c>
      <c r="S610" s="14" t="s">
        <v>33</v>
      </c>
      <c r="T610" s="14" t="s">
        <v>63</v>
      </c>
      <c r="U610" s="14" t="s">
        <v>46</v>
      </c>
      <c r="V610" s="14" t="s">
        <v>36</v>
      </c>
      <c r="W610" s="14" t="s">
        <v>37</v>
      </c>
      <c r="X610" s="14">
        <v>6</v>
      </c>
      <c r="Y610" s="14" t="s">
        <v>38</v>
      </c>
      <c r="Z610" s="14">
        <v>3</v>
      </c>
      <c r="AA610" s="14" t="s">
        <v>91</v>
      </c>
    </row>
    <row r="611" spans="1:27" x14ac:dyDescent="0.35">
      <c r="A611" s="14" t="s">
        <v>1144</v>
      </c>
      <c r="B611" s="15">
        <v>46063</v>
      </c>
      <c r="C611" s="14" t="s">
        <v>1088</v>
      </c>
      <c r="D611" s="14" t="s">
        <v>80</v>
      </c>
      <c r="E611" s="14" t="s">
        <v>43</v>
      </c>
      <c r="F611" s="14">
        <v>56</v>
      </c>
      <c r="G611" s="14" t="s">
        <v>51</v>
      </c>
      <c r="H611" s="14" t="s">
        <v>52</v>
      </c>
      <c r="I611" s="14" t="s">
        <v>51</v>
      </c>
      <c r="J611" s="14" t="s">
        <v>75</v>
      </c>
      <c r="K611" s="14">
        <v>1</v>
      </c>
      <c r="L611" s="14">
        <v>27870</v>
      </c>
      <c r="M611" s="14">
        <v>10</v>
      </c>
      <c r="N611" s="14">
        <v>2787</v>
      </c>
      <c r="O611" s="14">
        <v>4514.9399999999996</v>
      </c>
      <c r="P611" s="14">
        <v>498</v>
      </c>
      <c r="Q611" s="14">
        <f t="shared" si="9"/>
        <v>29597.94</v>
      </c>
      <c r="R611" s="14">
        <v>30095.94</v>
      </c>
      <c r="S611" s="14" t="s">
        <v>33</v>
      </c>
      <c r="T611" s="14" t="s">
        <v>63</v>
      </c>
      <c r="U611" s="14" t="s">
        <v>103</v>
      </c>
      <c r="V611" s="14" t="s">
        <v>103</v>
      </c>
      <c r="W611" s="14" t="s">
        <v>57</v>
      </c>
      <c r="X611" s="14">
        <v>8</v>
      </c>
      <c r="Y611" s="14" t="s">
        <v>47</v>
      </c>
      <c r="Z611" s="14">
        <v>5</v>
      </c>
      <c r="AA611" s="14" t="s">
        <v>47</v>
      </c>
    </row>
    <row r="612" spans="1:27" x14ac:dyDescent="0.35">
      <c r="A612" s="14" t="s">
        <v>1145</v>
      </c>
      <c r="B612" s="15">
        <v>45954</v>
      </c>
      <c r="C612" s="14" t="s">
        <v>1004</v>
      </c>
      <c r="D612" s="14" t="s">
        <v>111</v>
      </c>
      <c r="E612" s="14" t="s">
        <v>43</v>
      </c>
      <c r="F612" s="14">
        <v>45</v>
      </c>
      <c r="G612" s="14" t="s">
        <v>51</v>
      </c>
      <c r="H612" s="14" t="s">
        <v>52</v>
      </c>
      <c r="I612" s="14" t="s">
        <v>51</v>
      </c>
      <c r="J612" s="14" t="s">
        <v>150</v>
      </c>
      <c r="K612" s="14">
        <v>2</v>
      </c>
      <c r="L612" s="14">
        <v>19119</v>
      </c>
      <c r="M612" s="14">
        <v>20</v>
      </c>
      <c r="N612" s="14">
        <v>7647.6</v>
      </c>
      <c r="O612" s="14">
        <v>5506.27</v>
      </c>
      <c r="P612" s="14">
        <v>309</v>
      </c>
      <c r="Q612" s="14">
        <f t="shared" si="9"/>
        <v>36096.67</v>
      </c>
      <c r="R612" s="14">
        <v>36405.67</v>
      </c>
      <c r="S612" s="14" t="s">
        <v>33</v>
      </c>
      <c r="T612" s="14" t="s">
        <v>63</v>
      </c>
      <c r="U612" s="14" t="s">
        <v>76</v>
      </c>
      <c r="V612" s="14" t="s">
        <v>77</v>
      </c>
      <c r="W612" s="14" t="s">
        <v>57</v>
      </c>
      <c r="X612" s="14">
        <v>5</v>
      </c>
      <c r="Y612" s="14" t="s">
        <v>38</v>
      </c>
      <c r="Z612" s="14">
        <v>3</v>
      </c>
      <c r="AA612" s="14" t="s">
        <v>91</v>
      </c>
    </row>
    <row r="613" spans="1:27" x14ac:dyDescent="0.35">
      <c r="A613" s="14" t="s">
        <v>1146</v>
      </c>
      <c r="B613" s="15">
        <v>45931</v>
      </c>
      <c r="C613" s="14" t="s">
        <v>1147</v>
      </c>
      <c r="D613" s="14" t="s">
        <v>28</v>
      </c>
      <c r="E613" s="14" t="s">
        <v>29</v>
      </c>
      <c r="F613" s="14">
        <v>30</v>
      </c>
      <c r="G613" s="14" t="s">
        <v>99</v>
      </c>
      <c r="H613" s="14" t="s">
        <v>52</v>
      </c>
      <c r="I613" s="14" t="s">
        <v>99</v>
      </c>
      <c r="J613" s="14" t="s">
        <v>112</v>
      </c>
      <c r="K613" s="14">
        <v>5</v>
      </c>
      <c r="L613" s="14">
        <v>17738</v>
      </c>
      <c r="M613" s="14">
        <v>20</v>
      </c>
      <c r="N613" s="14">
        <v>17738</v>
      </c>
      <c r="O613" s="14">
        <v>12771.36</v>
      </c>
      <c r="P613" s="14">
        <v>196</v>
      </c>
      <c r="Q613" s="14">
        <f t="shared" si="9"/>
        <v>83723.360000000001</v>
      </c>
      <c r="R613" s="14">
        <v>83919.360000000001</v>
      </c>
      <c r="S613" s="14" t="s">
        <v>83</v>
      </c>
      <c r="T613" s="14" t="s">
        <v>34</v>
      </c>
      <c r="U613" s="14" t="s">
        <v>46</v>
      </c>
      <c r="V613" s="14" t="s">
        <v>36</v>
      </c>
      <c r="W613" s="14" t="s">
        <v>37</v>
      </c>
      <c r="X613" s="14">
        <v>10</v>
      </c>
      <c r="Y613" s="14" t="s">
        <v>38</v>
      </c>
      <c r="Z613" s="14">
        <v>2</v>
      </c>
      <c r="AA613" s="14" t="s">
        <v>58</v>
      </c>
    </row>
    <row r="614" spans="1:27" x14ac:dyDescent="0.35">
      <c r="A614" s="14" t="s">
        <v>1148</v>
      </c>
      <c r="B614" s="15">
        <v>45884</v>
      </c>
      <c r="C614" s="14" t="s">
        <v>1149</v>
      </c>
      <c r="D614" s="14" t="s">
        <v>108</v>
      </c>
      <c r="E614" s="14" t="s">
        <v>29</v>
      </c>
      <c r="F614" s="14">
        <v>60</v>
      </c>
      <c r="G614" s="14" t="s">
        <v>51</v>
      </c>
      <c r="H614" s="14" t="s">
        <v>52</v>
      </c>
      <c r="I614" s="14" t="s">
        <v>51</v>
      </c>
      <c r="J614" s="14" t="s">
        <v>150</v>
      </c>
      <c r="K614" s="14">
        <v>5</v>
      </c>
      <c r="L614" s="14">
        <v>43569</v>
      </c>
      <c r="M614" s="14">
        <v>20</v>
      </c>
      <c r="N614" s="14">
        <v>43569</v>
      </c>
      <c r="O614" s="14">
        <v>31369.68</v>
      </c>
      <c r="P614" s="14">
        <v>221</v>
      </c>
      <c r="Q614" s="14">
        <f t="shared" si="9"/>
        <v>205645.68</v>
      </c>
      <c r="R614" s="14">
        <v>205866.68</v>
      </c>
      <c r="S614" s="14" t="s">
        <v>54</v>
      </c>
      <c r="T614" s="14" t="s">
        <v>63</v>
      </c>
      <c r="U614" s="14" t="s">
        <v>76</v>
      </c>
      <c r="V614" s="14" t="s">
        <v>77</v>
      </c>
      <c r="W614" s="14" t="s">
        <v>57</v>
      </c>
      <c r="X614" s="14">
        <v>10</v>
      </c>
      <c r="Y614" s="14" t="s">
        <v>47</v>
      </c>
      <c r="Z614" s="14">
        <v>2</v>
      </c>
      <c r="AA614" s="14" t="s">
        <v>47</v>
      </c>
    </row>
    <row r="615" spans="1:27" x14ac:dyDescent="0.35">
      <c r="A615" s="14" t="s">
        <v>1150</v>
      </c>
      <c r="B615" s="15">
        <v>45906</v>
      </c>
      <c r="C615" s="14" t="s">
        <v>482</v>
      </c>
      <c r="D615" s="14" t="s">
        <v>108</v>
      </c>
      <c r="E615" s="14" t="s">
        <v>43</v>
      </c>
      <c r="F615" s="14">
        <v>35</v>
      </c>
      <c r="G615" s="14" t="s">
        <v>51</v>
      </c>
      <c r="H615" s="14" t="s">
        <v>52</v>
      </c>
      <c r="I615" s="14" t="s">
        <v>51</v>
      </c>
      <c r="J615" s="14" t="s">
        <v>125</v>
      </c>
      <c r="K615" s="14">
        <v>1</v>
      </c>
      <c r="L615" s="14">
        <v>30905</v>
      </c>
      <c r="M615" s="14">
        <v>15</v>
      </c>
      <c r="N615" s="14">
        <v>4635.75</v>
      </c>
      <c r="O615" s="14">
        <v>4728.47</v>
      </c>
      <c r="P615" s="14">
        <v>324</v>
      </c>
      <c r="Q615" s="14">
        <f t="shared" si="9"/>
        <v>30997.72</v>
      </c>
      <c r="R615" s="14">
        <v>31321.72</v>
      </c>
      <c r="S615" s="14" t="s">
        <v>45</v>
      </c>
      <c r="T615" s="14" t="s">
        <v>63</v>
      </c>
      <c r="U615" s="14" t="s">
        <v>46</v>
      </c>
      <c r="V615" s="14" t="s">
        <v>36</v>
      </c>
      <c r="W615" s="14" t="s">
        <v>37</v>
      </c>
      <c r="X615" s="14">
        <v>10</v>
      </c>
      <c r="Y615" s="14" t="s">
        <v>47</v>
      </c>
      <c r="Z615" s="14">
        <v>1</v>
      </c>
      <c r="AA615" s="14" t="s">
        <v>58</v>
      </c>
    </row>
    <row r="616" spans="1:27" x14ac:dyDescent="0.35">
      <c r="A616" s="14" t="s">
        <v>1151</v>
      </c>
      <c r="B616" s="15">
        <v>45937</v>
      </c>
      <c r="C616" s="14" t="s">
        <v>941</v>
      </c>
      <c r="D616" s="14" t="s">
        <v>111</v>
      </c>
      <c r="E616" s="14" t="s">
        <v>29</v>
      </c>
      <c r="F616" s="14">
        <v>58</v>
      </c>
      <c r="G616" s="14" t="s">
        <v>139</v>
      </c>
      <c r="H616" s="14" t="s">
        <v>31</v>
      </c>
      <c r="I616" s="14" t="s">
        <v>139</v>
      </c>
      <c r="J616" s="14" t="s">
        <v>112</v>
      </c>
      <c r="K616" s="14">
        <v>4</v>
      </c>
      <c r="L616" s="14">
        <v>41766</v>
      </c>
      <c r="M616" s="14">
        <v>0</v>
      </c>
      <c r="N616" s="14">
        <v>0</v>
      </c>
      <c r="O616" s="14">
        <v>30071.52</v>
      </c>
      <c r="P616" s="14">
        <v>436</v>
      </c>
      <c r="Q616" s="14">
        <f t="shared" si="9"/>
        <v>197135.52</v>
      </c>
      <c r="R616" s="14">
        <v>197571.52</v>
      </c>
      <c r="S616" s="14" t="s">
        <v>45</v>
      </c>
      <c r="T616" s="14" t="s">
        <v>63</v>
      </c>
      <c r="U616" s="14" t="s">
        <v>103</v>
      </c>
      <c r="V616" s="14" t="s">
        <v>103</v>
      </c>
      <c r="W616" s="14" t="s">
        <v>57</v>
      </c>
      <c r="X616" s="14">
        <v>2</v>
      </c>
      <c r="Y616" s="14" t="s">
        <v>47</v>
      </c>
      <c r="Z616" s="14">
        <v>2</v>
      </c>
      <c r="AA616" s="14" t="s">
        <v>58</v>
      </c>
    </row>
    <row r="617" spans="1:27" x14ac:dyDescent="0.35">
      <c r="A617" s="14" t="s">
        <v>1152</v>
      </c>
      <c r="B617" s="15">
        <v>45886</v>
      </c>
      <c r="C617" s="14" t="s">
        <v>1153</v>
      </c>
      <c r="D617" s="14" t="s">
        <v>61</v>
      </c>
      <c r="E617" s="14" t="s">
        <v>43</v>
      </c>
      <c r="F617" s="14">
        <v>42</v>
      </c>
      <c r="G617" s="14" t="s">
        <v>74</v>
      </c>
      <c r="H617" s="14" t="s">
        <v>31</v>
      </c>
      <c r="I617" s="14" t="s">
        <v>74</v>
      </c>
      <c r="J617" s="14" t="s">
        <v>125</v>
      </c>
      <c r="K617" s="14">
        <v>2</v>
      </c>
      <c r="L617" s="14">
        <v>21383</v>
      </c>
      <c r="M617" s="14">
        <v>20</v>
      </c>
      <c r="N617" s="14">
        <v>8553.2000000000007</v>
      </c>
      <c r="O617" s="14">
        <v>6158.3</v>
      </c>
      <c r="P617" s="14">
        <v>235</v>
      </c>
      <c r="Q617" s="14">
        <f t="shared" si="9"/>
        <v>40371.1</v>
      </c>
      <c r="R617" s="14">
        <v>40606.1</v>
      </c>
      <c r="S617" s="14" t="s">
        <v>45</v>
      </c>
      <c r="T617" s="14" t="s">
        <v>34</v>
      </c>
      <c r="U617" s="14" t="s">
        <v>95</v>
      </c>
      <c r="V617" s="14" t="s">
        <v>96</v>
      </c>
      <c r="W617" s="14" t="s">
        <v>57</v>
      </c>
      <c r="X617" s="14">
        <v>2</v>
      </c>
      <c r="Y617" s="14" t="s">
        <v>47</v>
      </c>
      <c r="Z617" s="14">
        <v>4</v>
      </c>
      <c r="AA617" s="14" t="s">
        <v>47</v>
      </c>
    </row>
    <row r="618" spans="1:27" x14ac:dyDescent="0.35">
      <c r="A618" s="14" t="s">
        <v>1154</v>
      </c>
      <c r="B618" s="15">
        <v>46083</v>
      </c>
      <c r="C618" s="14" t="s">
        <v>426</v>
      </c>
      <c r="D618" s="14" t="s">
        <v>66</v>
      </c>
      <c r="E618" s="14" t="s">
        <v>29</v>
      </c>
      <c r="F618" s="14">
        <v>42</v>
      </c>
      <c r="G618" s="14" t="s">
        <v>139</v>
      </c>
      <c r="H618" s="14" t="s">
        <v>31</v>
      </c>
      <c r="I618" s="14" t="s">
        <v>139</v>
      </c>
      <c r="J618" s="14" t="s">
        <v>75</v>
      </c>
      <c r="K618" s="14">
        <v>3</v>
      </c>
      <c r="L618" s="14">
        <v>6996</v>
      </c>
      <c r="M618" s="14">
        <v>0</v>
      </c>
      <c r="N618" s="14">
        <v>0</v>
      </c>
      <c r="O618" s="14">
        <v>3777.84</v>
      </c>
      <c r="P618" s="14">
        <v>327</v>
      </c>
      <c r="Q618" s="14">
        <f t="shared" si="9"/>
        <v>24765.84</v>
      </c>
      <c r="R618" s="14">
        <v>25092.84</v>
      </c>
      <c r="S618" s="14" t="s">
        <v>33</v>
      </c>
      <c r="T618" s="14" t="s">
        <v>34</v>
      </c>
      <c r="U618" s="14" t="s">
        <v>55</v>
      </c>
      <c r="V618" s="14" t="s">
        <v>56</v>
      </c>
      <c r="W618" s="14" t="s">
        <v>57</v>
      </c>
      <c r="X618" s="14">
        <v>6</v>
      </c>
      <c r="Y618" s="14" t="s">
        <v>38</v>
      </c>
      <c r="Z618" s="14">
        <v>2</v>
      </c>
      <c r="AA618" s="14" t="s">
        <v>58</v>
      </c>
    </row>
    <row r="619" spans="1:27" x14ac:dyDescent="0.35">
      <c r="A619" s="14" t="s">
        <v>1155</v>
      </c>
      <c r="B619" s="15">
        <v>46042</v>
      </c>
      <c r="C619" s="14" t="s">
        <v>1156</v>
      </c>
      <c r="D619" s="14" t="s">
        <v>73</v>
      </c>
      <c r="E619" s="14" t="s">
        <v>43</v>
      </c>
      <c r="F619" s="14">
        <v>50</v>
      </c>
      <c r="G619" s="14" t="s">
        <v>67</v>
      </c>
      <c r="H619" s="14" t="s">
        <v>68</v>
      </c>
      <c r="I619" s="14" t="s">
        <v>67</v>
      </c>
      <c r="J619" s="14" t="s">
        <v>112</v>
      </c>
      <c r="K619" s="14">
        <v>4</v>
      </c>
      <c r="L619" s="14">
        <v>47815</v>
      </c>
      <c r="M619" s="14">
        <v>10</v>
      </c>
      <c r="N619" s="14">
        <v>19126</v>
      </c>
      <c r="O619" s="14">
        <v>30984.12</v>
      </c>
      <c r="P619" s="14">
        <v>23</v>
      </c>
      <c r="Q619" s="14">
        <f t="shared" si="9"/>
        <v>203118.12</v>
      </c>
      <c r="R619" s="14">
        <v>203141.12</v>
      </c>
      <c r="S619" s="14" t="s">
        <v>83</v>
      </c>
      <c r="T619" s="14" t="s">
        <v>34</v>
      </c>
      <c r="U619" s="14" t="s">
        <v>46</v>
      </c>
      <c r="V619" s="14" t="s">
        <v>36</v>
      </c>
      <c r="W619" s="14" t="s">
        <v>37</v>
      </c>
      <c r="X619" s="14">
        <v>2</v>
      </c>
      <c r="Y619" s="14" t="s">
        <v>47</v>
      </c>
      <c r="Z619" s="14">
        <v>4</v>
      </c>
      <c r="AA619" s="14" t="s">
        <v>39</v>
      </c>
    </row>
    <row r="620" spans="1:27" x14ac:dyDescent="0.35">
      <c r="A620" s="14" t="s">
        <v>1157</v>
      </c>
      <c r="B620" s="15">
        <v>46099</v>
      </c>
      <c r="C620" s="14" t="s">
        <v>284</v>
      </c>
      <c r="D620" s="14" t="s">
        <v>42</v>
      </c>
      <c r="E620" s="14" t="s">
        <v>43</v>
      </c>
      <c r="F620" s="14">
        <v>37</v>
      </c>
      <c r="G620" s="14" t="s">
        <v>139</v>
      </c>
      <c r="H620" s="14" t="s">
        <v>31</v>
      </c>
      <c r="I620" s="14" t="s">
        <v>139</v>
      </c>
      <c r="J620" s="14" t="s">
        <v>32</v>
      </c>
      <c r="K620" s="14">
        <v>4</v>
      </c>
      <c r="L620" s="14">
        <v>16140</v>
      </c>
      <c r="M620" s="14">
        <v>20</v>
      </c>
      <c r="N620" s="14">
        <v>12912</v>
      </c>
      <c r="O620" s="14">
        <v>9296.64</v>
      </c>
      <c r="P620" s="14">
        <v>365</v>
      </c>
      <c r="Q620" s="14">
        <f t="shared" si="9"/>
        <v>60944.639999999999</v>
      </c>
      <c r="R620" s="14">
        <v>61309.64</v>
      </c>
      <c r="S620" s="14" t="s">
        <v>33</v>
      </c>
      <c r="T620" s="14" t="s">
        <v>34</v>
      </c>
      <c r="U620" s="14" t="s">
        <v>35</v>
      </c>
      <c r="V620" s="14" t="s">
        <v>36</v>
      </c>
      <c r="W620" s="14" t="s">
        <v>37</v>
      </c>
      <c r="X620" s="14">
        <v>4</v>
      </c>
      <c r="Y620" s="14" t="s">
        <v>47</v>
      </c>
      <c r="Z620" s="14">
        <v>1</v>
      </c>
      <c r="AA620" s="14" t="s">
        <v>91</v>
      </c>
    </row>
    <row r="621" spans="1:27" x14ac:dyDescent="0.35">
      <c r="A621" s="14" t="s">
        <v>1158</v>
      </c>
      <c r="B621" s="15">
        <v>46021</v>
      </c>
      <c r="C621" s="14" t="s">
        <v>831</v>
      </c>
      <c r="D621" s="14" t="s">
        <v>73</v>
      </c>
      <c r="E621" s="14" t="s">
        <v>43</v>
      </c>
      <c r="F621" s="14">
        <v>43</v>
      </c>
      <c r="G621" s="14" t="s">
        <v>44</v>
      </c>
      <c r="H621" s="14" t="s">
        <v>31</v>
      </c>
      <c r="I621" s="14" t="s">
        <v>44</v>
      </c>
      <c r="J621" s="14" t="s">
        <v>112</v>
      </c>
      <c r="K621" s="14">
        <v>2</v>
      </c>
      <c r="L621" s="14">
        <v>1150</v>
      </c>
      <c r="M621" s="14">
        <v>20</v>
      </c>
      <c r="N621" s="14">
        <v>460</v>
      </c>
      <c r="O621" s="14">
        <v>331.2</v>
      </c>
      <c r="P621" s="14">
        <v>394</v>
      </c>
      <c r="Q621" s="14">
        <f t="shared" si="9"/>
        <v>2171.1999999999998</v>
      </c>
      <c r="R621" s="14">
        <v>2565.1999999999998</v>
      </c>
      <c r="S621" s="14" t="s">
        <v>83</v>
      </c>
      <c r="T621" s="14" t="s">
        <v>63</v>
      </c>
      <c r="U621" s="14" t="s">
        <v>76</v>
      </c>
      <c r="V621" s="14" t="s">
        <v>77</v>
      </c>
      <c r="W621" s="14" t="s">
        <v>57</v>
      </c>
      <c r="X621" s="14">
        <v>9</v>
      </c>
      <c r="Y621" s="14" t="s">
        <v>38</v>
      </c>
      <c r="Z621" s="14">
        <v>2</v>
      </c>
      <c r="AA621" s="14" t="s">
        <v>58</v>
      </c>
    </row>
    <row r="622" spans="1:27" x14ac:dyDescent="0.35">
      <c r="A622" s="14" t="s">
        <v>1159</v>
      </c>
      <c r="B622" s="15">
        <v>45921</v>
      </c>
      <c r="C622" s="14" t="s">
        <v>1160</v>
      </c>
      <c r="D622" s="14" t="s">
        <v>66</v>
      </c>
      <c r="E622" s="14" t="s">
        <v>29</v>
      </c>
      <c r="F622" s="14">
        <v>35</v>
      </c>
      <c r="G622" s="14" t="s">
        <v>90</v>
      </c>
      <c r="H622" s="14" t="s">
        <v>31</v>
      </c>
      <c r="I622" s="14" t="s">
        <v>90</v>
      </c>
      <c r="J622" s="14" t="s">
        <v>202</v>
      </c>
      <c r="K622" s="14">
        <v>5</v>
      </c>
      <c r="L622" s="14">
        <v>4559</v>
      </c>
      <c r="M622" s="14">
        <v>20</v>
      </c>
      <c r="N622" s="14">
        <v>4559</v>
      </c>
      <c r="O622" s="14">
        <v>3282.48</v>
      </c>
      <c r="P622" s="14">
        <v>202</v>
      </c>
      <c r="Q622" s="14">
        <f t="shared" si="9"/>
        <v>21518.48</v>
      </c>
      <c r="R622" s="14">
        <v>21720.48</v>
      </c>
      <c r="S622" s="14" t="s">
        <v>45</v>
      </c>
      <c r="T622" s="14" t="s">
        <v>34</v>
      </c>
      <c r="U622" s="14" t="s">
        <v>55</v>
      </c>
      <c r="V622" s="14" t="s">
        <v>56</v>
      </c>
      <c r="W622" s="14" t="s">
        <v>57</v>
      </c>
      <c r="X622" s="14">
        <v>10</v>
      </c>
      <c r="Y622" s="14" t="s">
        <v>38</v>
      </c>
      <c r="Z622" s="14">
        <v>1</v>
      </c>
      <c r="AA622" s="14" t="s">
        <v>91</v>
      </c>
    </row>
    <row r="623" spans="1:27" x14ac:dyDescent="0.35">
      <c r="A623" s="14" t="s">
        <v>1161</v>
      </c>
      <c r="B623" s="15">
        <v>46084</v>
      </c>
      <c r="C623" s="14" t="s">
        <v>230</v>
      </c>
      <c r="D623" s="14" t="s">
        <v>50</v>
      </c>
      <c r="E623" s="14" t="s">
        <v>43</v>
      </c>
      <c r="F623" s="14">
        <v>51</v>
      </c>
      <c r="G623" s="14" t="s">
        <v>44</v>
      </c>
      <c r="H623" s="14" t="s">
        <v>31</v>
      </c>
      <c r="I623" s="14" t="s">
        <v>44</v>
      </c>
      <c r="J623" s="14" t="s">
        <v>69</v>
      </c>
      <c r="K623" s="14">
        <v>5</v>
      </c>
      <c r="L623" s="14">
        <v>40159</v>
      </c>
      <c r="M623" s="14">
        <v>5</v>
      </c>
      <c r="N623" s="14">
        <v>10039.75</v>
      </c>
      <c r="O623" s="14">
        <v>34335.94</v>
      </c>
      <c r="P623" s="14">
        <v>207</v>
      </c>
      <c r="Q623" s="14">
        <f t="shared" si="9"/>
        <v>225091.20000000001</v>
      </c>
      <c r="R623" s="14">
        <v>225298.2</v>
      </c>
      <c r="S623" s="14" t="s">
        <v>33</v>
      </c>
      <c r="T623" s="14" t="s">
        <v>34</v>
      </c>
      <c r="U623" s="14" t="s">
        <v>55</v>
      </c>
      <c r="V623" s="14" t="s">
        <v>56</v>
      </c>
      <c r="W623" s="14" t="s">
        <v>57</v>
      </c>
      <c r="X623" s="14">
        <v>8</v>
      </c>
      <c r="Y623" s="14" t="s">
        <v>47</v>
      </c>
      <c r="Z623" s="14">
        <v>3</v>
      </c>
      <c r="AA623" s="14" t="s">
        <v>58</v>
      </c>
    </row>
    <row r="624" spans="1:27" x14ac:dyDescent="0.35">
      <c r="A624" s="14" t="s">
        <v>1162</v>
      </c>
      <c r="B624" s="15">
        <v>45935</v>
      </c>
      <c r="C624" s="14" t="s">
        <v>1163</v>
      </c>
      <c r="D624" s="14" t="s">
        <v>28</v>
      </c>
      <c r="E624" s="14" t="s">
        <v>43</v>
      </c>
      <c r="F624" s="14">
        <v>25</v>
      </c>
      <c r="G624" s="14" t="s">
        <v>67</v>
      </c>
      <c r="H624" s="14" t="s">
        <v>68</v>
      </c>
      <c r="I624" s="14" t="s">
        <v>67</v>
      </c>
      <c r="J624" s="14" t="s">
        <v>125</v>
      </c>
      <c r="K624" s="14">
        <v>2</v>
      </c>
      <c r="L624" s="14">
        <v>10985</v>
      </c>
      <c r="M624" s="14">
        <v>5</v>
      </c>
      <c r="N624" s="14">
        <v>1098.5</v>
      </c>
      <c r="O624" s="14">
        <v>3756.87</v>
      </c>
      <c r="P624" s="14">
        <v>120</v>
      </c>
      <c r="Q624" s="14">
        <f t="shared" si="9"/>
        <v>24628.37</v>
      </c>
      <c r="R624" s="14">
        <v>24748.37</v>
      </c>
      <c r="S624" s="14" t="s">
        <v>83</v>
      </c>
      <c r="T624" s="14" t="s">
        <v>63</v>
      </c>
      <c r="U624" s="14" t="s">
        <v>46</v>
      </c>
      <c r="V624" s="14" t="s">
        <v>36</v>
      </c>
      <c r="W624" s="14" t="s">
        <v>37</v>
      </c>
      <c r="X624" s="14">
        <v>8</v>
      </c>
      <c r="Y624" s="14" t="s">
        <v>38</v>
      </c>
      <c r="Z624" s="14">
        <v>4</v>
      </c>
      <c r="AA624" s="14" t="s">
        <v>91</v>
      </c>
    </row>
    <row r="625" spans="1:27" x14ac:dyDescent="0.35">
      <c r="A625" s="14" t="s">
        <v>1164</v>
      </c>
      <c r="B625" s="15">
        <v>45967</v>
      </c>
      <c r="C625" s="14" t="s">
        <v>1165</v>
      </c>
      <c r="D625" s="14" t="s">
        <v>73</v>
      </c>
      <c r="E625" s="14" t="s">
        <v>29</v>
      </c>
      <c r="F625" s="14">
        <v>29</v>
      </c>
      <c r="G625" s="14" t="s">
        <v>90</v>
      </c>
      <c r="H625" s="14" t="s">
        <v>31</v>
      </c>
      <c r="I625" s="14" t="s">
        <v>90</v>
      </c>
      <c r="J625" s="14" t="s">
        <v>202</v>
      </c>
      <c r="K625" s="14">
        <v>1</v>
      </c>
      <c r="L625" s="14">
        <v>36714</v>
      </c>
      <c r="M625" s="14">
        <v>0</v>
      </c>
      <c r="N625" s="14">
        <v>0</v>
      </c>
      <c r="O625" s="14">
        <v>6608.52</v>
      </c>
      <c r="P625" s="14">
        <v>425</v>
      </c>
      <c r="Q625" s="14">
        <f t="shared" si="9"/>
        <v>43322.52</v>
      </c>
      <c r="R625" s="14">
        <v>43747.519999999997</v>
      </c>
      <c r="S625" s="14" t="s">
        <v>54</v>
      </c>
      <c r="T625" s="14" t="s">
        <v>63</v>
      </c>
      <c r="U625" s="14" t="s">
        <v>55</v>
      </c>
      <c r="V625" s="14" t="s">
        <v>56</v>
      </c>
      <c r="W625" s="14" t="s">
        <v>57</v>
      </c>
      <c r="X625" s="14">
        <v>2</v>
      </c>
      <c r="Y625" s="14" t="s">
        <v>38</v>
      </c>
      <c r="Z625" s="14">
        <v>2</v>
      </c>
      <c r="AA625" s="14" t="s">
        <v>58</v>
      </c>
    </row>
    <row r="626" spans="1:27" x14ac:dyDescent="0.35">
      <c r="A626" s="14" t="s">
        <v>1166</v>
      </c>
      <c r="B626" s="15">
        <v>45767</v>
      </c>
      <c r="C626" s="14" t="s">
        <v>868</v>
      </c>
      <c r="D626" s="14" t="s">
        <v>42</v>
      </c>
      <c r="E626" s="14" t="s">
        <v>29</v>
      </c>
      <c r="F626" s="14">
        <v>37</v>
      </c>
      <c r="G626" s="14" t="s">
        <v>94</v>
      </c>
      <c r="H626" s="14" t="s">
        <v>31</v>
      </c>
      <c r="I626" s="14" t="s">
        <v>94</v>
      </c>
      <c r="J626" s="14" t="s">
        <v>112</v>
      </c>
      <c r="K626" s="14">
        <v>1</v>
      </c>
      <c r="L626" s="14">
        <v>19124</v>
      </c>
      <c r="M626" s="14">
        <v>10</v>
      </c>
      <c r="N626" s="14">
        <v>1912.4</v>
      </c>
      <c r="O626" s="14">
        <v>3098.09</v>
      </c>
      <c r="P626" s="14">
        <v>257</v>
      </c>
      <c r="Q626" s="14">
        <f t="shared" si="9"/>
        <v>20309.689999999999</v>
      </c>
      <c r="R626" s="14">
        <v>20566.689999999999</v>
      </c>
      <c r="S626" s="14" t="s">
        <v>83</v>
      </c>
      <c r="T626" s="14" t="s">
        <v>63</v>
      </c>
      <c r="U626" s="14" t="s">
        <v>55</v>
      </c>
      <c r="V626" s="14" t="s">
        <v>56</v>
      </c>
      <c r="W626" s="14" t="s">
        <v>57</v>
      </c>
      <c r="X626" s="14">
        <v>6</v>
      </c>
      <c r="Y626" s="14" t="s">
        <v>47</v>
      </c>
      <c r="Z626" s="14">
        <v>4</v>
      </c>
      <c r="AA626" s="14" t="s">
        <v>58</v>
      </c>
    </row>
    <row r="627" spans="1:27" x14ac:dyDescent="0.35">
      <c r="A627" s="14" t="s">
        <v>1167</v>
      </c>
      <c r="B627" s="15">
        <v>45831</v>
      </c>
      <c r="C627" s="14" t="s">
        <v>1168</v>
      </c>
      <c r="D627" s="14" t="s">
        <v>42</v>
      </c>
      <c r="E627" s="14" t="s">
        <v>29</v>
      </c>
      <c r="F627" s="14">
        <v>54</v>
      </c>
      <c r="G627" s="14" t="s">
        <v>139</v>
      </c>
      <c r="H627" s="14" t="s">
        <v>31</v>
      </c>
      <c r="I627" s="14" t="s">
        <v>139</v>
      </c>
      <c r="J627" s="14" t="s">
        <v>112</v>
      </c>
      <c r="K627" s="14">
        <v>1</v>
      </c>
      <c r="L627" s="14">
        <v>23713</v>
      </c>
      <c r="M627" s="14">
        <v>20</v>
      </c>
      <c r="N627" s="14">
        <v>4742.6000000000004</v>
      </c>
      <c r="O627" s="14">
        <v>3414.67</v>
      </c>
      <c r="P627" s="14">
        <v>411</v>
      </c>
      <c r="Q627" s="14">
        <f t="shared" si="9"/>
        <v>22385.07</v>
      </c>
      <c r="R627" s="14">
        <v>22796.07</v>
      </c>
      <c r="S627" s="14" t="s">
        <v>33</v>
      </c>
      <c r="T627" s="14" t="s">
        <v>63</v>
      </c>
      <c r="U627" s="14" t="s">
        <v>70</v>
      </c>
      <c r="V627" s="14" t="s">
        <v>56</v>
      </c>
      <c r="W627" s="14" t="s">
        <v>57</v>
      </c>
      <c r="X627" s="14">
        <v>10</v>
      </c>
      <c r="Y627" s="14" t="s">
        <v>47</v>
      </c>
      <c r="Z627" s="14">
        <v>5</v>
      </c>
      <c r="AA627" s="14" t="s">
        <v>39</v>
      </c>
    </row>
    <row r="628" spans="1:27" x14ac:dyDescent="0.35">
      <c r="A628" s="14" t="s">
        <v>1169</v>
      </c>
      <c r="B628" s="15">
        <v>45922</v>
      </c>
      <c r="C628" s="14" t="s">
        <v>1170</v>
      </c>
      <c r="D628" s="14" t="s">
        <v>28</v>
      </c>
      <c r="E628" s="14" t="s">
        <v>43</v>
      </c>
      <c r="F628" s="14">
        <v>58</v>
      </c>
      <c r="G628" s="14" t="s">
        <v>44</v>
      </c>
      <c r="H628" s="14" t="s">
        <v>31</v>
      </c>
      <c r="I628" s="14" t="s">
        <v>44</v>
      </c>
      <c r="J628" s="14" t="s">
        <v>62</v>
      </c>
      <c r="K628" s="14">
        <v>3</v>
      </c>
      <c r="L628" s="14">
        <v>34710</v>
      </c>
      <c r="M628" s="14">
        <v>20</v>
      </c>
      <c r="N628" s="14">
        <v>20826</v>
      </c>
      <c r="O628" s="14">
        <v>14994.72</v>
      </c>
      <c r="P628" s="14">
        <v>173</v>
      </c>
      <c r="Q628" s="14">
        <f t="shared" si="9"/>
        <v>98298.72</v>
      </c>
      <c r="R628" s="14">
        <v>98471.72</v>
      </c>
      <c r="S628" s="14" t="s">
        <v>45</v>
      </c>
      <c r="T628" s="14" t="s">
        <v>63</v>
      </c>
      <c r="U628" s="14" t="s">
        <v>70</v>
      </c>
      <c r="V628" s="14" t="s">
        <v>56</v>
      </c>
      <c r="W628" s="14" t="s">
        <v>57</v>
      </c>
      <c r="X628" s="14">
        <v>1</v>
      </c>
      <c r="Y628" s="14" t="s">
        <v>47</v>
      </c>
      <c r="Z628" s="14">
        <v>4</v>
      </c>
      <c r="AA628" s="14" t="s">
        <v>91</v>
      </c>
    </row>
    <row r="629" spans="1:27" x14ac:dyDescent="0.35">
      <c r="A629" s="14" t="s">
        <v>1171</v>
      </c>
      <c r="B629" s="15">
        <v>45860</v>
      </c>
      <c r="C629" s="14" t="s">
        <v>1172</v>
      </c>
      <c r="D629" s="14" t="s">
        <v>111</v>
      </c>
      <c r="E629" s="14" t="s">
        <v>43</v>
      </c>
      <c r="F629" s="14">
        <v>51</v>
      </c>
      <c r="G629" s="14" t="s">
        <v>74</v>
      </c>
      <c r="H629" s="14" t="s">
        <v>31</v>
      </c>
      <c r="I629" s="14" t="s">
        <v>74</v>
      </c>
      <c r="J629" s="14" t="s">
        <v>202</v>
      </c>
      <c r="K629" s="14">
        <v>3</v>
      </c>
      <c r="L629" s="14">
        <v>7140</v>
      </c>
      <c r="M629" s="14">
        <v>0</v>
      </c>
      <c r="N629" s="14">
        <v>0</v>
      </c>
      <c r="O629" s="14">
        <v>3855.6</v>
      </c>
      <c r="P629" s="14">
        <v>484</v>
      </c>
      <c r="Q629" s="14">
        <f t="shared" si="9"/>
        <v>25275.599999999999</v>
      </c>
      <c r="R629" s="14">
        <v>25759.599999999999</v>
      </c>
      <c r="S629" s="14" t="s">
        <v>45</v>
      </c>
      <c r="T629" s="14" t="s">
        <v>63</v>
      </c>
      <c r="U629" s="14" t="s">
        <v>55</v>
      </c>
      <c r="V629" s="14" t="s">
        <v>56</v>
      </c>
      <c r="W629" s="14" t="s">
        <v>57</v>
      </c>
      <c r="X629" s="14">
        <v>3</v>
      </c>
      <c r="Y629" s="14" t="s">
        <v>47</v>
      </c>
      <c r="Z629" s="14">
        <v>3</v>
      </c>
      <c r="AA629" s="14" t="s">
        <v>91</v>
      </c>
    </row>
    <row r="630" spans="1:27" x14ac:dyDescent="0.35">
      <c r="A630" s="14" t="s">
        <v>1173</v>
      </c>
      <c r="B630" s="15">
        <v>45843</v>
      </c>
      <c r="C630" s="14" t="s">
        <v>1174</v>
      </c>
      <c r="D630" s="14" t="s">
        <v>66</v>
      </c>
      <c r="E630" s="14" t="s">
        <v>43</v>
      </c>
      <c r="F630" s="14">
        <v>56</v>
      </c>
      <c r="G630" s="14" t="s">
        <v>74</v>
      </c>
      <c r="H630" s="14" t="s">
        <v>31</v>
      </c>
      <c r="I630" s="14" t="s">
        <v>74</v>
      </c>
      <c r="J630" s="14" t="s">
        <v>102</v>
      </c>
      <c r="K630" s="14">
        <v>2</v>
      </c>
      <c r="L630" s="14">
        <v>28239</v>
      </c>
      <c r="M630" s="14">
        <v>20</v>
      </c>
      <c r="N630" s="14">
        <v>11295.6</v>
      </c>
      <c r="O630" s="14">
        <v>8132.83</v>
      </c>
      <c r="P630" s="14">
        <v>103</v>
      </c>
      <c r="Q630" s="14">
        <f t="shared" si="9"/>
        <v>53315.23</v>
      </c>
      <c r="R630" s="14">
        <v>53418.23</v>
      </c>
      <c r="S630" s="14" t="s">
        <v>54</v>
      </c>
      <c r="T630" s="14" t="s">
        <v>34</v>
      </c>
      <c r="U630" s="14" t="s">
        <v>95</v>
      </c>
      <c r="V630" s="14" t="s">
        <v>96</v>
      </c>
      <c r="W630" s="14" t="s">
        <v>57</v>
      </c>
      <c r="X630" s="14">
        <v>3</v>
      </c>
      <c r="Y630" s="14" t="s">
        <v>47</v>
      </c>
      <c r="Z630" s="14">
        <v>5</v>
      </c>
      <c r="AA630" s="14" t="s">
        <v>47</v>
      </c>
    </row>
    <row r="631" spans="1:27" x14ac:dyDescent="0.35">
      <c r="A631" s="14" t="s">
        <v>1175</v>
      </c>
      <c r="B631" s="15">
        <v>45907</v>
      </c>
      <c r="C631" s="14" t="s">
        <v>1176</v>
      </c>
      <c r="D631" s="14" t="s">
        <v>89</v>
      </c>
      <c r="E631" s="14" t="s">
        <v>29</v>
      </c>
      <c r="F631" s="14">
        <v>49</v>
      </c>
      <c r="G631" s="14" t="s">
        <v>134</v>
      </c>
      <c r="H631" s="14" t="s">
        <v>31</v>
      </c>
      <c r="I631" s="14" t="s">
        <v>134</v>
      </c>
      <c r="J631" s="14" t="s">
        <v>69</v>
      </c>
      <c r="K631" s="14">
        <v>4</v>
      </c>
      <c r="L631" s="14">
        <v>48282</v>
      </c>
      <c r="M631" s="14">
        <v>15</v>
      </c>
      <c r="N631" s="14">
        <v>28969.200000000001</v>
      </c>
      <c r="O631" s="14">
        <v>29548.58</v>
      </c>
      <c r="P631" s="14">
        <v>35</v>
      </c>
      <c r="Q631" s="14">
        <f t="shared" si="9"/>
        <v>193707.38</v>
      </c>
      <c r="R631" s="14">
        <v>193742.38</v>
      </c>
      <c r="S631" s="14" t="s">
        <v>33</v>
      </c>
      <c r="T631" s="14" t="s">
        <v>63</v>
      </c>
      <c r="U631" s="14" t="s">
        <v>95</v>
      </c>
      <c r="V631" s="14" t="s">
        <v>96</v>
      </c>
      <c r="W631" s="14" t="s">
        <v>57</v>
      </c>
      <c r="X631" s="14">
        <v>7</v>
      </c>
      <c r="Y631" s="14" t="s">
        <v>47</v>
      </c>
      <c r="Z631" s="14">
        <v>5</v>
      </c>
      <c r="AA631" s="14" t="s">
        <v>91</v>
      </c>
    </row>
    <row r="632" spans="1:27" x14ac:dyDescent="0.35">
      <c r="A632" s="14" t="s">
        <v>1177</v>
      </c>
      <c r="B632" s="15">
        <v>45879</v>
      </c>
      <c r="C632" s="14" t="s">
        <v>772</v>
      </c>
      <c r="D632" s="14" t="s">
        <v>73</v>
      </c>
      <c r="E632" s="14" t="s">
        <v>29</v>
      </c>
      <c r="F632" s="14">
        <v>26</v>
      </c>
      <c r="G632" s="14" t="s">
        <v>74</v>
      </c>
      <c r="H632" s="14" t="s">
        <v>31</v>
      </c>
      <c r="I632" s="14" t="s">
        <v>74</v>
      </c>
      <c r="J632" s="14" t="s">
        <v>150</v>
      </c>
      <c r="K632" s="14">
        <v>4</v>
      </c>
      <c r="L632" s="14">
        <v>32877</v>
      </c>
      <c r="M632" s="14">
        <v>10</v>
      </c>
      <c r="N632" s="14">
        <v>13150.8</v>
      </c>
      <c r="O632" s="14">
        <v>21304.3</v>
      </c>
      <c r="P632" s="14">
        <v>68</v>
      </c>
      <c r="Q632" s="14">
        <f t="shared" si="9"/>
        <v>139661.5</v>
      </c>
      <c r="R632" s="14">
        <v>139729.5</v>
      </c>
      <c r="S632" s="14" t="s">
        <v>33</v>
      </c>
      <c r="T632" s="14" t="s">
        <v>63</v>
      </c>
      <c r="U632" s="14" t="s">
        <v>35</v>
      </c>
      <c r="V632" s="14" t="s">
        <v>36</v>
      </c>
      <c r="W632" s="14" t="s">
        <v>37</v>
      </c>
      <c r="X632" s="14">
        <v>1</v>
      </c>
      <c r="Y632" s="14" t="s">
        <v>47</v>
      </c>
      <c r="Z632" s="14">
        <v>3</v>
      </c>
      <c r="AA632" s="14" t="s">
        <v>39</v>
      </c>
    </row>
    <row r="633" spans="1:27" x14ac:dyDescent="0.35">
      <c r="A633" s="14" t="s">
        <v>1178</v>
      </c>
      <c r="B633" s="15">
        <v>46007</v>
      </c>
      <c r="C633" s="14" t="s">
        <v>1179</v>
      </c>
      <c r="D633" s="14" t="s">
        <v>28</v>
      </c>
      <c r="E633" s="14" t="s">
        <v>29</v>
      </c>
      <c r="F633" s="14">
        <v>23</v>
      </c>
      <c r="G633" s="14" t="s">
        <v>51</v>
      </c>
      <c r="H633" s="14" t="s">
        <v>52</v>
      </c>
      <c r="I633" s="14" t="s">
        <v>51</v>
      </c>
      <c r="J633" s="14" t="s">
        <v>202</v>
      </c>
      <c r="K633" s="14">
        <v>5</v>
      </c>
      <c r="L633" s="14">
        <v>6859</v>
      </c>
      <c r="M633" s="14">
        <v>20</v>
      </c>
      <c r="N633" s="14">
        <v>6859</v>
      </c>
      <c r="O633" s="14">
        <v>4938.4799999999996</v>
      </c>
      <c r="P633" s="14">
        <v>489</v>
      </c>
      <c r="Q633" s="14">
        <f t="shared" si="9"/>
        <v>32374.480000000003</v>
      </c>
      <c r="R633" s="14">
        <v>32863.480000000003</v>
      </c>
      <c r="S633" s="14" t="s">
        <v>83</v>
      </c>
      <c r="T633" s="14" t="s">
        <v>34</v>
      </c>
      <c r="U633" s="14" t="s">
        <v>35</v>
      </c>
      <c r="V633" s="14" t="s">
        <v>36</v>
      </c>
      <c r="W633" s="14" t="s">
        <v>37</v>
      </c>
      <c r="X633" s="14">
        <v>8</v>
      </c>
      <c r="Y633" s="14" t="s">
        <v>38</v>
      </c>
      <c r="Z633" s="14">
        <v>1</v>
      </c>
      <c r="AA633" s="14" t="s">
        <v>39</v>
      </c>
    </row>
    <row r="634" spans="1:27" x14ac:dyDescent="0.35">
      <c r="A634" s="14" t="s">
        <v>1180</v>
      </c>
      <c r="B634" s="15">
        <v>45996</v>
      </c>
      <c r="C634" s="14" t="s">
        <v>1181</v>
      </c>
      <c r="D634" s="14" t="s">
        <v>89</v>
      </c>
      <c r="E634" s="14" t="s">
        <v>29</v>
      </c>
      <c r="F634" s="14">
        <v>56</v>
      </c>
      <c r="G634" s="14" t="s">
        <v>74</v>
      </c>
      <c r="H634" s="14" t="s">
        <v>31</v>
      </c>
      <c r="I634" s="14" t="s">
        <v>74</v>
      </c>
      <c r="J634" s="14" t="s">
        <v>53</v>
      </c>
      <c r="K634" s="14">
        <v>5</v>
      </c>
      <c r="L634" s="14">
        <v>6880</v>
      </c>
      <c r="M634" s="14">
        <v>5</v>
      </c>
      <c r="N634" s="14">
        <v>1720</v>
      </c>
      <c r="O634" s="14">
        <v>5882.4</v>
      </c>
      <c r="P634" s="14">
        <v>355</v>
      </c>
      <c r="Q634" s="14">
        <f t="shared" si="9"/>
        <v>38562.400000000001</v>
      </c>
      <c r="R634" s="14">
        <v>38917.4</v>
      </c>
      <c r="S634" s="14" t="s">
        <v>45</v>
      </c>
      <c r="T634" s="14" t="s">
        <v>63</v>
      </c>
      <c r="U634" s="14" t="s">
        <v>55</v>
      </c>
      <c r="V634" s="14" t="s">
        <v>56</v>
      </c>
      <c r="W634" s="14" t="s">
        <v>57</v>
      </c>
      <c r="X634" s="14">
        <v>8</v>
      </c>
      <c r="Y634" s="14" t="s">
        <v>47</v>
      </c>
      <c r="Z634" s="14">
        <v>4</v>
      </c>
      <c r="AA634" s="14" t="s">
        <v>39</v>
      </c>
    </row>
    <row r="635" spans="1:27" x14ac:dyDescent="0.35">
      <c r="A635" s="14" t="s">
        <v>1182</v>
      </c>
      <c r="B635" s="15">
        <v>45814</v>
      </c>
      <c r="C635" s="14" t="s">
        <v>1181</v>
      </c>
      <c r="D635" s="14" t="s">
        <v>111</v>
      </c>
      <c r="E635" s="14" t="s">
        <v>43</v>
      </c>
      <c r="F635" s="14">
        <v>29</v>
      </c>
      <c r="G635" s="14" t="s">
        <v>139</v>
      </c>
      <c r="H635" s="14" t="s">
        <v>31</v>
      </c>
      <c r="I635" s="14" t="s">
        <v>139</v>
      </c>
      <c r="J635" s="14" t="s">
        <v>32</v>
      </c>
      <c r="K635" s="14">
        <v>3</v>
      </c>
      <c r="L635" s="14">
        <v>44405</v>
      </c>
      <c r="M635" s="14">
        <v>20</v>
      </c>
      <c r="N635" s="14">
        <v>26643</v>
      </c>
      <c r="O635" s="14">
        <v>19182.96</v>
      </c>
      <c r="P635" s="14">
        <v>188</v>
      </c>
      <c r="Q635" s="14">
        <f t="shared" si="9"/>
        <v>125754.96</v>
      </c>
      <c r="R635" s="14">
        <v>125942.96</v>
      </c>
      <c r="S635" s="14" t="s">
        <v>45</v>
      </c>
      <c r="T635" s="14" t="s">
        <v>34</v>
      </c>
      <c r="U635" s="14" t="s">
        <v>84</v>
      </c>
      <c r="V635" s="14" t="s">
        <v>85</v>
      </c>
      <c r="W635" s="14" t="s">
        <v>86</v>
      </c>
      <c r="X635" s="14">
        <v>4</v>
      </c>
      <c r="Y635" s="14" t="s">
        <v>47</v>
      </c>
      <c r="Z635" s="14">
        <v>3</v>
      </c>
      <c r="AA635" s="14" t="s">
        <v>39</v>
      </c>
    </row>
    <row r="636" spans="1:27" x14ac:dyDescent="0.35">
      <c r="A636" s="14" t="s">
        <v>1183</v>
      </c>
      <c r="B636" s="15">
        <v>45912</v>
      </c>
      <c r="C636" s="14" t="s">
        <v>1184</v>
      </c>
      <c r="D636" s="14" t="s">
        <v>61</v>
      </c>
      <c r="E636" s="14" t="s">
        <v>43</v>
      </c>
      <c r="F636" s="14">
        <v>25</v>
      </c>
      <c r="G636" s="14" t="s">
        <v>99</v>
      </c>
      <c r="H636" s="14" t="s">
        <v>52</v>
      </c>
      <c r="I636" s="14" t="s">
        <v>99</v>
      </c>
      <c r="J636" s="14" t="s">
        <v>62</v>
      </c>
      <c r="K636" s="14">
        <v>5</v>
      </c>
      <c r="L636" s="14">
        <v>36886</v>
      </c>
      <c r="M636" s="14">
        <v>20</v>
      </c>
      <c r="N636" s="14">
        <v>36886</v>
      </c>
      <c r="O636" s="14">
        <v>26557.919999999998</v>
      </c>
      <c r="P636" s="14">
        <v>302</v>
      </c>
      <c r="Q636" s="14">
        <f t="shared" si="9"/>
        <v>174101.92</v>
      </c>
      <c r="R636" s="14">
        <v>174403.92</v>
      </c>
      <c r="S636" s="14" t="s">
        <v>83</v>
      </c>
      <c r="T636" s="14" t="s">
        <v>63</v>
      </c>
      <c r="U636" s="14" t="s">
        <v>84</v>
      </c>
      <c r="V636" s="14" t="s">
        <v>85</v>
      </c>
      <c r="W636" s="14" t="s">
        <v>86</v>
      </c>
      <c r="X636" s="14">
        <v>2</v>
      </c>
      <c r="Y636" s="14" t="s">
        <v>47</v>
      </c>
      <c r="Z636" s="14">
        <v>3</v>
      </c>
      <c r="AA636" s="14" t="s">
        <v>91</v>
      </c>
    </row>
    <row r="637" spans="1:27" x14ac:dyDescent="0.35">
      <c r="A637" s="14" t="s">
        <v>1185</v>
      </c>
      <c r="B637" s="15">
        <v>46081</v>
      </c>
      <c r="C637" s="14" t="s">
        <v>1186</v>
      </c>
      <c r="D637" s="14" t="s">
        <v>80</v>
      </c>
      <c r="E637" s="14" t="s">
        <v>29</v>
      </c>
      <c r="F637" s="14">
        <v>31</v>
      </c>
      <c r="G637" s="14" t="s">
        <v>134</v>
      </c>
      <c r="H637" s="14" t="s">
        <v>31</v>
      </c>
      <c r="I637" s="14" t="s">
        <v>134</v>
      </c>
      <c r="J637" s="14" t="s">
        <v>150</v>
      </c>
      <c r="K637" s="14">
        <v>4</v>
      </c>
      <c r="L637" s="14">
        <v>42144</v>
      </c>
      <c r="M637" s="14">
        <v>0</v>
      </c>
      <c r="N637" s="14">
        <v>0</v>
      </c>
      <c r="O637" s="14">
        <v>30343.68</v>
      </c>
      <c r="P637" s="14">
        <v>24</v>
      </c>
      <c r="Q637" s="14">
        <f t="shared" si="9"/>
        <v>198919.67999999999</v>
      </c>
      <c r="R637" s="14">
        <v>198943.68</v>
      </c>
      <c r="S637" s="14" t="s">
        <v>33</v>
      </c>
      <c r="T637" s="14" t="s">
        <v>34</v>
      </c>
      <c r="U637" s="14" t="s">
        <v>46</v>
      </c>
      <c r="V637" s="14" t="s">
        <v>36</v>
      </c>
      <c r="W637" s="14" t="s">
        <v>37</v>
      </c>
      <c r="X637" s="14">
        <v>2</v>
      </c>
      <c r="Y637" s="14" t="s">
        <v>47</v>
      </c>
      <c r="Z637" s="14">
        <v>1</v>
      </c>
      <c r="AA637" s="14" t="s">
        <v>91</v>
      </c>
    </row>
    <row r="638" spans="1:27" x14ac:dyDescent="0.35">
      <c r="A638" s="14" t="s">
        <v>1187</v>
      </c>
      <c r="B638" s="15">
        <v>45928</v>
      </c>
      <c r="C638" s="14" t="s">
        <v>1188</v>
      </c>
      <c r="D638" s="14" t="s">
        <v>66</v>
      </c>
      <c r="E638" s="14" t="s">
        <v>43</v>
      </c>
      <c r="F638" s="14">
        <v>28</v>
      </c>
      <c r="G638" s="14" t="s">
        <v>139</v>
      </c>
      <c r="H638" s="14" t="s">
        <v>31</v>
      </c>
      <c r="I638" s="14" t="s">
        <v>139</v>
      </c>
      <c r="J638" s="14" t="s">
        <v>53</v>
      </c>
      <c r="K638" s="14">
        <v>4</v>
      </c>
      <c r="L638" s="14">
        <v>48302</v>
      </c>
      <c r="M638" s="14">
        <v>5</v>
      </c>
      <c r="N638" s="14">
        <v>9660.4</v>
      </c>
      <c r="O638" s="14">
        <v>33038.57</v>
      </c>
      <c r="P638" s="14">
        <v>179</v>
      </c>
      <c r="Q638" s="14">
        <f t="shared" si="9"/>
        <v>216586.17</v>
      </c>
      <c r="R638" s="14">
        <v>216765.17</v>
      </c>
      <c r="S638" s="14" t="s">
        <v>45</v>
      </c>
      <c r="T638" s="14" t="s">
        <v>63</v>
      </c>
      <c r="U638" s="14" t="s">
        <v>103</v>
      </c>
      <c r="V638" s="14" t="s">
        <v>103</v>
      </c>
      <c r="W638" s="14" t="s">
        <v>57</v>
      </c>
      <c r="X638" s="14">
        <v>2</v>
      </c>
      <c r="Y638" s="14" t="s">
        <v>47</v>
      </c>
      <c r="Z638" s="14">
        <v>2</v>
      </c>
      <c r="AA638" s="14" t="s">
        <v>47</v>
      </c>
    </row>
    <row r="639" spans="1:27" x14ac:dyDescent="0.35">
      <c r="A639" s="14" t="s">
        <v>1189</v>
      </c>
      <c r="B639" s="15">
        <v>45899</v>
      </c>
      <c r="C639" s="14" t="s">
        <v>1190</v>
      </c>
      <c r="D639" s="14" t="s">
        <v>66</v>
      </c>
      <c r="E639" s="14" t="s">
        <v>43</v>
      </c>
      <c r="F639" s="14">
        <v>38</v>
      </c>
      <c r="G639" s="14" t="s">
        <v>51</v>
      </c>
      <c r="H639" s="14" t="s">
        <v>52</v>
      </c>
      <c r="I639" s="14" t="s">
        <v>51</v>
      </c>
      <c r="J639" s="14" t="s">
        <v>202</v>
      </c>
      <c r="K639" s="14">
        <v>2</v>
      </c>
      <c r="L639" s="14">
        <v>48941</v>
      </c>
      <c r="M639" s="14">
        <v>20</v>
      </c>
      <c r="N639" s="14">
        <v>19576.400000000001</v>
      </c>
      <c r="O639" s="14">
        <v>14095.01</v>
      </c>
      <c r="P639" s="14">
        <v>140</v>
      </c>
      <c r="Q639" s="14">
        <f t="shared" si="9"/>
        <v>92400.61</v>
      </c>
      <c r="R639" s="14">
        <v>92540.61</v>
      </c>
      <c r="S639" s="14" t="s">
        <v>33</v>
      </c>
      <c r="T639" s="14" t="s">
        <v>34</v>
      </c>
      <c r="U639" s="14" t="s">
        <v>46</v>
      </c>
      <c r="V639" s="14" t="s">
        <v>36</v>
      </c>
      <c r="W639" s="14" t="s">
        <v>37</v>
      </c>
      <c r="X639" s="14">
        <v>3</v>
      </c>
      <c r="Y639" s="14" t="s">
        <v>47</v>
      </c>
      <c r="Z639" s="14">
        <v>1</v>
      </c>
      <c r="AA639" s="14" t="s">
        <v>47</v>
      </c>
    </row>
    <row r="640" spans="1:27" x14ac:dyDescent="0.35">
      <c r="A640" s="14" t="s">
        <v>1191</v>
      </c>
      <c r="B640" s="15">
        <v>45808</v>
      </c>
      <c r="C640" s="14" t="s">
        <v>1192</v>
      </c>
      <c r="D640" s="14" t="s">
        <v>50</v>
      </c>
      <c r="E640" s="14" t="s">
        <v>29</v>
      </c>
      <c r="F640" s="14">
        <v>60</v>
      </c>
      <c r="G640" s="14" t="s">
        <v>44</v>
      </c>
      <c r="H640" s="14" t="s">
        <v>31</v>
      </c>
      <c r="I640" s="14" t="s">
        <v>44</v>
      </c>
      <c r="J640" s="14" t="s">
        <v>202</v>
      </c>
      <c r="K640" s="14">
        <v>3</v>
      </c>
      <c r="L640" s="14">
        <v>2310</v>
      </c>
      <c r="M640" s="14">
        <v>0</v>
      </c>
      <c r="N640" s="14">
        <v>0</v>
      </c>
      <c r="O640" s="14">
        <v>1247.4000000000001</v>
      </c>
      <c r="P640" s="14">
        <v>179</v>
      </c>
      <c r="Q640" s="14">
        <f t="shared" si="9"/>
        <v>8177.4</v>
      </c>
      <c r="R640" s="14">
        <v>8356.4</v>
      </c>
      <c r="S640" s="14" t="s">
        <v>54</v>
      </c>
      <c r="T640" s="14" t="s">
        <v>34</v>
      </c>
      <c r="U640" s="14" t="s">
        <v>70</v>
      </c>
      <c r="V640" s="14" t="s">
        <v>56</v>
      </c>
      <c r="W640" s="14" t="s">
        <v>57</v>
      </c>
      <c r="X640" s="14">
        <v>8</v>
      </c>
      <c r="Y640" s="14" t="s">
        <v>47</v>
      </c>
      <c r="Z640" s="14">
        <v>2</v>
      </c>
      <c r="AA640" s="14" t="s">
        <v>91</v>
      </c>
    </row>
    <row r="641" spans="1:27" x14ac:dyDescent="0.35">
      <c r="A641" s="14" t="s">
        <v>1193</v>
      </c>
      <c r="B641" s="15">
        <v>45947</v>
      </c>
      <c r="C641" s="14" t="s">
        <v>941</v>
      </c>
      <c r="D641" s="14" t="s">
        <v>108</v>
      </c>
      <c r="E641" s="14" t="s">
        <v>29</v>
      </c>
      <c r="F641" s="14">
        <v>51</v>
      </c>
      <c r="G641" s="14" t="s">
        <v>51</v>
      </c>
      <c r="H641" s="14" t="s">
        <v>52</v>
      </c>
      <c r="I641" s="14" t="s">
        <v>51</v>
      </c>
      <c r="J641" s="14" t="s">
        <v>69</v>
      </c>
      <c r="K641" s="14">
        <v>3</v>
      </c>
      <c r="L641" s="14">
        <v>23961</v>
      </c>
      <c r="M641" s="14">
        <v>15</v>
      </c>
      <c r="N641" s="14">
        <v>10782.45</v>
      </c>
      <c r="O641" s="14">
        <v>10998.1</v>
      </c>
      <c r="P641" s="14">
        <v>321</v>
      </c>
      <c r="Q641" s="14">
        <f t="shared" si="9"/>
        <v>72098.649999999994</v>
      </c>
      <c r="R641" s="14">
        <v>72419.649999999994</v>
      </c>
      <c r="S641" s="14" t="s">
        <v>54</v>
      </c>
      <c r="T641" s="14" t="s">
        <v>34</v>
      </c>
      <c r="U641" s="14" t="s">
        <v>84</v>
      </c>
      <c r="V641" s="14" t="s">
        <v>85</v>
      </c>
      <c r="W641" s="14" t="s">
        <v>86</v>
      </c>
      <c r="X641" s="14">
        <v>5</v>
      </c>
      <c r="Y641" s="14" t="s">
        <v>47</v>
      </c>
      <c r="Z641" s="14">
        <v>3</v>
      </c>
      <c r="AA641" s="14" t="s">
        <v>39</v>
      </c>
    </row>
    <row r="642" spans="1:27" x14ac:dyDescent="0.35">
      <c r="A642" s="14" t="s">
        <v>1194</v>
      </c>
      <c r="B642" s="15">
        <v>45798</v>
      </c>
      <c r="C642" s="14" t="s">
        <v>1195</v>
      </c>
      <c r="D642" s="14" t="s">
        <v>42</v>
      </c>
      <c r="E642" s="14" t="s">
        <v>43</v>
      </c>
      <c r="F642" s="14">
        <v>46</v>
      </c>
      <c r="G642" s="14" t="s">
        <v>51</v>
      </c>
      <c r="H642" s="14" t="s">
        <v>52</v>
      </c>
      <c r="I642" s="14" t="s">
        <v>51</v>
      </c>
      <c r="J642" s="14" t="s">
        <v>32</v>
      </c>
      <c r="K642" s="14">
        <v>1</v>
      </c>
      <c r="L642" s="14">
        <v>4128</v>
      </c>
      <c r="M642" s="14">
        <v>15</v>
      </c>
      <c r="N642" s="14">
        <v>619.20000000000005</v>
      </c>
      <c r="O642" s="14">
        <v>631.58000000000004</v>
      </c>
      <c r="P642" s="14">
        <v>70</v>
      </c>
      <c r="Q642" s="14">
        <f t="shared" si="9"/>
        <v>4140.38</v>
      </c>
      <c r="R642" s="14">
        <v>4210.38</v>
      </c>
      <c r="S642" s="14" t="s">
        <v>33</v>
      </c>
      <c r="T642" s="14" t="s">
        <v>34</v>
      </c>
      <c r="U642" s="14" t="s">
        <v>95</v>
      </c>
      <c r="V642" s="14" t="s">
        <v>96</v>
      </c>
      <c r="W642" s="14" t="s">
        <v>57</v>
      </c>
      <c r="X642" s="14">
        <v>6</v>
      </c>
      <c r="Y642" s="14" t="s">
        <v>38</v>
      </c>
      <c r="Z642" s="14">
        <v>4</v>
      </c>
      <c r="AA642" s="14" t="s">
        <v>58</v>
      </c>
    </row>
    <row r="643" spans="1:27" x14ac:dyDescent="0.35">
      <c r="A643" s="14" t="s">
        <v>1196</v>
      </c>
      <c r="B643" s="15">
        <v>45893</v>
      </c>
      <c r="C643" s="14" t="s">
        <v>539</v>
      </c>
      <c r="D643" s="14" t="s">
        <v>111</v>
      </c>
      <c r="E643" s="14" t="s">
        <v>29</v>
      </c>
      <c r="F643" s="14">
        <v>51</v>
      </c>
      <c r="G643" s="14" t="s">
        <v>51</v>
      </c>
      <c r="H643" s="14" t="s">
        <v>52</v>
      </c>
      <c r="I643" s="14" t="s">
        <v>51</v>
      </c>
      <c r="J643" s="14" t="s">
        <v>69</v>
      </c>
      <c r="K643" s="14">
        <v>3</v>
      </c>
      <c r="L643" s="14">
        <v>11238</v>
      </c>
      <c r="M643" s="14">
        <v>10</v>
      </c>
      <c r="N643" s="14">
        <v>3371.4</v>
      </c>
      <c r="O643" s="14">
        <v>5461.67</v>
      </c>
      <c r="P643" s="14">
        <v>201</v>
      </c>
      <c r="Q643" s="14">
        <f t="shared" ref="Q643:Q706" si="10">R643-P643</f>
        <v>35804.269999999997</v>
      </c>
      <c r="R643" s="14">
        <v>36005.269999999997</v>
      </c>
      <c r="S643" s="14" t="s">
        <v>83</v>
      </c>
      <c r="T643" s="14" t="s">
        <v>63</v>
      </c>
      <c r="U643" s="14" t="s">
        <v>35</v>
      </c>
      <c r="V643" s="14" t="s">
        <v>36</v>
      </c>
      <c r="W643" s="14" t="s">
        <v>37</v>
      </c>
      <c r="X643" s="14">
        <v>5</v>
      </c>
      <c r="Y643" s="14" t="s">
        <v>38</v>
      </c>
      <c r="Z643" s="14">
        <v>1</v>
      </c>
      <c r="AA643" s="14" t="s">
        <v>58</v>
      </c>
    </row>
    <row r="644" spans="1:27" x14ac:dyDescent="0.35">
      <c r="A644" s="14" t="s">
        <v>1197</v>
      </c>
      <c r="B644" s="15">
        <v>46014</v>
      </c>
      <c r="C644" s="14" t="s">
        <v>244</v>
      </c>
      <c r="D644" s="14" t="s">
        <v>80</v>
      </c>
      <c r="E644" s="14" t="s">
        <v>29</v>
      </c>
      <c r="F644" s="14">
        <v>38</v>
      </c>
      <c r="G644" s="14" t="s">
        <v>30</v>
      </c>
      <c r="H644" s="14" t="s">
        <v>31</v>
      </c>
      <c r="I644" s="14" t="s">
        <v>30</v>
      </c>
      <c r="J644" s="14" t="s">
        <v>69</v>
      </c>
      <c r="K644" s="14">
        <v>2</v>
      </c>
      <c r="L644" s="14">
        <v>46694</v>
      </c>
      <c r="M644" s="14">
        <v>10</v>
      </c>
      <c r="N644" s="14">
        <v>9338.7999999999993</v>
      </c>
      <c r="O644" s="14">
        <v>15128.86</v>
      </c>
      <c r="P644" s="14">
        <v>86</v>
      </c>
      <c r="Q644" s="14">
        <f t="shared" si="10"/>
        <v>99178.06</v>
      </c>
      <c r="R644" s="14">
        <v>99264.06</v>
      </c>
      <c r="S644" s="14" t="s">
        <v>83</v>
      </c>
      <c r="T644" s="14" t="s">
        <v>34</v>
      </c>
      <c r="U644" s="14" t="s">
        <v>76</v>
      </c>
      <c r="V644" s="14" t="s">
        <v>77</v>
      </c>
      <c r="W644" s="14" t="s">
        <v>57</v>
      </c>
      <c r="X644" s="14">
        <v>6</v>
      </c>
      <c r="Y644" s="14" t="s">
        <v>38</v>
      </c>
      <c r="Z644" s="14">
        <v>4</v>
      </c>
      <c r="AA644" s="14" t="s">
        <v>91</v>
      </c>
    </row>
    <row r="645" spans="1:27" x14ac:dyDescent="0.35">
      <c r="A645" s="14" t="s">
        <v>1198</v>
      </c>
      <c r="B645" s="15">
        <v>46049</v>
      </c>
      <c r="C645" s="14" t="s">
        <v>1199</v>
      </c>
      <c r="D645" s="14" t="s">
        <v>61</v>
      </c>
      <c r="E645" s="14" t="s">
        <v>29</v>
      </c>
      <c r="F645" s="14">
        <v>35</v>
      </c>
      <c r="G645" s="14" t="s">
        <v>94</v>
      </c>
      <c r="H645" s="14" t="s">
        <v>31</v>
      </c>
      <c r="I645" s="14" t="s">
        <v>94</v>
      </c>
      <c r="J645" s="14" t="s">
        <v>62</v>
      </c>
      <c r="K645" s="14">
        <v>5</v>
      </c>
      <c r="L645" s="14">
        <v>34344</v>
      </c>
      <c r="M645" s="14">
        <v>20</v>
      </c>
      <c r="N645" s="14">
        <v>34344</v>
      </c>
      <c r="O645" s="14">
        <v>24727.68</v>
      </c>
      <c r="P645" s="14">
        <v>473</v>
      </c>
      <c r="Q645" s="14">
        <f t="shared" si="10"/>
        <v>162103.67999999999</v>
      </c>
      <c r="R645" s="14">
        <v>162576.68</v>
      </c>
      <c r="S645" s="14" t="s">
        <v>33</v>
      </c>
      <c r="T645" s="14" t="s">
        <v>63</v>
      </c>
      <c r="U645" s="14" t="s">
        <v>103</v>
      </c>
      <c r="V645" s="14" t="s">
        <v>103</v>
      </c>
      <c r="W645" s="14" t="s">
        <v>57</v>
      </c>
      <c r="X645" s="14">
        <v>5</v>
      </c>
      <c r="Y645" s="14" t="s">
        <v>47</v>
      </c>
      <c r="Z645" s="14">
        <v>5</v>
      </c>
      <c r="AA645" s="14" t="s">
        <v>58</v>
      </c>
    </row>
    <row r="646" spans="1:27" x14ac:dyDescent="0.35">
      <c r="A646" s="14" t="s">
        <v>1200</v>
      </c>
      <c r="B646" s="15">
        <v>46107</v>
      </c>
      <c r="C646" s="14" t="s">
        <v>1201</v>
      </c>
      <c r="D646" s="14" t="s">
        <v>42</v>
      </c>
      <c r="E646" s="14" t="s">
        <v>43</v>
      </c>
      <c r="F646" s="14">
        <v>22</v>
      </c>
      <c r="G646" s="14" t="s">
        <v>134</v>
      </c>
      <c r="H646" s="14" t="s">
        <v>31</v>
      </c>
      <c r="I646" s="14" t="s">
        <v>134</v>
      </c>
      <c r="J646" s="14" t="s">
        <v>75</v>
      </c>
      <c r="K646" s="14">
        <v>2</v>
      </c>
      <c r="L646" s="14">
        <v>36921</v>
      </c>
      <c r="M646" s="14">
        <v>20</v>
      </c>
      <c r="N646" s="14">
        <v>14768.4</v>
      </c>
      <c r="O646" s="14">
        <v>10633.25</v>
      </c>
      <c r="P646" s="14">
        <v>288</v>
      </c>
      <c r="Q646" s="14">
        <f t="shared" si="10"/>
        <v>69706.850000000006</v>
      </c>
      <c r="R646" s="14">
        <v>69994.850000000006</v>
      </c>
      <c r="S646" s="14" t="s">
        <v>54</v>
      </c>
      <c r="T646" s="14" t="s">
        <v>63</v>
      </c>
      <c r="U646" s="14" t="s">
        <v>55</v>
      </c>
      <c r="V646" s="14" t="s">
        <v>56</v>
      </c>
      <c r="W646" s="14" t="s">
        <v>57</v>
      </c>
      <c r="X646" s="14">
        <v>7</v>
      </c>
      <c r="Y646" s="14" t="s">
        <v>47</v>
      </c>
      <c r="Z646" s="14">
        <v>5</v>
      </c>
      <c r="AA646" s="14" t="s">
        <v>58</v>
      </c>
    </row>
    <row r="647" spans="1:27" x14ac:dyDescent="0.35">
      <c r="A647" s="14" t="s">
        <v>1202</v>
      </c>
      <c r="B647" s="15">
        <v>45830</v>
      </c>
      <c r="C647" s="14" t="s">
        <v>311</v>
      </c>
      <c r="D647" s="14" t="s">
        <v>61</v>
      </c>
      <c r="E647" s="14" t="s">
        <v>29</v>
      </c>
      <c r="F647" s="14">
        <v>34</v>
      </c>
      <c r="G647" s="14" t="s">
        <v>30</v>
      </c>
      <c r="H647" s="14" t="s">
        <v>31</v>
      </c>
      <c r="I647" s="14" t="s">
        <v>30</v>
      </c>
      <c r="J647" s="14" t="s">
        <v>112</v>
      </c>
      <c r="K647" s="14">
        <v>3</v>
      </c>
      <c r="L647" s="14">
        <v>4374</v>
      </c>
      <c r="M647" s="14">
        <v>20</v>
      </c>
      <c r="N647" s="14">
        <v>2624.4</v>
      </c>
      <c r="O647" s="14">
        <v>1889.57</v>
      </c>
      <c r="P647" s="14">
        <v>36</v>
      </c>
      <c r="Q647" s="14">
        <f t="shared" si="10"/>
        <v>12387.17</v>
      </c>
      <c r="R647" s="14">
        <v>12423.17</v>
      </c>
      <c r="S647" s="14" t="s">
        <v>83</v>
      </c>
      <c r="T647" s="14" t="s">
        <v>63</v>
      </c>
      <c r="U647" s="14" t="s">
        <v>55</v>
      </c>
      <c r="V647" s="14" t="s">
        <v>56</v>
      </c>
      <c r="W647" s="14" t="s">
        <v>57</v>
      </c>
      <c r="X647" s="14">
        <v>9</v>
      </c>
      <c r="Y647" s="14" t="s">
        <v>47</v>
      </c>
      <c r="Z647" s="14">
        <v>1</v>
      </c>
      <c r="AA647" s="14" t="s">
        <v>91</v>
      </c>
    </row>
    <row r="648" spans="1:27" x14ac:dyDescent="0.35">
      <c r="A648" s="14" t="s">
        <v>1203</v>
      </c>
      <c r="B648" s="15">
        <v>45948</v>
      </c>
      <c r="C648" s="14" t="s">
        <v>1153</v>
      </c>
      <c r="D648" s="14" t="s">
        <v>80</v>
      </c>
      <c r="E648" s="14" t="s">
        <v>29</v>
      </c>
      <c r="F648" s="14">
        <v>24</v>
      </c>
      <c r="G648" s="14" t="s">
        <v>74</v>
      </c>
      <c r="H648" s="14" t="s">
        <v>31</v>
      </c>
      <c r="I648" s="14" t="s">
        <v>74</v>
      </c>
      <c r="J648" s="14" t="s">
        <v>102</v>
      </c>
      <c r="K648" s="14">
        <v>5</v>
      </c>
      <c r="L648" s="14">
        <v>31044</v>
      </c>
      <c r="M648" s="14">
        <v>20</v>
      </c>
      <c r="N648" s="14">
        <v>31044</v>
      </c>
      <c r="O648" s="14">
        <v>22351.68</v>
      </c>
      <c r="P648" s="14">
        <v>403</v>
      </c>
      <c r="Q648" s="14">
        <f t="shared" si="10"/>
        <v>146527.67999999999</v>
      </c>
      <c r="R648" s="14">
        <v>146930.68</v>
      </c>
      <c r="S648" s="14" t="s">
        <v>83</v>
      </c>
      <c r="T648" s="14" t="s">
        <v>34</v>
      </c>
      <c r="U648" s="14" t="s">
        <v>76</v>
      </c>
      <c r="V648" s="14" t="s">
        <v>77</v>
      </c>
      <c r="W648" s="14" t="s">
        <v>57</v>
      </c>
      <c r="X648" s="14">
        <v>5</v>
      </c>
      <c r="Y648" s="14" t="s">
        <v>47</v>
      </c>
      <c r="Z648" s="14">
        <v>2</v>
      </c>
      <c r="AA648" s="14" t="s">
        <v>47</v>
      </c>
    </row>
    <row r="649" spans="1:27" x14ac:dyDescent="0.35">
      <c r="A649" s="14" t="s">
        <v>1204</v>
      </c>
      <c r="B649" s="15">
        <v>45786</v>
      </c>
      <c r="C649" s="14" t="s">
        <v>184</v>
      </c>
      <c r="D649" s="14" t="s">
        <v>111</v>
      </c>
      <c r="E649" s="14" t="s">
        <v>43</v>
      </c>
      <c r="F649" s="14">
        <v>57</v>
      </c>
      <c r="G649" s="14" t="s">
        <v>67</v>
      </c>
      <c r="H649" s="14" t="s">
        <v>68</v>
      </c>
      <c r="I649" s="14" t="s">
        <v>67</v>
      </c>
      <c r="J649" s="14" t="s">
        <v>69</v>
      </c>
      <c r="K649" s="14">
        <v>3</v>
      </c>
      <c r="L649" s="14">
        <v>43444</v>
      </c>
      <c r="M649" s="14">
        <v>0</v>
      </c>
      <c r="N649" s="14">
        <v>0</v>
      </c>
      <c r="O649" s="14">
        <v>23459.759999999998</v>
      </c>
      <c r="P649" s="14">
        <v>238</v>
      </c>
      <c r="Q649" s="14">
        <f t="shared" si="10"/>
        <v>153791.76</v>
      </c>
      <c r="R649" s="14">
        <v>154029.76000000001</v>
      </c>
      <c r="S649" s="14" t="s">
        <v>33</v>
      </c>
      <c r="T649" s="14" t="s">
        <v>34</v>
      </c>
      <c r="U649" s="14" t="s">
        <v>46</v>
      </c>
      <c r="V649" s="14" t="s">
        <v>36</v>
      </c>
      <c r="W649" s="14" t="s">
        <v>37</v>
      </c>
      <c r="X649" s="14">
        <v>10</v>
      </c>
      <c r="Y649" s="14" t="s">
        <v>38</v>
      </c>
      <c r="Z649" s="14">
        <v>4</v>
      </c>
      <c r="AA649" s="14" t="s">
        <v>91</v>
      </c>
    </row>
    <row r="650" spans="1:27" x14ac:dyDescent="0.35">
      <c r="A650" s="14" t="s">
        <v>1205</v>
      </c>
      <c r="B650" s="15">
        <v>46059</v>
      </c>
      <c r="C650" s="14" t="s">
        <v>972</v>
      </c>
      <c r="D650" s="14" t="s">
        <v>66</v>
      </c>
      <c r="E650" s="14" t="s">
        <v>29</v>
      </c>
      <c r="F650" s="14">
        <v>41</v>
      </c>
      <c r="G650" s="14" t="s">
        <v>44</v>
      </c>
      <c r="H650" s="14" t="s">
        <v>31</v>
      </c>
      <c r="I650" s="14" t="s">
        <v>44</v>
      </c>
      <c r="J650" s="14" t="s">
        <v>32</v>
      </c>
      <c r="K650" s="14">
        <v>2</v>
      </c>
      <c r="L650" s="14">
        <v>38898</v>
      </c>
      <c r="M650" s="14">
        <v>10</v>
      </c>
      <c r="N650" s="14">
        <v>7779.6</v>
      </c>
      <c r="O650" s="14">
        <v>12602.95</v>
      </c>
      <c r="P650" s="14">
        <v>277</v>
      </c>
      <c r="Q650" s="14">
        <f t="shared" si="10"/>
        <v>82619.350000000006</v>
      </c>
      <c r="R650" s="14">
        <v>82896.350000000006</v>
      </c>
      <c r="S650" s="14" t="s">
        <v>33</v>
      </c>
      <c r="T650" s="14" t="s">
        <v>34</v>
      </c>
      <c r="U650" s="14" t="s">
        <v>55</v>
      </c>
      <c r="V650" s="14" t="s">
        <v>56</v>
      </c>
      <c r="W650" s="14" t="s">
        <v>57</v>
      </c>
      <c r="X650" s="14">
        <v>10</v>
      </c>
      <c r="Y650" s="14" t="s">
        <v>38</v>
      </c>
      <c r="Z650" s="14">
        <v>1</v>
      </c>
      <c r="AA650" s="14" t="s">
        <v>91</v>
      </c>
    </row>
    <row r="651" spans="1:27" x14ac:dyDescent="0.35">
      <c r="A651" s="14" t="s">
        <v>1206</v>
      </c>
      <c r="B651" s="15">
        <v>45773</v>
      </c>
      <c r="C651" s="14" t="s">
        <v>1098</v>
      </c>
      <c r="D651" s="14" t="s">
        <v>42</v>
      </c>
      <c r="E651" s="14" t="s">
        <v>43</v>
      </c>
      <c r="F651" s="14">
        <v>51</v>
      </c>
      <c r="G651" s="14" t="s">
        <v>90</v>
      </c>
      <c r="H651" s="14" t="s">
        <v>31</v>
      </c>
      <c r="I651" s="14" t="s">
        <v>90</v>
      </c>
      <c r="J651" s="14" t="s">
        <v>32</v>
      </c>
      <c r="K651" s="14">
        <v>3</v>
      </c>
      <c r="L651" s="14">
        <v>25634</v>
      </c>
      <c r="M651" s="14">
        <v>20</v>
      </c>
      <c r="N651" s="14">
        <v>15380.4</v>
      </c>
      <c r="O651" s="14">
        <v>11073.89</v>
      </c>
      <c r="P651" s="14">
        <v>490</v>
      </c>
      <c r="Q651" s="14">
        <f t="shared" si="10"/>
        <v>72595.490000000005</v>
      </c>
      <c r="R651" s="14">
        <v>73085.490000000005</v>
      </c>
      <c r="S651" s="14" t="s">
        <v>33</v>
      </c>
      <c r="T651" s="14" t="s">
        <v>34</v>
      </c>
      <c r="U651" s="14" t="s">
        <v>70</v>
      </c>
      <c r="V651" s="14" t="s">
        <v>56</v>
      </c>
      <c r="W651" s="14" t="s">
        <v>57</v>
      </c>
      <c r="X651" s="14">
        <v>10</v>
      </c>
      <c r="Y651" s="14" t="s">
        <v>38</v>
      </c>
      <c r="Z651" s="14">
        <v>1</v>
      </c>
      <c r="AA651" s="14" t="s">
        <v>47</v>
      </c>
    </row>
    <row r="652" spans="1:27" x14ac:dyDescent="0.35">
      <c r="A652" s="14" t="s">
        <v>1207</v>
      </c>
      <c r="B652" s="15">
        <v>45872</v>
      </c>
      <c r="C652" s="14" t="s">
        <v>1208</v>
      </c>
      <c r="D652" s="14" t="s">
        <v>108</v>
      </c>
      <c r="E652" s="14" t="s">
        <v>43</v>
      </c>
      <c r="F652" s="14">
        <v>36</v>
      </c>
      <c r="G652" s="14" t="s">
        <v>74</v>
      </c>
      <c r="H652" s="14" t="s">
        <v>31</v>
      </c>
      <c r="I652" s="14" t="s">
        <v>74</v>
      </c>
      <c r="J652" s="14" t="s">
        <v>69</v>
      </c>
      <c r="K652" s="14">
        <v>1</v>
      </c>
      <c r="L652" s="14">
        <v>18070</v>
      </c>
      <c r="M652" s="14">
        <v>5</v>
      </c>
      <c r="N652" s="14">
        <v>903.5</v>
      </c>
      <c r="O652" s="14">
        <v>3089.97</v>
      </c>
      <c r="P652" s="14">
        <v>495</v>
      </c>
      <c r="Q652" s="14">
        <f t="shared" si="10"/>
        <v>20256.47</v>
      </c>
      <c r="R652" s="14">
        <v>20751.47</v>
      </c>
      <c r="S652" s="14" t="s">
        <v>83</v>
      </c>
      <c r="T652" s="14" t="s">
        <v>34</v>
      </c>
      <c r="U652" s="14" t="s">
        <v>70</v>
      </c>
      <c r="V652" s="14" t="s">
        <v>56</v>
      </c>
      <c r="W652" s="14" t="s">
        <v>57</v>
      </c>
      <c r="X652" s="14">
        <v>6</v>
      </c>
      <c r="Y652" s="14" t="s">
        <v>38</v>
      </c>
      <c r="Z652" s="14">
        <v>4</v>
      </c>
      <c r="AA652" s="14" t="s">
        <v>39</v>
      </c>
    </row>
    <row r="653" spans="1:27" x14ac:dyDescent="0.35">
      <c r="A653" s="14" t="s">
        <v>1209</v>
      </c>
      <c r="B653" s="15">
        <v>46090</v>
      </c>
      <c r="C653" s="14" t="s">
        <v>529</v>
      </c>
      <c r="D653" s="14" t="s">
        <v>61</v>
      </c>
      <c r="E653" s="14" t="s">
        <v>43</v>
      </c>
      <c r="F653" s="14">
        <v>56</v>
      </c>
      <c r="G653" s="14" t="s">
        <v>44</v>
      </c>
      <c r="H653" s="14" t="s">
        <v>31</v>
      </c>
      <c r="I653" s="14" t="s">
        <v>44</v>
      </c>
      <c r="J653" s="14" t="s">
        <v>62</v>
      </c>
      <c r="K653" s="14">
        <v>1</v>
      </c>
      <c r="L653" s="14">
        <v>25503</v>
      </c>
      <c r="M653" s="14">
        <v>15</v>
      </c>
      <c r="N653" s="14">
        <v>3825.45</v>
      </c>
      <c r="O653" s="14">
        <v>3901.96</v>
      </c>
      <c r="P653" s="14">
        <v>372</v>
      </c>
      <c r="Q653" s="14">
        <f t="shared" si="10"/>
        <v>25579.51</v>
      </c>
      <c r="R653" s="14">
        <v>25951.51</v>
      </c>
      <c r="S653" s="14" t="s">
        <v>83</v>
      </c>
      <c r="T653" s="14" t="s">
        <v>63</v>
      </c>
      <c r="U653" s="14" t="s">
        <v>70</v>
      </c>
      <c r="V653" s="14" t="s">
        <v>56</v>
      </c>
      <c r="W653" s="14" t="s">
        <v>57</v>
      </c>
      <c r="X653" s="14">
        <v>1</v>
      </c>
      <c r="Y653" s="14" t="s">
        <v>47</v>
      </c>
      <c r="Z653" s="14">
        <v>2</v>
      </c>
      <c r="AA653" s="14" t="s">
        <v>47</v>
      </c>
    </row>
    <row r="654" spans="1:27" x14ac:dyDescent="0.35">
      <c r="A654" s="14" t="s">
        <v>1210</v>
      </c>
      <c r="B654" s="15">
        <v>45838</v>
      </c>
      <c r="C654" s="14" t="s">
        <v>439</v>
      </c>
      <c r="D654" s="14" t="s">
        <v>61</v>
      </c>
      <c r="E654" s="14" t="s">
        <v>29</v>
      </c>
      <c r="F654" s="14">
        <v>48</v>
      </c>
      <c r="G654" s="14" t="s">
        <v>90</v>
      </c>
      <c r="H654" s="14" t="s">
        <v>31</v>
      </c>
      <c r="I654" s="14" t="s">
        <v>90</v>
      </c>
      <c r="J654" s="14" t="s">
        <v>53</v>
      </c>
      <c r="K654" s="14">
        <v>3</v>
      </c>
      <c r="L654" s="14">
        <v>23347</v>
      </c>
      <c r="M654" s="14">
        <v>20</v>
      </c>
      <c r="N654" s="14">
        <v>14008.2</v>
      </c>
      <c r="O654" s="14">
        <v>10085.9</v>
      </c>
      <c r="P654" s="14">
        <v>18</v>
      </c>
      <c r="Q654" s="14">
        <f t="shared" si="10"/>
        <v>66118.7</v>
      </c>
      <c r="R654" s="14">
        <v>66136.7</v>
      </c>
      <c r="S654" s="14" t="s">
        <v>83</v>
      </c>
      <c r="T654" s="14" t="s">
        <v>34</v>
      </c>
      <c r="U654" s="14" t="s">
        <v>76</v>
      </c>
      <c r="V654" s="14" t="s">
        <v>77</v>
      </c>
      <c r="W654" s="14" t="s">
        <v>57</v>
      </c>
      <c r="X654" s="14">
        <v>4</v>
      </c>
      <c r="Y654" s="14" t="s">
        <v>38</v>
      </c>
      <c r="Z654" s="14">
        <v>2</v>
      </c>
      <c r="AA654" s="14" t="s">
        <v>91</v>
      </c>
    </row>
    <row r="655" spans="1:27" x14ac:dyDescent="0.35">
      <c r="A655" s="14" t="s">
        <v>1211</v>
      </c>
      <c r="B655" s="15">
        <v>45776</v>
      </c>
      <c r="C655" s="14" t="s">
        <v>409</v>
      </c>
      <c r="D655" s="14" t="s">
        <v>73</v>
      </c>
      <c r="E655" s="14" t="s">
        <v>43</v>
      </c>
      <c r="F655" s="14">
        <v>37</v>
      </c>
      <c r="G655" s="14" t="s">
        <v>139</v>
      </c>
      <c r="H655" s="14" t="s">
        <v>31</v>
      </c>
      <c r="I655" s="14" t="s">
        <v>139</v>
      </c>
      <c r="J655" s="14" t="s">
        <v>202</v>
      </c>
      <c r="K655" s="14">
        <v>3</v>
      </c>
      <c r="L655" s="14">
        <v>34998</v>
      </c>
      <c r="M655" s="14">
        <v>0</v>
      </c>
      <c r="N655" s="14">
        <v>0</v>
      </c>
      <c r="O655" s="14">
        <v>18898.919999999998</v>
      </c>
      <c r="P655" s="14">
        <v>218</v>
      </c>
      <c r="Q655" s="14">
        <f t="shared" si="10"/>
        <v>123892.92</v>
      </c>
      <c r="R655" s="14">
        <v>124110.92</v>
      </c>
      <c r="S655" s="14" t="s">
        <v>83</v>
      </c>
      <c r="T655" s="14" t="s">
        <v>34</v>
      </c>
      <c r="U655" s="14" t="s">
        <v>55</v>
      </c>
      <c r="V655" s="14" t="s">
        <v>56</v>
      </c>
      <c r="W655" s="14" t="s">
        <v>57</v>
      </c>
      <c r="X655" s="14">
        <v>3</v>
      </c>
      <c r="Y655" s="14" t="s">
        <v>47</v>
      </c>
      <c r="Z655" s="14">
        <v>5</v>
      </c>
      <c r="AA655" s="14" t="s">
        <v>47</v>
      </c>
    </row>
    <row r="656" spans="1:27" x14ac:dyDescent="0.35">
      <c r="A656" s="14" t="s">
        <v>1212</v>
      </c>
      <c r="B656" s="15">
        <v>45768</v>
      </c>
      <c r="C656" s="14" t="s">
        <v>426</v>
      </c>
      <c r="D656" s="14" t="s">
        <v>73</v>
      </c>
      <c r="E656" s="14" t="s">
        <v>43</v>
      </c>
      <c r="F656" s="14">
        <v>60</v>
      </c>
      <c r="G656" s="14" t="s">
        <v>99</v>
      </c>
      <c r="H656" s="14" t="s">
        <v>52</v>
      </c>
      <c r="I656" s="14" t="s">
        <v>99</v>
      </c>
      <c r="J656" s="14" t="s">
        <v>112</v>
      </c>
      <c r="K656" s="14">
        <v>2</v>
      </c>
      <c r="L656" s="14">
        <v>20237</v>
      </c>
      <c r="M656" s="14">
        <v>20</v>
      </c>
      <c r="N656" s="14">
        <v>8094.8</v>
      </c>
      <c r="O656" s="14">
        <v>5828.26</v>
      </c>
      <c r="P656" s="14">
        <v>329</v>
      </c>
      <c r="Q656" s="14">
        <f t="shared" si="10"/>
        <v>38207.46</v>
      </c>
      <c r="R656" s="14">
        <v>38536.46</v>
      </c>
      <c r="S656" s="14" t="s">
        <v>54</v>
      </c>
      <c r="T656" s="14" t="s">
        <v>34</v>
      </c>
      <c r="U656" s="14" t="s">
        <v>76</v>
      </c>
      <c r="V656" s="14" t="s">
        <v>77</v>
      </c>
      <c r="W656" s="14" t="s">
        <v>57</v>
      </c>
      <c r="X656" s="14">
        <v>3</v>
      </c>
      <c r="Y656" s="14" t="s">
        <v>47</v>
      </c>
      <c r="Z656" s="14">
        <v>4</v>
      </c>
      <c r="AA656" s="14" t="s">
        <v>91</v>
      </c>
    </row>
    <row r="657" spans="1:27" x14ac:dyDescent="0.35">
      <c r="A657" s="14" t="s">
        <v>1213</v>
      </c>
      <c r="B657" s="15">
        <v>45933</v>
      </c>
      <c r="C657" s="14" t="s">
        <v>129</v>
      </c>
      <c r="D657" s="14" t="s">
        <v>28</v>
      </c>
      <c r="E657" s="14" t="s">
        <v>29</v>
      </c>
      <c r="F657" s="14">
        <v>30</v>
      </c>
      <c r="G657" s="14" t="s">
        <v>134</v>
      </c>
      <c r="H657" s="14" t="s">
        <v>31</v>
      </c>
      <c r="I657" s="14" t="s">
        <v>134</v>
      </c>
      <c r="J657" s="14" t="s">
        <v>32</v>
      </c>
      <c r="K657" s="14">
        <v>5</v>
      </c>
      <c r="L657" s="14">
        <v>48600</v>
      </c>
      <c r="M657" s="14">
        <v>15</v>
      </c>
      <c r="N657" s="14">
        <v>36450</v>
      </c>
      <c r="O657" s="14">
        <v>37179</v>
      </c>
      <c r="P657" s="14">
        <v>201</v>
      </c>
      <c r="Q657" s="14">
        <f t="shared" si="10"/>
        <v>243729</v>
      </c>
      <c r="R657" s="14">
        <v>243930</v>
      </c>
      <c r="S657" s="14" t="s">
        <v>83</v>
      </c>
      <c r="T657" s="14" t="s">
        <v>63</v>
      </c>
      <c r="U657" s="14" t="s">
        <v>46</v>
      </c>
      <c r="V657" s="14" t="s">
        <v>36</v>
      </c>
      <c r="W657" s="14" t="s">
        <v>37</v>
      </c>
      <c r="X657" s="14">
        <v>8</v>
      </c>
      <c r="Y657" s="14" t="s">
        <v>38</v>
      </c>
      <c r="Z657" s="14">
        <v>1</v>
      </c>
      <c r="AA657" s="14" t="s">
        <v>39</v>
      </c>
    </row>
    <row r="658" spans="1:27" x14ac:dyDescent="0.35">
      <c r="A658" s="14" t="s">
        <v>1214</v>
      </c>
      <c r="B658" s="15">
        <v>45941</v>
      </c>
      <c r="C658" s="14" t="s">
        <v>1215</v>
      </c>
      <c r="D658" s="14" t="s">
        <v>89</v>
      </c>
      <c r="E658" s="14" t="s">
        <v>29</v>
      </c>
      <c r="F658" s="14">
        <v>32</v>
      </c>
      <c r="G658" s="14" t="s">
        <v>30</v>
      </c>
      <c r="H658" s="14" t="s">
        <v>31</v>
      </c>
      <c r="I658" s="14" t="s">
        <v>30</v>
      </c>
      <c r="J658" s="14" t="s">
        <v>69</v>
      </c>
      <c r="K658" s="14">
        <v>5</v>
      </c>
      <c r="L658" s="14">
        <v>22607</v>
      </c>
      <c r="M658" s="14">
        <v>15</v>
      </c>
      <c r="N658" s="14">
        <v>16955.25</v>
      </c>
      <c r="O658" s="14">
        <v>17294.349999999999</v>
      </c>
      <c r="P658" s="14">
        <v>90</v>
      </c>
      <c r="Q658" s="14">
        <f t="shared" si="10"/>
        <v>113374.1</v>
      </c>
      <c r="R658" s="14">
        <v>113464.1</v>
      </c>
      <c r="S658" s="14" t="s">
        <v>54</v>
      </c>
      <c r="T658" s="14" t="s">
        <v>34</v>
      </c>
      <c r="U658" s="14" t="s">
        <v>35</v>
      </c>
      <c r="V658" s="14" t="s">
        <v>36</v>
      </c>
      <c r="W658" s="14" t="s">
        <v>37</v>
      </c>
      <c r="X658" s="14">
        <v>6</v>
      </c>
      <c r="Y658" s="14" t="s">
        <v>38</v>
      </c>
      <c r="Z658" s="14">
        <v>5</v>
      </c>
      <c r="AA658" s="14" t="s">
        <v>91</v>
      </c>
    </row>
    <row r="659" spans="1:27" x14ac:dyDescent="0.35">
      <c r="A659" s="14" t="s">
        <v>1216</v>
      </c>
      <c r="B659" s="15">
        <v>45935</v>
      </c>
      <c r="C659" s="14" t="s">
        <v>1217</v>
      </c>
      <c r="D659" s="14" t="s">
        <v>61</v>
      </c>
      <c r="E659" s="14" t="s">
        <v>43</v>
      </c>
      <c r="F659" s="14">
        <v>19</v>
      </c>
      <c r="G659" s="14" t="s">
        <v>94</v>
      </c>
      <c r="H659" s="14" t="s">
        <v>31</v>
      </c>
      <c r="I659" s="14" t="s">
        <v>94</v>
      </c>
      <c r="J659" s="14" t="s">
        <v>69</v>
      </c>
      <c r="K659" s="14">
        <v>3</v>
      </c>
      <c r="L659" s="14">
        <v>35119</v>
      </c>
      <c r="M659" s="14">
        <v>10</v>
      </c>
      <c r="N659" s="14">
        <v>10535.7</v>
      </c>
      <c r="O659" s="14">
        <v>17067.830000000002</v>
      </c>
      <c r="P659" s="14">
        <v>267</v>
      </c>
      <c r="Q659" s="14">
        <f t="shared" si="10"/>
        <v>111889.13</v>
      </c>
      <c r="R659" s="14">
        <v>112156.13</v>
      </c>
      <c r="S659" s="14" t="s">
        <v>45</v>
      </c>
      <c r="T659" s="14" t="s">
        <v>34</v>
      </c>
      <c r="U659" s="14" t="s">
        <v>76</v>
      </c>
      <c r="V659" s="14" t="s">
        <v>77</v>
      </c>
      <c r="W659" s="14" t="s">
        <v>57</v>
      </c>
      <c r="X659" s="14">
        <v>5</v>
      </c>
      <c r="Y659" s="14" t="s">
        <v>47</v>
      </c>
      <c r="Z659" s="14">
        <v>2</v>
      </c>
      <c r="AA659" s="14" t="s">
        <v>91</v>
      </c>
    </row>
    <row r="660" spans="1:27" x14ac:dyDescent="0.35">
      <c r="A660" s="14" t="s">
        <v>1218</v>
      </c>
      <c r="B660" s="15">
        <v>46119</v>
      </c>
      <c r="C660" s="14" t="s">
        <v>978</v>
      </c>
      <c r="D660" s="14" t="s">
        <v>28</v>
      </c>
      <c r="E660" s="14" t="s">
        <v>29</v>
      </c>
      <c r="F660" s="14">
        <v>49</v>
      </c>
      <c r="G660" s="14" t="s">
        <v>90</v>
      </c>
      <c r="H660" s="14" t="s">
        <v>31</v>
      </c>
      <c r="I660" s="14" t="s">
        <v>90</v>
      </c>
      <c r="J660" s="14" t="s">
        <v>62</v>
      </c>
      <c r="K660" s="14">
        <v>1</v>
      </c>
      <c r="L660" s="14">
        <v>23303</v>
      </c>
      <c r="M660" s="14">
        <v>10</v>
      </c>
      <c r="N660" s="14">
        <v>2330.3000000000002</v>
      </c>
      <c r="O660" s="14">
        <v>3775.09</v>
      </c>
      <c r="P660" s="14">
        <v>211</v>
      </c>
      <c r="Q660" s="14">
        <f t="shared" si="10"/>
        <v>24747.79</v>
      </c>
      <c r="R660" s="14">
        <v>24958.79</v>
      </c>
      <c r="S660" s="14" t="s">
        <v>54</v>
      </c>
      <c r="T660" s="14" t="s">
        <v>34</v>
      </c>
      <c r="U660" s="14" t="s">
        <v>103</v>
      </c>
      <c r="V660" s="14" t="s">
        <v>103</v>
      </c>
      <c r="W660" s="14" t="s">
        <v>57</v>
      </c>
      <c r="X660" s="14">
        <v>10</v>
      </c>
      <c r="Y660" s="14" t="s">
        <v>47</v>
      </c>
      <c r="Z660" s="14">
        <v>5</v>
      </c>
      <c r="AA660" s="14" t="s">
        <v>39</v>
      </c>
    </row>
    <row r="661" spans="1:27" x14ac:dyDescent="0.35">
      <c r="A661" s="14" t="s">
        <v>1219</v>
      </c>
      <c r="B661" s="15">
        <v>45839</v>
      </c>
      <c r="C661" s="14" t="s">
        <v>446</v>
      </c>
      <c r="D661" s="14" t="s">
        <v>61</v>
      </c>
      <c r="E661" s="14" t="s">
        <v>43</v>
      </c>
      <c r="F661" s="14">
        <v>47</v>
      </c>
      <c r="G661" s="14" t="s">
        <v>90</v>
      </c>
      <c r="H661" s="14" t="s">
        <v>31</v>
      </c>
      <c r="I661" s="14" t="s">
        <v>90</v>
      </c>
      <c r="J661" s="14" t="s">
        <v>150</v>
      </c>
      <c r="K661" s="14">
        <v>2</v>
      </c>
      <c r="L661" s="14">
        <v>47952</v>
      </c>
      <c r="M661" s="14">
        <v>20</v>
      </c>
      <c r="N661" s="14">
        <v>19180.8</v>
      </c>
      <c r="O661" s="14">
        <v>13810.18</v>
      </c>
      <c r="P661" s="14">
        <v>396</v>
      </c>
      <c r="Q661" s="14">
        <f t="shared" si="10"/>
        <v>90533.38</v>
      </c>
      <c r="R661" s="14">
        <v>90929.38</v>
      </c>
      <c r="S661" s="14" t="s">
        <v>83</v>
      </c>
      <c r="T661" s="14" t="s">
        <v>34</v>
      </c>
      <c r="U661" s="14" t="s">
        <v>46</v>
      </c>
      <c r="V661" s="14" t="s">
        <v>36</v>
      </c>
      <c r="W661" s="14" t="s">
        <v>37</v>
      </c>
      <c r="X661" s="14">
        <v>6</v>
      </c>
      <c r="Y661" s="14" t="s">
        <v>38</v>
      </c>
      <c r="Z661" s="14">
        <v>4</v>
      </c>
      <c r="AA661" s="14" t="s">
        <v>91</v>
      </c>
    </row>
    <row r="662" spans="1:27" x14ac:dyDescent="0.35">
      <c r="A662" s="14" t="s">
        <v>1220</v>
      </c>
      <c r="B662" s="15">
        <v>45945</v>
      </c>
      <c r="C662" s="14" t="s">
        <v>681</v>
      </c>
      <c r="D662" s="14" t="s">
        <v>66</v>
      </c>
      <c r="E662" s="14" t="s">
        <v>43</v>
      </c>
      <c r="F662" s="14">
        <v>56</v>
      </c>
      <c r="G662" s="14" t="s">
        <v>30</v>
      </c>
      <c r="H662" s="14" t="s">
        <v>31</v>
      </c>
      <c r="I662" s="14" t="s">
        <v>30</v>
      </c>
      <c r="J662" s="14" t="s">
        <v>102</v>
      </c>
      <c r="K662" s="14">
        <v>5</v>
      </c>
      <c r="L662" s="14">
        <v>32236</v>
      </c>
      <c r="M662" s="14">
        <v>0</v>
      </c>
      <c r="N662" s="14">
        <v>0</v>
      </c>
      <c r="O662" s="14">
        <v>29012.400000000001</v>
      </c>
      <c r="P662" s="14">
        <v>327</v>
      </c>
      <c r="Q662" s="14">
        <f t="shared" si="10"/>
        <v>190192.4</v>
      </c>
      <c r="R662" s="14">
        <v>190519.4</v>
      </c>
      <c r="S662" s="14" t="s">
        <v>54</v>
      </c>
      <c r="T662" s="14" t="s">
        <v>34</v>
      </c>
      <c r="U662" s="14" t="s">
        <v>55</v>
      </c>
      <c r="V662" s="14" t="s">
        <v>56</v>
      </c>
      <c r="W662" s="14" t="s">
        <v>57</v>
      </c>
      <c r="X662" s="14">
        <v>6</v>
      </c>
      <c r="Y662" s="14" t="s">
        <v>38</v>
      </c>
      <c r="Z662" s="14">
        <v>4</v>
      </c>
      <c r="AA662" s="14" t="s">
        <v>47</v>
      </c>
    </row>
    <row r="663" spans="1:27" x14ac:dyDescent="0.35">
      <c r="A663" s="14" t="s">
        <v>1221</v>
      </c>
      <c r="B663" s="15">
        <v>45933</v>
      </c>
      <c r="C663" s="14" t="s">
        <v>280</v>
      </c>
      <c r="D663" s="14" t="s">
        <v>80</v>
      </c>
      <c r="E663" s="14" t="s">
        <v>43</v>
      </c>
      <c r="F663" s="14">
        <v>29</v>
      </c>
      <c r="G663" s="14" t="s">
        <v>90</v>
      </c>
      <c r="H663" s="14" t="s">
        <v>31</v>
      </c>
      <c r="I663" s="14" t="s">
        <v>90</v>
      </c>
      <c r="J663" s="14" t="s">
        <v>202</v>
      </c>
      <c r="K663" s="14">
        <v>1</v>
      </c>
      <c r="L663" s="14">
        <v>35972</v>
      </c>
      <c r="M663" s="14">
        <v>5</v>
      </c>
      <c r="N663" s="14">
        <v>1798.6</v>
      </c>
      <c r="O663" s="14">
        <v>6151.21</v>
      </c>
      <c r="P663" s="14">
        <v>96</v>
      </c>
      <c r="Q663" s="14">
        <f t="shared" si="10"/>
        <v>40324.61</v>
      </c>
      <c r="R663" s="14">
        <v>40420.61</v>
      </c>
      <c r="S663" s="14" t="s">
        <v>54</v>
      </c>
      <c r="T663" s="14" t="s">
        <v>34</v>
      </c>
      <c r="U663" s="14" t="s">
        <v>84</v>
      </c>
      <c r="V663" s="14" t="s">
        <v>85</v>
      </c>
      <c r="W663" s="14" t="s">
        <v>86</v>
      </c>
      <c r="X663" s="14">
        <v>10</v>
      </c>
      <c r="Y663" s="14" t="s">
        <v>38</v>
      </c>
      <c r="Z663" s="14">
        <v>4</v>
      </c>
      <c r="AA663" s="14" t="s">
        <v>47</v>
      </c>
    </row>
    <row r="664" spans="1:27" x14ac:dyDescent="0.35">
      <c r="A664" s="14" t="s">
        <v>1222</v>
      </c>
      <c r="B664" s="15">
        <v>46074</v>
      </c>
      <c r="C664" s="14" t="s">
        <v>1223</v>
      </c>
      <c r="D664" s="14" t="s">
        <v>50</v>
      </c>
      <c r="E664" s="14" t="s">
        <v>29</v>
      </c>
      <c r="F664" s="14">
        <v>34</v>
      </c>
      <c r="G664" s="14" t="s">
        <v>134</v>
      </c>
      <c r="H664" s="14" t="s">
        <v>31</v>
      </c>
      <c r="I664" s="14" t="s">
        <v>134</v>
      </c>
      <c r="J664" s="14" t="s">
        <v>32</v>
      </c>
      <c r="K664" s="14">
        <v>3</v>
      </c>
      <c r="L664" s="14">
        <v>43548</v>
      </c>
      <c r="M664" s="14">
        <v>10</v>
      </c>
      <c r="N664" s="14">
        <v>13064.4</v>
      </c>
      <c r="O664" s="14">
        <v>21164.33</v>
      </c>
      <c r="P664" s="14">
        <v>336</v>
      </c>
      <c r="Q664" s="14">
        <f t="shared" si="10"/>
        <v>138743.93</v>
      </c>
      <c r="R664" s="14">
        <v>139079.93</v>
      </c>
      <c r="S664" s="14" t="s">
        <v>54</v>
      </c>
      <c r="T664" s="14" t="s">
        <v>34</v>
      </c>
      <c r="U664" s="14" t="s">
        <v>70</v>
      </c>
      <c r="V664" s="14" t="s">
        <v>56</v>
      </c>
      <c r="W664" s="14" t="s">
        <v>57</v>
      </c>
      <c r="X664" s="14">
        <v>8</v>
      </c>
      <c r="Y664" s="14" t="s">
        <v>38</v>
      </c>
      <c r="Z664" s="14">
        <v>4</v>
      </c>
      <c r="AA664" s="14" t="s">
        <v>47</v>
      </c>
    </row>
    <row r="665" spans="1:27" x14ac:dyDescent="0.35">
      <c r="A665" s="14" t="s">
        <v>1224</v>
      </c>
      <c r="B665" s="15">
        <v>46090</v>
      </c>
      <c r="C665" s="14" t="s">
        <v>1225</v>
      </c>
      <c r="D665" s="14" t="s">
        <v>108</v>
      </c>
      <c r="E665" s="14" t="s">
        <v>29</v>
      </c>
      <c r="F665" s="14">
        <v>54</v>
      </c>
      <c r="G665" s="14" t="s">
        <v>74</v>
      </c>
      <c r="H665" s="14" t="s">
        <v>31</v>
      </c>
      <c r="I665" s="14" t="s">
        <v>74</v>
      </c>
      <c r="J665" s="14" t="s">
        <v>75</v>
      </c>
      <c r="K665" s="14">
        <v>4</v>
      </c>
      <c r="L665" s="14">
        <v>7915</v>
      </c>
      <c r="M665" s="14">
        <v>10</v>
      </c>
      <c r="N665" s="14">
        <v>3166</v>
      </c>
      <c r="O665" s="14">
        <v>5128.92</v>
      </c>
      <c r="P665" s="14">
        <v>361</v>
      </c>
      <c r="Q665" s="14">
        <f t="shared" si="10"/>
        <v>33622.92</v>
      </c>
      <c r="R665" s="14">
        <v>33983.919999999998</v>
      </c>
      <c r="S665" s="14" t="s">
        <v>33</v>
      </c>
      <c r="T665" s="14" t="s">
        <v>34</v>
      </c>
      <c r="U665" s="14" t="s">
        <v>84</v>
      </c>
      <c r="V665" s="14" t="s">
        <v>85</v>
      </c>
      <c r="W665" s="14" t="s">
        <v>86</v>
      </c>
      <c r="X665" s="14">
        <v>5</v>
      </c>
      <c r="Y665" s="14" t="s">
        <v>47</v>
      </c>
      <c r="Z665" s="14">
        <v>1</v>
      </c>
      <c r="AA665" s="14" t="s">
        <v>47</v>
      </c>
    </row>
    <row r="666" spans="1:27" x14ac:dyDescent="0.35">
      <c r="A666" s="14" t="s">
        <v>1226</v>
      </c>
      <c r="B666" s="15">
        <v>45905</v>
      </c>
      <c r="C666" s="14" t="s">
        <v>1227</v>
      </c>
      <c r="D666" s="14" t="s">
        <v>89</v>
      </c>
      <c r="E666" s="14" t="s">
        <v>43</v>
      </c>
      <c r="F666" s="14">
        <v>45</v>
      </c>
      <c r="G666" s="14" t="s">
        <v>139</v>
      </c>
      <c r="H666" s="14" t="s">
        <v>31</v>
      </c>
      <c r="I666" s="14" t="s">
        <v>139</v>
      </c>
      <c r="J666" s="14" t="s">
        <v>102</v>
      </c>
      <c r="K666" s="14">
        <v>3</v>
      </c>
      <c r="L666" s="14">
        <v>3759</v>
      </c>
      <c r="M666" s="14">
        <v>0</v>
      </c>
      <c r="N666" s="14">
        <v>0</v>
      </c>
      <c r="O666" s="14">
        <v>2029.86</v>
      </c>
      <c r="P666" s="14">
        <v>446</v>
      </c>
      <c r="Q666" s="14">
        <f t="shared" si="10"/>
        <v>13306.86</v>
      </c>
      <c r="R666" s="14">
        <v>13752.86</v>
      </c>
      <c r="S666" s="14" t="s">
        <v>45</v>
      </c>
      <c r="T666" s="14" t="s">
        <v>34</v>
      </c>
      <c r="U666" s="14" t="s">
        <v>76</v>
      </c>
      <c r="V666" s="14" t="s">
        <v>77</v>
      </c>
      <c r="W666" s="14" t="s">
        <v>57</v>
      </c>
      <c r="X666" s="14">
        <v>4</v>
      </c>
      <c r="Y666" s="14" t="s">
        <v>38</v>
      </c>
      <c r="Z666" s="14">
        <v>4</v>
      </c>
      <c r="AA666" s="14" t="s">
        <v>39</v>
      </c>
    </row>
    <row r="667" spans="1:27" x14ac:dyDescent="0.35">
      <c r="A667" s="14" t="s">
        <v>1228</v>
      </c>
      <c r="B667" s="15">
        <v>46101</v>
      </c>
      <c r="C667" s="14" t="s">
        <v>1078</v>
      </c>
      <c r="D667" s="14" t="s">
        <v>42</v>
      </c>
      <c r="E667" s="14" t="s">
        <v>43</v>
      </c>
      <c r="F667" s="14">
        <v>18</v>
      </c>
      <c r="G667" s="14" t="s">
        <v>99</v>
      </c>
      <c r="H667" s="14" t="s">
        <v>52</v>
      </c>
      <c r="I667" s="14" t="s">
        <v>99</v>
      </c>
      <c r="J667" s="14" t="s">
        <v>125</v>
      </c>
      <c r="K667" s="14">
        <v>1</v>
      </c>
      <c r="L667" s="14">
        <v>17726</v>
      </c>
      <c r="M667" s="14">
        <v>10</v>
      </c>
      <c r="N667" s="14">
        <v>1772.6</v>
      </c>
      <c r="O667" s="14">
        <v>2871.61</v>
      </c>
      <c r="P667" s="14">
        <v>165</v>
      </c>
      <c r="Q667" s="14">
        <f t="shared" si="10"/>
        <v>18825.009999999998</v>
      </c>
      <c r="R667" s="14">
        <v>18990.009999999998</v>
      </c>
      <c r="S667" s="14" t="s">
        <v>33</v>
      </c>
      <c r="T667" s="14" t="s">
        <v>34</v>
      </c>
      <c r="U667" s="14" t="s">
        <v>55</v>
      </c>
      <c r="V667" s="14" t="s">
        <v>56</v>
      </c>
      <c r="W667" s="14" t="s">
        <v>57</v>
      </c>
      <c r="X667" s="14">
        <v>8</v>
      </c>
      <c r="Y667" s="14" t="s">
        <v>47</v>
      </c>
      <c r="Z667" s="14">
        <v>5</v>
      </c>
      <c r="AA667" s="14" t="s">
        <v>47</v>
      </c>
    </row>
    <row r="668" spans="1:27" x14ac:dyDescent="0.35">
      <c r="A668" s="14" t="s">
        <v>1229</v>
      </c>
      <c r="B668" s="15">
        <v>45931</v>
      </c>
      <c r="C668" s="14" t="s">
        <v>1230</v>
      </c>
      <c r="D668" s="14" t="s">
        <v>61</v>
      </c>
      <c r="E668" s="14" t="s">
        <v>29</v>
      </c>
      <c r="F668" s="14">
        <v>56</v>
      </c>
      <c r="G668" s="14" t="s">
        <v>99</v>
      </c>
      <c r="H668" s="14" t="s">
        <v>52</v>
      </c>
      <c r="I668" s="14" t="s">
        <v>99</v>
      </c>
      <c r="J668" s="14" t="s">
        <v>53</v>
      </c>
      <c r="K668" s="14">
        <v>3</v>
      </c>
      <c r="L668" s="14">
        <v>13518</v>
      </c>
      <c r="M668" s="14">
        <v>0</v>
      </c>
      <c r="N668" s="14">
        <v>0</v>
      </c>
      <c r="O668" s="14">
        <v>7299.72</v>
      </c>
      <c r="P668" s="14">
        <v>220</v>
      </c>
      <c r="Q668" s="14">
        <f t="shared" si="10"/>
        <v>47853.72</v>
      </c>
      <c r="R668" s="14">
        <v>48073.72</v>
      </c>
      <c r="S668" s="14" t="s">
        <v>33</v>
      </c>
      <c r="T668" s="14" t="s">
        <v>63</v>
      </c>
      <c r="U668" s="14" t="s">
        <v>70</v>
      </c>
      <c r="V668" s="14" t="s">
        <v>56</v>
      </c>
      <c r="W668" s="14" t="s">
        <v>57</v>
      </c>
      <c r="X668" s="14">
        <v>9</v>
      </c>
      <c r="Y668" s="14" t="s">
        <v>38</v>
      </c>
      <c r="Z668" s="14">
        <v>4</v>
      </c>
      <c r="AA668" s="14" t="s">
        <v>47</v>
      </c>
    </row>
    <row r="669" spans="1:27" x14ac:dyDescent="0.35">
      <c r="A669" s="14" t="s">
        <v>1231</v>
      </c>
      <c r="B669" s="15">
        <v>46109</v>
      </c>
      <c r="C669" s="14" t="s">
        <v>1232</v>
      </c>
      <c r="D669" s="14" t="s">
        <v>89</v>
      </c>
      <c r="E669" s="14" t="s">
        <v>29</v>
      </c>
      <c r="F669" s="14">
        <v>43</v>
      </c>
      <c r="G669" s="14" t="s">
        <v>30</v>
      </c>
      <c r="H669" s="14" t="s">
        <v>31</v>
      </c>
      <c r="I669" s="14" t="s">
        <v>30</v>
      </c>
      <c r="J669" s="14" t="s">
        <v>150</v>
      </c>
      <c r="K669" s="14">
        <v>5</v>
      </c>
      <c r="L669" s="14">
        <v>48662</v>
      </c>
      <c r="M669" s="14">
        <v>0</v>
      </c>
      <c r="N669" s="14">
        <v>0</v>
      </c>
      <c r="O669" s="14">
        <v>43795.8</v>
      </c>
      <c r="P669" s="14">
        <v>270</v>
      </c>
      <c r="Q669" s="14">
        <f t="shared" si="10"/>
        <v>287105.8</v>
      </c>
      <c r="R669" s="14">
        <v>287375.8</v>
      </c>
      <c r="S669" s="14" t="s">
        <v>45</v>
      </c>
      <c r="T669" s="14" t="s">
        <v>63</v>
      </c>
      <c r="U669" s="14" t="s">
        <v>35</v>
      </c>
      <c r="V669" s="14" t="s">
        <v>36</v>
      </c>
      <c r="W669" s="14" t="s">
        <v>37</v>
      </c>
      <c r="X669" s="14">
        <v>10</v>
      </c>
      <c r="Y669" s="14" t="s">
        <v>38</v>
      </c>
      <c r="Z669" s="14">
        <v>5</v>
      </c>
      <c r="AA669" s="14" t="s">
        <v>39</v>
      </c>
    </row>
    <row r="670" spans="1:27" x14ac:dyDescent="0.35">
      <c r="A670" s="14" t="s">
        <v>1233</v>
      </c>
      <c r="B670" s="15">
        <v>45998</v>
      </c>
      <c r="C670" s="14" t="s">
        <v>852</v>
      </c>
      <c r="D670" s="14" t="s">
        <v>73</v>
      </c>
      <c r="E670" s="14" t="s">
        <v>43</v>
      </c>
      <c r="F670" s="14">
        <v>32</v>
      </c>
      <c r="G670" s="14" t="s">
        <v>44</v>
      </c>
      <c r="H670" s="14" t="s">
        <v>31</v>
      </c>
      <c r="I670" s="14" t="s">
        <v>44</v>
      </c>
      <c r="J670" s="14" t="s">
        <v>112</v>
      </c>
      <c r="K670" s="14">
        <v>4</v>
      </c>
      <c r="L670" s="14">
        <v>48803</v>
      </c>
      <c r="M670" s="14">
        <v>0</v>
      </c>
      <c r="N670" s="14">
        <v>0</v>
      </c>
      <c r="O670" s="14">
        <v>35138.160000000003</v>
      </c>
      <c r="P670" s="14">
        <v>191</v>
      </c>
      <c r="Q670" s="14">
        <f t="shared" si="10"/>
        <v>230350.16</v>
      </c>
      <c r="R670" s="14">
        <v>230541.16</v>
      </c>
      <c r="S670" s="14" t="s">
        <v>83</v>
      </c>
      <c r="T670" s="14" t="s">
        <v>34</v>
      </c>
      <c r="U670" s="14" t="s">
        <v>35</v>
      </c>
      <c r="V670" s="14" t="s">
        <v>36</v>
      </c>
      <c r="W670" s="14" t="s">
        <v>37</v>
      </c>
      <c r="X670" s="14">
        <v>2</v>
      </c>
      <c r="Y670" s="14" t="s">
        <v>38</v>
      </c>
      <c r="Z670" s="14">
        <v>2</v>
      </c>
      <c r="AA670" s="14" t="s">
        <v>47</v>
      </c>
    </row>
    <row r="671" spans="1:27" x14ac:dyDescent="0.35">
      <c r="A671" s="14" t="s">
        <v>1234</v>
      </c>
      <c r="B671" s="15">
        <v>46072</v>
      </c>
      <c r="C671" s="14" t="s">
        <v>1235</v>
      </c>
      <c r="D671" s="14" t="s">
        <v>61</v>
      </c>
      <c r="E671" s="14" t="s">
        <v>29</v>
      </c>
      <c r="F671" s="14">
        <v>33</v>
      </c>
      <c r="G671" s="14" t="s">
        <v>74</v>
      </c>
      <c r="H671" s="14" t="s">
        <v>31</v>
      </c>
      <c r="I671" s="14" t="s">
        <v>74</v>
      </c>
      <c r="J671" s="14" t="s">
        <v>62</v>
      </c>
      <c r="K671" s="14">
        <v>1</v>
      </c>
      <c r="L671" s="14">
        <v>20388</v>
      </c>
      <c r="M671" s="14">
        <v>0</v>
      </c>
      <c r="N671" s="14">
        <v>0</v>
      </c>
      <c r="O671" s="14">
        <v>3669.84</v>
      </c>
      <c r="P671" s="14">
        <v>118</v>
      </c>
      <c r="Q671" s="14">
        <f t="shared" si="10"/>
        <v>24057.84</v>
      </c>
      <c r="R671" s="14">
        <v>24175.84</v>
      </c>
      <c r="S671" s="14" t="s">
        <v>54</v>
      </c>
      <c r="T671" s="14" t="s">
        <v>34</v>
      </c>
      <c r="U671" s="14" t="s">
        <v>55</v>
      </c>
      <c r="V671" s="14" t="s">
        <v>56</v>
      </c>
      <c r="W671" s="14" t="s">
        <v>57</v>
      </c>
      <c r="X671" s="14">
        <v>2</v>
      </c>
      <c r="Y671" s="14" t="s">
        <v>47</v>
      </c>
      <c r="Z671" s="14">
        <v>2</v>
      </c>
      <c r="AA671" s="14" t="s">
        <v>91</v>
      </c>
    </row>
    <row r="672" spans="1:27" x14ac:dyDescent="0.35">
      <c r="A672" s="14" t="s">
        <v>1236</v>
      </c>
      <c r="B672" s="15">
        <v>46085</v>
      </c>
      <c r="C672" s="14" t="s">
        <v>714</v>
      </c>
      <c r="D672" s="14" t="s">
        <v>89</v>
      </c>
      <c r="E672" s="14" t="s">
        <v>29</v>
      </c>
      <c r="F672" s="14">
        <v>54</v>
      </c>
      <c r="G672" s="14" t="s">
        <v>51</v>
      </c>
      <c r="H672" s="14" t="s">
        <v>52</v>
      </c>
      <c r="I672" s="14" t="s">
        <v>51</v>
      </c>
      <c r="J672" s="14" t="s">
        <v>69</v>
      </c>
      <c r="K672" s="14">
        <v>1</v>
      </c>
      <c r="L672" s="14">
        <v>38234</v>
      </c>
      <c r="M672" s="14">
        <v>15</v>
      </c>
      <c r="N672" s="14">
        <v>5735.1</v>
      </c>
      <c r="O672" s="14">
        <v>5849.8</v>
      </c>
      <c r="P672" s="14">
        <v>117</v>
      </c>
      <c r="Q672" s="14">
        <f t="shared" si="10"/>
        <v>38348.699999999997</v>
      </c>
      <c r="R672" s="14">
        <v>38465.699999999997</v>
      </c>
      <c r="S672" s="14" t="s">
        <v>33</v>
      </c>
      <c r="T672" s="14" t="s">
        <v>34</v>
      </c>
      <c r="U672" s="14" t="s">
        <v>46</v>
      </c>
      <c r="V672" s="14" t="s">
        <v>36</v>
      </c>
      <c r="W672" s="14" t="s">
        <v>37</v>
      </c>
      <c r="X672" s="14">
        <v>6</v>
      </c>
      <c r="Y672" s="14" t="s">
        <v>47</v>
      </c>
      <c r="Z672" s="14">
        <v>3</v>
      </c>
      <c r="AA672" s="14" t="s">
        <v>58</v>
      </c>
    </row>
    <row r="673" spans="1:27" x14ac:dyDescent="0.35">
      <c r="A673" s="14" t="s">
        <v>1237</v>
      </c>
      <c r="B673" s="15">
        <v>45898</v>
      </c>
      <c r="C673" s="14" t="s">
        <v>1238</v>
      </c>
      <c r="D673" s="14" t="s">
        <v>50</v>
      </c>
      <c r="E673" s="14" t="s">
        <v>43</v>
      </c>
      <c r="F673" s="14">
        <v>26</v>
      </c>
      <c r="G673" s="14" t="s">
        <v>134</v>
      </c>
      <c r="H673" s="14" t="s">
        <v>31</v>
      </c>
      <c r="I673" s="14" t="s">
        <v>134</v>
      </c>
      <c r="J673" s="14" t="s">
        <v>125</v>
      </c>
      <c r="K673" s="14">
        <v>3</v>
      </c>
      <c r="L673" s="14">
        <v>36323</v>
      </c>
      <c r="M673" s="14">
        <v>10</v>
      </c>
      <c r="N673" s="14">
        <v>10896.9</v>
      </c>
      <c r="O673" s="14">
        <v>17652.98</v>
      </c>
      <c r="P673" s="14">
        <v>446</v>
      </c>
      <c r="Q673" s="14">
        <f t="shared" si="10"/>
        <v>115725.08</v>
      </c>
      <c r="R673" s="14">
        <v>116171.08</v>
      </c>
      <c r="S673" s="14" t="s">
        <v>83</v>
      </c>
      <c r="T673" s="14" t="s">
        <v>34</v>
      </c>
      <c r="U673" s="14" t="s">
        <v>46</v>
      </c>
      <c r="V673" s="14" t="s">
        <v>36</v>
      </c>
      <c r="W673" s="14" t="s">
        <v>37</v>
      </c>
      <c r="X673" s="14">
        <v>3</v>
      </c>
      <c r="Y673" s="14" t="s">
        <v>38</v>
      </c>
      <c r="Z673" s="14">
        <v>2</v>
      </c>
      <c r="AA673" s="14" t="s">
        <v>39</v>
      </c>
    </row>
    <row r="674" spans="1:27" x14ac:dyDescent="0.35">
      <c r="A674" s="14" t="s">
        <v>1239</v>
      </c>
      <c r="B674" s="15">
        <v>45789</v>
      </c>
      <c r="C674" s="14" t="s">
        <v>1240</v>
      </c>
      <c r="D674" s="14" t="s">
        <v>111</v>
      </c>
      <c r="E674" s="14" t="s">
        <v>29</v>
      </c>
      <c r="F674" s="14">
        <v>28</v>
      </c>
      <c r="G674" s="14" t="s">
        <v>30</v>
      </c>
      <c r="H674" s="14" t="s">
        <v>31</v>
      </c>
      <c r="I674" s="14" t="s">
        <v>30</v>
      </c>
      <c r="J674" s="14" t="s">
        <v>75</v>
      </c>
      <c r="K674" s="14">
        <v>1</v>
      </c>
      <c r="L674" s="14">
        <v>37469</v>
      </c>
      <c r="M674" s="14">
        <v>10</v>
      </c>
      <c r="N674" s="14">
        <v>3746.9</v>
      </c>
      <c r="O674" s="14">
        <v>6069.98</v>
      </c>
      <c r="P674" s="14">
        <v>343</v>
      </c>
      <c r="Q674" s="14">
        <f t="shared" si="10"/>
        <v>39792.080000000002</v>
      </c>
      <c r="R674" s="14">
        <v>40135.08</v>
      </c>
      <c r="S674" s="14" t="s">
        <v>45</v>
      </c>
      <c r="T674" s="14" t="s">
        <v>63</v>
      </c>
      <c r="U674" s="14" t="s">
        <v>46</v>
      </c>
      <c r="V674" s="14" t="s">
        <v>36</v>
      </c>
      <c r="W674" s="14" t="s">
        <v>37</v>
      </c>
      <c r="X674" s="14">
        <v>8</v>
      </c>
      <c r="Y674" s="14" t="s">
        <v>47</v>
      </c>
      <c r="Z674" s="14">
        <v>3</v>
      </c>
      <c r="AA674" s="14" t="s">
        <v>91</v>
      </c>
    </row>
    <row r="675" spans="1:27" x14ac:dyDescent="0.35">
      <c r="A675" s="14" t="s">
        <v>1241</v>
      </c>
      <c r="B675" s="15">
        <v>45947</v>
      </c>
      <c r="C675" s="14" t="s">
        <v>236</v>
      </c>
      <c r="D675" s="14" t="s">
        <v>80</v>
      </c>
      <c r="E675" s="14" t="s">
        <v>29</v>
      </c>
      <c r="F675" s="14">
        <v>40</v>
      </c>
      <c r="G675" s="14" t="s">
        <v>67</v>
      </c>
      <c r="H675" s="14" t="s">
        <v>68</v>
      </c>
      <c r="I675" s="14" t="s">
        <v>67</v>
      </c>
      <c r="J675" s="14" t="s">
        <v>69</v>
      </c>
      <c r="K675" s="14">
        <v>2</v>
      </c>
      <c r="L675" s="14">
        <v>8036</v>
      </c>
      <c r="M675" s="14">
        <v>15</v>
      </c>
      <c r="N675" s="14">
        <v>2410.8000000000002</v>
      </c>
      <c r="O675" s="14">
        <v>2459.02</v>
      </c>
      <c r="P675" s="14">
        <v>129</v>
      </c>
      <c r="Q675" s="14">
        <f t="shared" si="10"/>
        <v>16120.22</v>
      </c>
      <c r="R675" s="14">
        <v>16249.22</v>
      </c>
      <c r="S675" s="14" t="s">
        <v>33</v>
      </c>
      <c r="T675" s="14" t="s">
        <v>63</v>
      </c>
      <c r="U675" s="14" t="s">
        <v>76</v>
      </c>
      <c r="V675" s="14" t="s">
        <v>77</v>
      </c>
      <c r="W675" s="14" t="s">
        <v>57</v>
      </c>
      <c r="X675" s="14">
        <v>8</v>
      </c>
      <c r="Y675" s="14" t="s">
        <v>47</v>
      </c>
      <c r="Z675" s="14">
        <v>5</v>
      </c>
      <c r="AA675" s="14" t="s">
        <v>47</v>
      </c>
    </row>
    <row r="676" spans="1:27" x14ac:dyDescent="0.35">
      <c r="A676" s="14" t="s">
        <v>1242</v>
      </c>
      <c r="B676" s="15">
        <v>45940</v>
      </c>
      <c r="C676" s="14" t="s">
        <v>655</v>
      </c>
      <c r="D676" s="14" t="s">
        <v>28</v>
      </c>
      <c r="E676" s="14" t="s">
        <v>43</v>
      </c>
      <c r="F676" s="14">
        <v>34</v>
      </c>
      <c r="G676" s="14" t="s">
        <v>51</v>
      </c>
      <c r="H676" s="14" t="s">
        <v>52</v>
      </c>
      <c r="I676" s="14" t="s">
        <v>51</v>
      </c>
      <c r="J676" s="14" t="s">
        <v>202</v>
      </c>
      <c r="K676" s="14">
        <v>1</v>
      </c>
      <c r="L676" s="14">
        <v>7033</v>
      </c>
      <c r="M676" s="14">
        <v>0</v>
      </c>
      <c r="N676" s="14">
        <v>0</v>
      </c>
      <c r="O676" s="14">
        <v>1265.94</v>
      </c>
      <c r="P676" s="14">
        <v>330</v>
      </c>
      <c r="Q676" s="14">
        <f t="shared" si="10"/>
        <v>8298.94</v>
      </c>
      <c r="R676" s="14">
        <v>8628.94</v>
      </c>
      <c r="S676" s="14" t="s">
        <v>54</v>
      </c>
      <c r="T676" s="14" t="s">
        <v>63</v>
      </c>
      <c r="U676" s="14" t="s">
        <v>103</v>
      </c>
      <c r="V676" s="14" t="s">
        <v>103</v>
      </c>
      <c r="W676" s="14" t="s">
        <v>57</v>
      </c>
      <c r="X676" s="14">
        <v>9</v>
      </c>
      <c r="Y676" s="14" t="s">
        <v>38</v>
      </c>
      <c r="Z676" s="14">
        <v>5</v>
      </c>
      <c r="AA676" s="14" t="s">
        <v>47</v>
      </c>
    </row>
    <row r="677" spans="1:27" x14ac:dyDescent="0.35">
      <c r="A677" s="14" t="s">
        <v>1243</v>
      </c>
      <c r="B677" s="15">
        <v>46047</v>
      </c>
      <c r="C677" s="14" t="s">
        <v>1244</v>
      </c>
      <c r="D677" s="14" t="s">
        <v>28</v>
      </c>
      <c r="E677" s="14" t="s">
        <v>43</v>
      </c>
      <c r="F677" s="14">
        <v>54</v>
      </c>
      <c r="G677" s="14" t="s">
        <v>67</v>
      </c>
      <c r="H677" s="14" t="s">
        <v>68</v>
      </c>
      <c r="I677" s="14" t="s">
        <v>67</v>
      </c>
      <c r="J677" s="14" t="s">
        <v>125</v>
      </c>
      <c r="K677" s="14">
        <v>3</v>
      </c>
      <c r="L677" s="14">
        <v>21275</v>
      </c>
      <c r="M677" s="14">
        <v>10</v>
      </c>
      <c r="N677" s="14">
        <v>6382.5</v>
      </c>
      <c r="O677" s="14">
        <v>10339.65</v>
      </c>
      <c r="P677" s="14">
        <v>126</v>
      </c>
      <c r="Q677" s="14">
        <f t="shared" si="10"/>
        <v>67782.149999999994</v>
      </c>
      <c r="R677" s="14">
        <v>67908.149999999994</v>
      </c>
      <c r="S677" s="14" t="s">
        <v>83</v>
      </c>
      <c r="T677" s="14" t="s">
        <v>34</v>
      </c>
      <c r="U677" s="14" t="s">
        <v>76</v>
      </c>
      <c r="V677" s="14" t="s">
        <v>77</v>
      </c>
      <c r="W677" s="14" t="s">
        <v>57</v>
      </c>
      <c r="X677" s="14">
        <v>7</v>
      </c>
      <c r="Y677" s="14" t="s">
        <v>47</v>
      </c>
      <c r="Z677" s="14">
        <v>5</v>
      </c>
      <c r="AA677" s="14" t="s">
        <v>47</v>
      </c>
    </row>
    <row r="678" spans="1:27" x14ac:dyDescent="0.35">
      <c r="A678" s="14" t="s">
        <v>1245</v>
      </c>
      <c r="B678" s="15">
        <v>46043</v>
      </c>
      <c r="C678" s="14" t="s">
        <v>1246</v>
      </c>
      <c r="D678" s="14" t="s">
        <v>42</v>
      </c>
      <c r="E678" s="14" t="s">
        <v>29</v>
      </c>
      <c r="F678" s="14">
        <v>26</v>
      </c>
      <c r="G678" s="14" t="s">
        <v>44</v>
      </c>
      <c r="H678" s="14" t="s">
        <v>31</v>
      </c>
      <c r="I678" s="14" t="s">
        <v>44</v>
      </c>
      <c r="J678" s="14" t="s">
        <v>32</v>
      </c>
      <c r="K678" s="14">
        <v>1</v>
      </c>
      <c r="L678" s="14">
        <v>30273</v>
      </c>
      <c r="M678" s="14">
        <v>0</v>
      </c>
      <c r="N678" s="14">
        <v>0</v>
      </c>
      <c r="O678" s="14">
        <v>5449.14</v>
      </c>
      <c r="P678" s="14">
        <v>128</v>
      </c>
      <c r="Q678" s="14">
        <f t="shared" si="10"/>
        <v>35722.14</v>
      </c>
      <c r="R678" s="14">
        <v>35850.14</v>
      </c>
      <c r="S678" s="14" t="s">
        <v>45</v>
      </c>
      <c r="T678" s="14" t="s">
        <v>34</v>
      </c>
      <c r="U678" s="14" t="s">
        <v>95</v>
      </c>
      <c r="V678" s="14" t="s">
        <v>96</v>
      </c>
      <c r="W678" s="14" t="s">
        <v>57</v>
      </c>
      <c r="X678" s="14">
        <v>3</v>
      </c>
      <c r="Y678" s="14" t="s">
        <v>47</v>
      </c>
      <c r="Z678" s="14">
        <v>2</v>
      </c>
      <c r="AA678" s="14" t="s">
        <v>91</v>
      </c>
    </row>
    <row r="679" spans="1:27" x14ac:dyDescent="0.35">
      <c r="A679" s="14" t="s">
        <v>1247</v>
      </c>
      <c r="B679" s="15">
        <v>45773</v>
      </c>
      <c r="C679" s="14" t="s">
        <v>1201</v>
      </c>
      <c r="D679" s="14" t="s">
        <v>89</v>
      </c>
      <c r="E679" s="14" t="s">
        <v>29</v>
      </c>
      <c r="F679" s="14">
        <v>46</v>
      </c>
      <c r="G679" s="14" t="s">
        <v>44</v>
      </c>
      <c r="H679" s="14" t="s">
        <v>31</v>
      </c>
      <c r="I679" s="14" t="s">
        <v>44</v>
      </c>
      <c r="J679" s="14" t="s">
        <v>75</v>
      </c>
      <c r="K679" s="14">
        <v>5</v>
      </c>
      <c r="L679" s="14">
        <v>35557</v>
      </c>
      <c r="M679" s="14">
        <v>20</v>
      </c>
      <c r="N679" s="14">
        <v>35557</v>
      </c>
      <c r="O679" s="14">
        <v>25601.040000000001</v>
      </c>
      <c r="P679" s="14">
        <v>86</v>
      </c>
      <c r="Q679" s="14">
        <f t="shared" si="10"/>
        <v>167829.04</v>
      </c>
      <c r="R679" s="14">
        <v>167915.04</v>
      </c>
      <c r="S679" s="14" t="s">
        <v>54</v>
      </c>
      <c r="T679" s="14" t="s">
        <v>34</v>
      </c>
      <c r="U679" s="14" t="s">
        <v>35</v>
      </c>
      <c r="V679" s="14" t="s">
        <v>36</v>
      </c>
      <c r="W679" s="14" t="s">
        <v>37</v>
      </c>
      <c r="X679" s="14">
        <v>9</v>
      </c>
      <c r="Y679" s="14" t="s">
        <v>47</v>
      </c>
      <c r="Z679" s="14">
        <v>1</v>
      </c>
      <c r="AA679" s="14" t="s">
        <v>47</v>
      </c>
    </row>
    <row r="680" spans="1:27" x14ac:dyDescent="0.35">
      <c r="A680" s="14" t="s">
        <v>1248</v>
      </c>
      <c r="B680" s="15">
        <v>45858</v>
      </c>
      <c r="C680" s="14" t="s">
        <v>1249</v>
      </c>
      <c r="D680" s="14" t="s">
        <v>73</v>
      </c>
      <c r="E680" s="14" t="s">
        <v>43</v>
      </c>
      <c r="F680" s="14">
        <v>43</v>
      </c>
      <c r="G680" s="14" t="s">
        <v>90</v>
      </c>
      <c r="H680" s="14" t="s">
        <v>31</v>
      </c>
      <c r="I680" s="14" t="s">
        <v>90</v>
      </c>
      <c r="J680" s="14" t="s">
        <v>125</v>
      </c>
      <c r="K680" s="14">
        <v>4</v>
      </c>
      <c r="L680" s="14">
        <v>43332</v>
      </c>
      <c r="M680" s="14">
        <v>20</v>
      </c>
      <c r="N680" s="14">
        <v>34665.599999999999</v>
      </c>
      <c r="O680" s="14">
        <v>24959.23</v>
      </c>
      <c r="P680" s="14">
        <v>354</v>
      </c>
      <c r="Q680" s="14">
        <f t="shared" si="10"/>
        <v>163621.63</v>
      </c>
      <c r="R680" s="14">
        <v>163975.63</v>
      </c>
      <c r="S680" s="14" t="s">
        <v>54</v>
      </c>
      <c r="T680" s="14" t="s">
        <v>63</v>
      </c>
      <c r="U680" s="14" t="s">
        <v>95</v>
      </c>
      <c r="V680" s="14" t="s">
        <v>96</v>
      </c>
      <c r="W680" s="14" t="s">
        <v>57</v>
      </c>
      <c r="X680" s="14">
        <v>1</v>
      </c>
      <c r="Y680" s="14" t="s">
        <v>47</v>
      </c>
      <c r="Z680" s="14">
        <v>4</v>
      </c>
      <c r="AA680" s="14" t="s">
        <v>39</v>
      </c>
    </row>
    <row r="681" spans="1:27" x14ac:dyDescent="0.35">
      <c r="A681" s="14" t="s">
        <v>1250</v>
      </c>
      <c r="B681" s="15">
        <v>45794</v>
      </c>
      <c r="C681" s="14" t="s">
        <v>1188</v>
      </c>
      <c r="D681" s="14" t="s">
        <v>50</v>
      </c>
      <c r="E681" s="14" t="s">
        <v>43</v>
      </c>
      <c r="F681" s="14">
        <v>41</v>
      </c>
      <c r="G681" s="14" t="s">
        <v>134</v>
      </c>
      <c r="H681" s="14" t="s">
        <v>31</v>
      </c>
      <c r="I681" s="14" t="s">
        <v>134</v>
      </c>
      <c r="J681" s="14" t="s">
        <v>125</v>
      </c>
      <c r="K681" s="14">
        <v>5</v>
      </c>
      <c r="L681" s="14">
        <v>10495</v>
      </c>
      <c r="M681" s="14">
        <v>10</v>
      </c>
      <c r="N681" s="14">
        <v>5247.5</v>
      </c>
      <c r="O681" s="14">
        <v>8500.9500000000007</v>
      </c>
      <c r="P681" s="14">
        <v>92</v>
      </c>
      <c r="Q681" s="14">
        <f t="shared" si="10"/>
        <v>55728.45</v>
      </c>
      <c r="R681" s="14">
        <v>55820.45</v>
      </c>
      <c r="S681" s="14" t="s">
        <v>83</v>
      </c>
      <c r="T681" s="14" t="s">
        <v>63</v>
      </c>
      <c r="U681" s="14" t="s">
        <v>70</v>
      </c>
      <c r="V681" s="14" t="s">
        <v>56</v>
      </c>
      <c r="W681" s="14" t="s">
        <v>57</v>
      </c>
      <c r="X681" s="14">
        <v>8</v>
      </c>
      <c r="Y681" s="14" t="s">
        <v>38</v>
      </c>
      <c r="Z681" s="14">
        <v>4</v>
      </c>
      <c r="AA681" s="14" t="s">
        <v>39</v>
      </c>
    </row>
    <row r="682" spans="1:27" x14ac:dyDescent="0.35">
      <c r="A682" s="14" t="s">
        <v>1251</v>
      </c>
      <c r="B682" s="15">
        <v>45959</v>
      </c>
      <c r="C682" s="14" t="s">
        <v>242</v>
      </c>
      <c r="D682" s="14" t="s">
        <v>50</v>
      </c>
      <c r="E682" s="14" t="s">
        <v>29</v>
      </c>
      <c r="F682" s="14">
        <v>19</v>
      </c>
      <c r="G682" s="14" t="s">
        <v>94</v>
      </c>
      <c r="H682" s="14" t="s">
        <v>31</v>
      </c>
      <c r="I682" s="14" t="s">
        <v>94</v>
      </c>
      <c r="J682" s="14" t="s">
        <v>102</v>
      </c>
      <c r="K682" s="14">
        <v>4</v>
      </c>
      <c r="L682" s="14">
        <v>8623</v>
      </c>
      <c r="M682" s="14">
        <v>5</v>
      </c>
      <c r="N682" s="14">
        <v>1724.6</v>
      </c>
      <c r="O682" s="14">
        <v>5898.13</v>
      </c>
      <c r="P682" s="14">
        <v>358</v>
      </c>
      <c r="Q682" s="14">
        <f t="shared" si="10"/>
        <v>38665.53</v>
      </c>
      <c r="R682" s="14">
        <v>39023.53</v>
      </c>
      <c r="S682" s="14" t="s">
        <v>33</v>
      </c>
      <c r="T682" s="14" t="s">
        <v>63</v>
      </c>
      <c r="U682" s="14" t="s">
        <v>95</v>
      </c>
      <c r="V682" s="14" t="s">
        <v>96</v>
      </c>
      <c r="W682" s="14" t="s">
        <v>57</v>
      </c>
      <c r="X682" s="14">
        <v>9</v>
      </c>
      <c r="Y682" s="14" t="s">
        <v>47</v>
      </c>
      <c r="Z682" s="14">
        <v>2</v>
      </c>
      <c r="AA682" s="14" t="s">
        <v>47</v>
      </c>
    </row>
    <row r="683" spans="1:27" x14ac:dyDescent="0.35">
      <c r="A683" s="14" t="s">
        <v>1252</v>
      </c>
      <c r="B683" s="15">
        <v>45798</v>
      </c>
      <c r="C683" s="14" t="s">
        <v>168</v>
      </c>
      <c r="D683" s="14" t="s">
        <v>28</v>
      </c>
      <c r="E683" s="14" t="s">
        <v>43</v>
      </c>
      <c r="F683" s="14">
        <v>33</v>
      </c>
      <c r="G683" s="14" t="s">
        <v>90</v>
      </c>
      <c r="H683" s="14" t="s">
        <v>31</v>
      </c>
      <c r="I683" s="14" t="s">
        <v>90</v>
      </c>
      <c r="J683" s="14" t="s">
        <v>150</v>
      </c>
      <c r="K683" s="14">
        <v>1</v>
      </c>
      <c r="L683" s="14">
        <v>12855</v>
      </c>
      <c r="M683" s="14">
        <v>0</v>
      </c>
      <c r="N683" s="14">
        <v>0</v>
      </c>
      <c r="O683" s="14">
        <v>2313.9</v>
      </c>
      <c r="P683" s="14">
        <v>289</v>
      </c>
      <c r="Q683" s="14">
        <f t="shared" si="10"/>
        <v>15168.9</v>
      </c>
      <c r="R683" s="14">
        <v>15457.9</v>
      </c>
      <c r="S683" s="14" t="s">
        <v>83</v>
      </c>
      <c r="T683" s="14" t="s">
        <v>63</v>
      </c>
      <c r="U683" s="14" t="s">
        <v>55</v>
      </c>
      <c r="V683" s="14" t="s">
        <v>56</v>
      </c>
      <c r="W683" s="14" t="s">
        <v>57</v>
      </c>
      <c r="X683" s="14">
        <v>1</v>
      </c>
      <c r="Y683" s="14" t="s">
        <v>47</v>
      </c>
      <c r="Z683" s="14">
        <v>2</v>
      </c>
      <c r="AA683" s="14" t="s">
        <v>39</v>
      </c>
    </row>
    <row r="684" spans="1:27" x14ac:dyDescent="0.35">
      <c r="A684" s="14" t="s">
        <v>1253</v>
      </c>
      <c r="B684" s="15">
        <v>45845</v>
      </c>
      <c r="C684" s="14" t="s">
        <v>1254</v>
      </c>
      <c r="D684" s="14" t="s">
        <v>50</v>
      </c>
      <c r="E684" s="14" t="s">
        <v>29</v>
      </c>
      <c r="F684" s="14">
        <v>38</v>
      </c>
      <c r="G684" s="14" t="s">
        <v>99</v>
      </c>
      <c r="H684" s="14" t="s">
        <v>52</v>
      </c>
      <c r="I684" s="14" t="s">
        <v>99</v>
      </c>
      <c r="J684" s="14" t="s">
        <v>150</v>
      </c>
      <c r="K684" s="14">
        <v>5</v>
      </c>
      <c r="L684" s="14">
        <v>7313</v>
      </c>
      <c r="M684" s="14">
        <v>10</v>
      </c>
      <c r="N684" s="14">
        <v>3656.5</v>
      </c>
      <c r="O684" s="14">
        <v>5923.53</v>
      </c>
      <c r="P684" s="14">
        <v>78</v>
      </c>
      <c r="Q684" s="14">
        <f t="shared" si="10"/>
        <v>38832.03</v>
      </c>
      <c r="R684" s="14">
        <v>38910.03</v>
      </c>
      <c r="S684" s="14" t="s">
        <v>45</v>
      </c>
      <c r="T684" s="14" t="s">
        <v>34</v>
      </c>
      <c r="U684" s="14" t="s">
        <v>95</v>
      </c>
      <c r="V684" s="14" t="s">
        <v>96</v>
      </c>
      <c r="W684" s="14" t="s">
        <v>57</v>
      </c>
      <c r="X684" s="14">
        <v>1</v>
      </c>
      <c r="Y684" s="14" t="s">
        <v>47</v>
      </c>
      <c r="Z684" s="14">
        <v>3</v>
      </c>
      <c r="AA684" s="14" t="s">
        <v>91</v>
      </c>
    </row>
    <row r="685" spans="1:27" x14ac:dyDescent="0.35">
      <c r="A685" s="14" t="s">
        <v>1255</v>
      </c>
      <c r="B685" s="15">
        <v>45783</v>
      </c>
      <c r="C685" s="14" t="s">
        <v>1256</v>
      </c>
      <c r="D685" s="14" t="s">
        <v>89</v>
      </c>
      <c r="E685" s="14" t="s">
        <v>29</v>
      </c>
      <c r="F685" s="14">
        <v>29</v>
      </c>
      <c r="G685" s="14" t="s">
        <v>90</v>
      </c>
      <c r="H685" s="14" t="s">
        <v>31</v>
      </c>
      <c r="I685" s="14" t="s">
        <v>90</v>
      </c>
      <c r="J685" s="14" t="s">
        <v>102</v>
      </c>
      <c r="K685" s="14">
        <v>1</v>
      </c>
      <c r="L685" s="14">
        <v>19819</v>
      </c>
      <c r="M685" s="14">
        <v>0</v>
      </c>
      <c r="N685" s="14">
        <v>0</v>
      </c>
      <c r="O685" s="14">
        <v>3567.42</v>
      </c>
      <c r="P685" s="14">
        <v>273</v>
      </c>
      <c r="Q685" s="14">
        <f t="shared" si="10"/>
        <v>23386.42</v>
      </c>
      <c r="R685" s="14">
        <v>23659.42</v>
      </c>
      <c r="S685" s="14" t="s">
        <v>33</v>
      </c>
      <c r="T685" s="14" t="s">
        <v>63</v>
      </c>
      <c r="U685" s="14" t="s">
        <v>35</v>
      </c>
      <c r="V685" s="14" t="s">
        <v>36</v>
      </c>
      <c r="W685" s="14" t="s">
        <v>37</v>
      </c>
      <c r="X685" s="14">
        <v>3</v>
      </c>
      <c r="Y685" s="14" t="s">
        <v>47</v>
      </c>
      <c r="Z685" s="14">
        <v>2</v>
      </c>
      <c r="AA685" s="14" t="s">
        <v>39</v>
      </c>
    </row>
    <row r="686" spans="1:27" x14ac:dyDescent="0.35">
      <c r="A686" s="14" t="s">
        <v>1257</v>
      </c>
      <c r="B686" s="15">
        <v>45917</v>
      </c>
      <c r="C686" s="14" t="s">
        <v>1258</v>
      </c>
      <c r="D686" s="14" t="s">
        <v>89</v>
      </c>
      <c r="E686" s="14" t="s">
        <v>43</v>
      </c>
      <c r="F686" s="14">
        <v>30</v>
      </c>
      <c r="G686" s="14" t="s">
        <v>30</v>
      </c>
      <c r="H686" s="14" t="s">
        <v>31</v>
      </c>
      <c r="I686" s="14" t="s">
        <v>30</v>
      </c>
      <c r="J686" s="14" t="s">
        <v>125</v>
      </c>
      <c r="K686" s="14">
        <v>5</v>
      </c>
      <c r="L686" s="14">
        <v>49125</v>
      </c>
      <c r="M686" s="14">
        <v>0</v>
      </c>
      <c r="N686" s="14">
        <v>0</v>
      </c>
      <c r="O686" s="14">
        <v>44212.5</v>
      </c>
      <c r="P686" s="14">
        <v>132</v>
      </c>
      <c r="Q686" s="14">
        <f t="shared" si="10"/>
        <v>289837.5</v>
      </c>
      <c r="R686" s="14">
        <v>289969.5</v>
      </c>
      <c r="S686" s="14" t="s">
        <v>54</v>
      </c>
      <c r="T686" s="14" t="s">
        <v>63</v>
      </c>
      <c r="U686" s="14" t="s">
        <v>95</v>
      </c>
      <c r="V686" s="14" t="s">
        <v>96</v>
      </c>
      <c r="W686" s="14" t="s">
        <v>57</v>
      </c>
      <c r="X686" s="14">
        <v>2</v>
      </c>
      <c r="Y686" s="14" t="s">
        <v>38</v>
      </c>
      <c r="Z686" s="14">
        <v>1</v>
      </c>
      <c r="AA686" s="14" t="s">
        <v>58</v>
      </c>
    </row>
    <row r="687" spans="1:27" x14ac:dyDescent="0.35">
      <c r="A687" s="14" t="s">
        <v>1259</v>
      </c>
      <c r="B687" s="15">
        <v>46090</v>
      </c>
      <c r="C687" s="14" t="s">
        <v>976</v>
      </c>
      <c r="D687" s="14" t="s">
        <v>61</v>
      </c>
      <c r="E687" s="14" t="s">
        <v>29</v>
      </c>
      <c r="F687" s="14">
        <v>56</v>
      </c>
      <c r="G687" s="14" t="s">
        <v>67</v>
      </c>
      <c r="H687" s="14" t="s">
        <v>68</v>
      </c>
      <c r="I687" s="14" t="s">
        <v>67</v>
      </c>
      <c r="J687" s="14" t="s">
        <v>69</v>
      </c>
      <c r="K687" s="14">
        <v>3</v>
      </c>
      <c r="L687" s="14">
        <v>40023</v>
      </c>
      <c r="M687" s="14">
        <v>5</v>
      </c>
      <c r="N687" s="14">
        <v>6003.45</v>
      </c>
      <c r="O687" s="14">
        <v>20531.8</v>
      </c>
      <c r="P687" s="14">
        <v>233</v>
      </c>
      <c r="Q687" s="14">
        <f t="shared" si="10"/>
        <v>134597.35</v>
      </c>
      <c r="R687" s="14">
        <v>134830.35</v>
      </c>
      <c r="S687" s="14" t="s">
        <v>33</v>
      </c>
      <c r="T687" s="14" t="s">
        <v>63</v>
      </c>
      <c r="U687" s="14" t="s">
        <v>76</v>
      </c>
      <c r="V687" s="14" t="s">
        <v>77</v>
      </c>
      <c r="W687" s="14" t="s">
        <v>57</v>
      </c>
      <c r="X687" s="14">
        <v>1</v>
      </c>
      <c r="Y687" s="14" t="s">
        <v>38</v>
      </c>
      <c r="Z687" s="14">
        <v>2</v>
      </c>
      <c r="AA687" s="14" t="s">
        <v>39</v>
      </c>
    </row>
    <row r="688" spans="1:27" x14ac:dyDescent="0.35">
      <c r="A688" s="14" t="s">
        <v>1260</v>
      </c>
      <c r="B688" s="15">
        <v>45849</v>
      </c>
      <c r="C688" s="14" t="s">
        <v>735</v>
      </c>
      <c r="D688" s="14" t="s">
        <v>73</v>
      </c>
      <c r="E688" s="14" t="s">
        <v>29</v>
      </c>
      <c r="F688" s="14">
        <v>56</v>
      </c>
      <c r="G688" s="14" t="s">
        <v>30</v>
      </c>
      <c r="H688" s="14" t="s">
        <v>31</v>
      </c>
      <c r="I688" s="14" t="s">
        <v>30</v>
      </c>
      <c r="J688" s="14" t="s">
        <v>75</v>
      </c>
      <c r="K688" s="14">
        <v>1</v>
      </c>
      <c r="L688" s="14">
        <v>11177</v>
      </c>
      <c r="M688" s="14">
        <v>20</v>
      </c>
      <c r="N688" s="14">
        <v>2235.4</v>
      </c>
      <c r="O688" s="14">
        <v>1609.49</v>
      </c>
      <c r="P688" s="14">
        <v>174</v>
      </c>
      <c r="Q688" s="14">
        <f t="shared" si="10"/>
        <v>10551.09</v>
      </c>
      <c r="R688" s="14">
        <v>10725.09</v>
      </c>
      <c r="S688" s="14" t="s">
        <v>54</v>
      </c>
      <c r="T688" s="14" t="s">
        <v>63</v>
      </c>
      <c r="U688" s="14" t="s">
        <v>76</v>
      </c>
      <c r="V688" s="14" t="s">
        <v>77</v>
      </c>
      <c r="W688" s="14" t="s">
        <v>57</v>
      </c>
      <c r="X688" s="14">
        <v>10</v>
      </c>
      <c r="Y688" s="14" t="s">
        <v>38</v>
      </c>
      <c r="Z688" s="14">
        <v>5</v>
      </c>
      <c r="AA688" s="14" t="s">
        <v>47</v>
      </c>
    </row>
    <row r="689" spans="1:27" x14ac:dyDescent="0.35">
      <c r="A689" s="14" t="s">
        <v>1261</v>
      </c>
      <c r="B689" s="15">
        <v>45783</v>
      </c>
      <c r="C689" s="14" t="s">
        <v>424</v>
      </c>
      <c r="D689" s="14" t="s">
        <v>61</v>
      </c>
      <c r="E689" s="14" t="s">
        <v>29</v>
      </c>
      <c r="F689" s="14">
        <v>44</v>
      </c>
      <c r="G689" s="14" t="s">
        <v>74</v>
      </c>
      <c r="H689" s="14" t="s">
        <v>31</v>
      </c>
      <c r="I689" s="14" t="s">
        <v>74</v>
      </c>
      <c r="J689" s="14" t="s">
        <v>69</v>
      </c>
      <c r="K689" s="14">
        <v>4</v>
      </c>
      <c r="L689" s="14">
        <v>43124</v>
      </c>
      <c r="M689" s="14">
        <v>15</v>
      </c>
      <c r="N689" s="14">
        <v>25874.400000000001</v>
      </c>
      <c r="O689" s="14">
        <v>26391.89</v>
      </c>
      <c r="P689" s="14">
        <v>187</v>
      </c>
      <c r="Q689" s="14">
        <f t="shared" si="10"/>
        <v>173013.49</v>
      </c>
      <c r="R689" s="14">
        <v>173200.49</v>
      </c>
      <c r="S689" s="14" t="s">
        <v>33</v>
      </c>
      <c r="T689" s="14" t="s">
        <v>63</v>
      </c>
      <c r="U689" s="14" t="s">
        <v>103</v>
      </c>
      <c r="V689" s="14" t="s">
        <v>103</v>
      </c>
      <c r="W689" s="14" t="s">
        <v>57</v>
      </c>
      <c r="X689" s="14">
        <v>8</v>
      </c>
      <c r="Y689" s="14" t="s">
        <v>47</v>
      </c>
      <c r="Z689" s="14">
        <v>3</v>
      </c>
      <c r="AA689" s="14" t="s">
        <v>91</v>
      </c>
    </row>
    <row r="690" spans="1:27" x14ac:dyDescent="0.35">
      <c r="A690" s="14" t="s">
        <v>1262</v>
      </c>
      <c r="B690" s="15">
        <v>46033</v>
      </c>
      <c r="C690" s="14" t="s">
        <v>1263</v>
      </c>
      <c r="D690" s="14" t="s">
        <v>108</v>
      </c>
      <c r="E690" s="14" t="s">
        <v>29</v>
      </c>
      <c r="F690" s="14">
        <v>51</v>
      </c>
      <c r="G690" s="14" t="s">
        <v>74</v>
      </c>
      <c r="H690" s="14" t="s">
        <v>31</v>
      </c>
      <c r="I690" s="14" t="s">
        <v>74</v>
      </c>
      <c r="J690" s="14" t="s">
        <v>202</v>
      </c>
      <c r="K690" s="14">
        <v>1</v>
      </c>
      <c r="L690" s="14">
        <v>1063</v>
      </c>
      <c r="M690" s="14">
        <v>5</v>
      </c>
      <c r="N690" s="14">
        <v>53.15</v>
      </c>
      <c r="O690" s="14">
        <v>181.77</v>
      </c>
      <c r="P690" s="14">
        <v>2</v>
      </c>
      <c r="Q690" s="14">
        <f t="shared" si="10"/>
        <v>1191.6199999999999</v>
      </c>
      <c r="R690" s="14">
        <v>1193.6199999999999</v>
      </c>
      <c r="S690" s="14" t="s">
        <v>33</v>
      </c>
      <c r="T690" s="14" t="s">
        <v>34</v>
      </c>
      <c r="U690" s="14" t="s">
        <v>103</v>
      </c>
      <c r="V690" s="14" t="s">
        <v>103</v>
      </c>
      <c r="W690" s="14" t="s">
        <v>57</v>
      </c>
      <c r="X690" s="14">
        <v>6</v>
      </c>
      <c r="Y690" s="14" t="s">
        <v>47</v>
      </c>
      <c r="Z690" s="14">
        <v>5</v>
      </c>
      <c r="AA690" s="14" t="s">
        <v>39</v>
      </c>
    </row>
    <row r="691" spans="1:27" x14ac:dyDescent="0.35">
      <c r="A691" s="14" t="s">
        <v>1264</v>
      </c>
      <c r="B691" s="15">
        <v>46039</v>
      </c>
      <c r="C691" s="14" t="s">
        <v>679</v>
      </c>
      <c r="D691" s="14" t="s">
        <v>80</v>
      </c>
      <c r="E691" s="14" t="s">
        <v>43</v>
      </c>
      <c r="F691" s="14">
        <v>34</v>
      </c>
      <c r="G691" s="14" t="s">
        <v>74</v>
      </c>
      <c r="H691" s="14" t="s">
        <v>31</v>
      </c>
      <c r="I691" s="14" t="s">
        <v>74</v>
      </c>
      <c r="J691" s="14" t="s">
        <v>102</v>
      </c>
      <c r="K691" s="14">
        <v>2</v>
      </c>
      <c r="L691" s="14">
        <v>862</v>
      </c>
      <c r="M691" s="14">
        <v>0</v>
      </c>
      <c r="N691" s="14">
        <v>0</v>
      </c>
      <c r="O691" s="14">
        <v>310.32</v>
      </c>
      <c r="P691" s="14">
        <v>38</v>
      </c>
      <c r="Q691" s="14">
        <f t="shared" si="10"/>
        <v>2034.3200000000002</v>
      </c>
      <c r="R691" s="14">
        <v>2072.3200000000002</v>
      </c>
      <c r="S691" s="14" t="s">
        <v>54</v>
      </c>
      <c r="T691" s="14" t="s">
        <v>63</v>
      </c>
      <c r="U691" s="14" t="s">
        <v>70</v>
      </c>
      <c r="V691" s="14" t="s">
        <v>56</v>
      </c>
      <c r="W691" s="14" t="s">
        <v>57</v>
      </c>
      <c r="X691" s="14">
        <v>4</v>
      </c>
      <c r="Y691" s="14" t="s">
        <v>47</v>
      </c>
      <c r="Z691" s="14">
        <v>5</v>
      </c>
      <c r="AA691" s="14" t="s">
        <v>47</v>
      </c>
    </row>
    <row r="692" spans="1:27" x14ac:dyDescent="0.35">
      <c r="A692" s="14" t="s">
        <v>1265</v>
      </c>
      <c r="B692" s="15">
        <v>46103</v>
      </c>
      <c r="C692" s="14" t="s">
        <v>1266</v>
      </c>
      <c r="D692" s="14" t="s">
        <v>89</v>
      </c>
      <c r="E692" s="14" t="s">
        <v>29</v>
      </c>
      <c r="F692" s="14">
        <v>18</v>
      </c>
      <c r="G692" s="14" t="s">
        <v>99</v>
      </c>
      <c r="H692" s="14" t="s">
        <v>52</v>
      </c>
      <c r="I692" s="14" t="s">
        <v>99</v>
      </c>
      <c r="J692" s="14" t="s">
        <v>150</v>
      </c>
      <c r="K692" s="14">
        <v>3</v>
      </c>
      <c r="L692" s="14">
        <v>48398</v>
      </c>
      <c r="M692" s="14">
        <v>0</v>
      </c>
      <c r="N692" s="14">
        <v>0</v>
      </c>
      <c r="O692" s="14">
        <v>26134.92</v>
      </c>
      <c r="P692" s="14">
        <v>450</v>
      </c>
      <c r="Q692" s="14">
        <f t="shared" si="10"/>
        <v>171328.92</v>
      </c>
      <c r="R692" s="14">
        <v>171778.92</v>
      </c>
      <c r="S692" s="14" t="s">
        <v>83</v>
      </c>
      <c r="T692" s="14" t="s">
        <v>34</v>
      </c>
      <c r="U692" s="14" t="s">
        <v>46</v>
      </c>
      <c r="V692" s="14" t="s">
        <v>36</v>
      </c>
      <c r="W692" s="14" t="s">
        <v>37</v>
      </c>
      <c r="X692" s="14">
        <v>1</v>
      </c>
      <c r="Y692" s="14" t="s">
        <v>47</v>
      </c>
      <c r="Z692" s="14">
        <v>5</v>
      </c>
      <c r="AA692" s="14" t="s">
        <v>91</v>
      </c>
    </row>
    <row r="693" spans="1:27" x14ac:dyDescent="0.35">
      <c r="A693" s="14" t="s">
        <v>1267</v>
      </c>
      <c r="B693" s="15">
        <v>45981</v>
      </c>
      <c r="C693" s="14" t="s">
        <v>1268</v>
      </c>
      <c r="D693" s="14" t="s">
        <v>111</v>
      </c>
      <c r="E693" s="14" t="s">
        <v>43</v>
      </c>
      <c r="F693" s="14">
        <v>57</v>
      </c>
      <c r="G693" s="14" t="s">
        <v>134</v>
      </c>
      <c r="H693" s="14" t="s">
        <v>31</v>
      </c>
      <c r="I693" s="14" t="s">
        <v>134</v>
      </c>
      <c r="J693" s="14" t="s">
        <v>102</v>
      </c>
      <c r="K693" s="14">
        <v>4</v>
      </c>
      <c r="L693" s="14">
        <v>39778</v>
      </c>
      <c r="M693" s="14">
        <v>10</v>
      </c>
      <c r="N693" s="14">
        <v>15911.2</v>
      </c>
      <c r="O693" s="14">
        <v>25776.14</v>
      </c>
      <c r="P693" s="14">
        <v>252</v>
      </c>
      <c r="Q693" s="14">
        <f t="shared" si="10"/>
        <v>168976.94</v>
      </c>
      <c r="R693" s="14">
        <v>169228.94</v>
      </c>
      <c r="S693" s="14" t="s">
        <v>33</v>
      </c>
      <c r="T693" s="14" t="s">
        <v>34</v>
      </c>
      <c r="U693" s="14" t="s">
        <v>70</v>
      </c>
      <c r="V693" s="14" t="s">
        <v>56</v>
      </c>
      <c r="W693" s="14" t="s">
        <v>57</v>
      </c>
      <c r="X693" s="14">
        <v>6</v>
      </c>
      <c r="Y693" s="14" t="s">
        <v>47</v>
      </c>
      <c r="Z693" s="14">
        <v>5</v>
      </c>
      <c r="AA693" s="14" t="s">
        <v>39</v>
      </c>
    </row>
    <row r="694" spans="1:27" x14ac:dyDescent="0.35">
      <c r="A694" s="14" t="s">
        <v>1269</v>
      </c>
      <c r="B694" s="15">
        <v>45859</v>
      </c>
      <c r="C694" s="14" t="s">
        <v>1270</v>
      </c>
      <c r="D694" s="14" t="s">
        <v>42</v>
      </c>
      <c r="E694" s="14" t="s">
        <v>29</v>
      </c>
      <c r="F694" s="14">
        <v>42</v>
      </c>
      <c r="G694" s="14" t="s">
        <v>99</v>
      </c>
      <c r="H694" s="14" t="s">
        <v>52</v>
      </c>
      <c r="I694" s="14" t="s">
        <v>99</v>
      </c>
      <c r="J694" s="14" t="s">
        <v>125</v>
      </c>
      <c r="K694" s="14">
        <v>2</v>
      </c>
      <c r="L694" s="14">
        <v>25407</v>
      </c>
      <c r="M694" s="14">
        <v>0</v>
      </c>
      <c r="N694" s="14">
        <v>0</v>
      </c>
      <c r="O694" s="14">
        <v>9146.52</v>
      </c>
      <c r="P694" s="14">
        <v>193</v>
      </c>
      <c r="Q694" s="14">
        <f t="shared" si="10"/>
        <v>59960.52</v>
      </c>
      <c r="R694" s="14">
        <v>60153.52</v>
      </c>
      <c r="S694" s="14" t="s">
        <v>83</v>
      </c>
      <c r="T694" s="14" t="s">
        <v>34</v>
      </c>
      <c r="U694" s="14" t="s">
        <v>55</v>
      </c>
      <c r="V694" s="14" t="s">
        <v>56</v>
      </c>
      <c r="W694" s="14" t="s">
        <v>57</v>
      </c>
      <c r="X694" s="14">
        <v>5</v>
      </c>
      <c r="Y694" s="14" t="s">
        <v>38</v>
      </c>
      <c r="Z694" s="14">
        <v>3</v>
      </c>
      <c r="AA694" s="14" t="s">
        <v>91</v>
      </c>
    </row>
    <row r="695" spans="1:27" x14ac:dyDescent="0.35">
      <c r="A695" s="14" t="s">
        <v>1271</v>
      </c>
      <c r="B695" s="15">
        <v>45761</v>
      </c>
      <c r="C695" s="14" t="s">
        <v>1272</v>
      </c>
      <c r="D695" s="14" t="s">
        <v>61</v>
      </c>
      <c r="E695" s="14" t="s">
        <v>43</v>
      </c>
      <c r="F695" s="14">
        <v>33</v>
      </c>
      <c r="G695" s="14" t="s">
        <v>67</v>
      </c>
      <c r="H695" s="14" t="s">
        <v>68</v>
      </c>
      <c r="I695" s="14" t="s">
        <v>67</v>
      </c>
      <c r="J695" s="14" t="s">
        <v>62</v>
      </c>
      <c r="K695" s="14">
        <v>1</v>
      </c>
      <c r="L695" s="14">
        <v>34030</v>
      </c>
      <c r="M695" s="14">
        <v>5</v>
      </c>
      <c r="N695" s="14">
        <v>1701.5</v>
      </c>
      <c r="O695" s="14">
        <v>5819.13</v>
      </c>
      <c r="P695" s="14">
        <v>148</v>
      </c>
      <c r="Q695" s="14">
        <f t="shared" si="10"/>
        <v>38147.629999999997</v>
      </c>
      <c r="R695" s="14">
        <v>38295.629999999997</v>
      </c>
      <c r="S695" s="14" t="s">
        <v>33</v>
      </c>
      <c r="T695" s="14" t="s">
        <v>34</v>
      </c>
      <c r="U695" s="14" t="s">
        <v>70</v>
      </c>
      <c r="V695" s="14" t="s">
        <v>56</v>
      </c>
      <c r="W695" s="14" t="s">
        <v>57</v>
      </c>
      <c r="X695" s="14">
        <v>5</v>
      </c>
      <c r="Y695" s="14" t="s">
        <v>47</v>
      </c>
      <c r="Z695" s="14">
        <v>5</v>
      </c>
      <c r="AA695" s="14" t="s">
        <v>39</v>
      </c>
    </row>
    <row r="696" spans="1:27" x14ac:dyDescent="0.35">
      <c r="A696" s="14" t="s">
        <v>1273</v>
      </c>
      <c r="B696" s="15">
        <v>45761</v>
      </c>
      <c r="C696" s="14" t="s">
        <v>1274</v>
      </c>
      <c r="D696" s="14" t="s">
        <v>28</v>
      </c>
      <c r="E696" s="14" t="s">
        <v>29</v>
      </c>
      <c r="F696" s="14">
        <v>55</v>
      </c>
      <c r="G696" s="14" t="s">
        <v>44</v>
      </c>
      <c r="H696" s="14" t="s">
        <v>31</v>
      </c>
      <c r="I696" s="14" t="s">
        <v>44</v>
      </c>
      <c r="J696" s="14" t="s">
        <v>125</v>
      </c>
      <c r="K696" s="14">
        <v>2</v>
      </c>
      <c r="L696" s="14">
        <v>27846</v>
      </c>
      <c r="M696" s="14">
        <v>20</v>
      </c>
      <c r="N696" s="14">
        <v>11138.4</v>
      </c>
      <c r="O696" s="14">
        <v>8019.65</v>
      </c>
      <c r="P696" s="14">
        <v>421</v>
      </c>
      <c r="Q696" s="14">
        <f t="shared" si="10"/>
        <v>52573.25</v>
      </c>
      <c r="R696" s="14">
        <v>52994.25</v>
      </c>
      <c r="S696" s="14" t="s">
        <v>83</v>
      </c>
      <c r="T696" s="14" t="s">
        <v>63</v>
      </c>
      <c r="U696" s="14" t="s">
        <v>103</v>
      </c>
      <c r="V696" s="14" t="s">
        <v>103</v>
      </c>
      <c r="W696" s="14" t="s">
        <v>57</v>
      </c>
      <c r="X696" s="14">
        <v>4</v>
      </c>
      <c r="Y696" s="14" t="s">
        <v>47</v>
      </c>
      <c r="Z696" s="14">
        <v>5</v>
      </c>
      <c r="AA696" s="14" t="s">
        <v>91</v>
      </c>
    </row>
    <row r="697" spans="1:27" x14ac:dyDescent="0.35">
      <c r="A697" s="14" t="s">
        <v>1275</v>
      </c>
      <c r="B697" s="15">
        <v>45954</v>
      </c>
      <c r="C697" s="14" t="s">
        <v>849</v>
      </c>
      <c r="D697" s="14" t="s">
        <v>66</v>
      </c>
      <c r="E697" s="14" t="s">
        <v>43</v>
      </c>
      <c r="F697" s="14">
        <v>52</v>
      </c>
      <c r="G697" s="14" t="s">
        <v>134</v>
      </c>
      <c r="H697" s="14" t="s">
        <v>31</v>
      </c>
      <c r="I697" s="14" t="s">
        <v>134</v>
      </c>
      <c r="J697" s="14" t="s">
        <v>75</v>
      </c>
      <c r="K697" s="14">
        <v>1</v>
      </c>
      <c r="L697" s="14">
        <v>38289</v>
      </c>
      <c r="M697" s="14">
        <v>15</v>
      </c>
      <c r="N697" s="14">
        <v>5743.35</v>
      </c>
      <c r="O697" s="14">
        <v>5858.22</v>
      </c>
      <c r="P697" s="14">
        <v>315</v>
      </c>
      <c r="Q697" s="14">
        <f t="shared" si="10"/>
        <v>38403.870000000003</v>
      </c>
      <c r="R697" s="14">
        <v>38718.870000000003</v>
      </c>
      <c r="S697" s="14" t="s">
        <v>33</v>
      </c>
      <c r="T697" s="14" t="s">
        <v>63</v>
      </c>
      <c r="U697" s="14" t="s">
        <v>84</v>
      </c>
      <c r="V697" s="14" t="s">
        <v>85</v>
      </c>
      <c r="W697" s="14" t="s">
        <v>86</v>
      </c>
      <c r="X697" s="14">
        <v>3</v>
      </c>
      <c r="Y697" s="14" t="s">
        <v>47</v>
      </c>
      <c r="Z697" s="14">
        <v>2</v>
      </c>
      <c r="AA697" s="14" t="s">
        <v>58</v>
      </c>
    </row>
    <row r="698" spans="1:27" x14ac:dyDescent="0.35">
      <c r="A698" s="14" t="s">
        <v>1276</v>
      </c>
      <c r="B698" s="15">
        <v>45931</v>
      </c>
      <c r="C698" s="14" t="s">
        <v>1277</v>
      </c>
      <c r="D698" s="14" t="s">
        <v>73</v>
      </c>
      <c r="E698" s="14" t="s">
        <v>29</v>
      </c>
      <c r="F698" s="14">
        <v>46</v>
      </c>
      <c r="G698" s="14" t="s">
        <v>44</v>
      </c>
      <c r="H698" s="14" t="s">
        <v>31</v>
      </c>
      <c r="I698" s="14" t="s">
        <v>44</v>
      </c>
      <c r="J698" s="14" t="s">
        <v>75</v>
      </c>
      <c r="K698" s="14">
        <v>3</v>
      </c>
      <c r="L698" s="14">
        <v>40712</v>
      </c>
      <c r="M698" s="14">
        <v>0</v>
      </c>
      <c r="N698" s="14">
        <v>0</v>
      </c>
      <c r="O698" s="14">
        <v>21984.48</v>
      </c>
      <c r="P698" s="14">
        <v>238</v>
      </c>
      <c r="Q698" s="14">
        <f t="shared" si="10"/>
        <v>144120.48000000001</v>
      </c>
      <c r="R698" s="14">
        <v>144358.48000000001</v>
      </c>
      <c r="S698" s="14" t="s">
        <v>33</v>
      </c>
      <c r="T698" s="14" t="s">
        <v>63</v>
      </c>
      <c r="U698" s="14" t="s">
        <v>95</v>
      </c>
      <c r="V698" s="14" t="s">
        <v>96</v>
      </c>
      <c r="W698" s="14" t="s">
        <v>57</v>
      </c>
      <c r="X698" s="14">
        <v>5</v>
      </c>
      <c r="Y698" s="14" t="s">
        <v>38</v>
      </c>
      <c r="Z698" s="14">
        <v>5</v>
      </c>
      <c r="AA698" s="14" t="s">
        <v>58</v>
      </c>
    </row>
    <row r="699" spans="1:27" x14ac:dyDescent="0.35">
      <c r="A699" s="14" t="s">
        <v>1278</v>
      </c>
      <c r="B699" s="15">
        <v>45774</v>
      </c>
      <c r="C699" s="14" t="s">
        <v>672</v>
      </c>
      <c r="D699" s="14" t="s">
        <v>80</v>
      </c>
      <c r="E699" s="14" t="s">
        <v>29</v>
      </c>
      <c r="F699" s="14">
        <v>23</v>
      </c>
      <c r="G699" s="14" t="s">
        <v>44</v>
      </c>
      <c r="H699" s="14" t="s">
        <v>31</v>
      </c>
      <c r="I699" s="14" t="s">
        <v>44</v>
      </c>
      <c r="J699" s="14" t="s">
        <v>125</v>
      </c>
      <c r="K699" s="14">
        <v>1</v>
      </c>
      <c r="L699" s="14">
        <v>38286</v>
      </c>
      <c r="M699" s="14">
        <v>5</v>
      </c>
      <c r="N699" s="14">
        <v>1914.3</v>
      </c>
      <c r="O699" s="14">
        <v>6546.91</v>
      </c>
      <c r="P699" s="14">
        <v>264</v>
      </c>
      <c r="Q699" s="14">
        <f t="shared" si="10"/>
        <v>42918.61</v>
      </c>
      <c r="R699" s="14">
        <v>43182.61</v>
      </c>
      <c r="S699" s="14" t="s">
        <v>54</v>
      </c>
      <c r="T699" s="14" t="s">
        <v>63</v>
      </c>
      <c r="U699" s="14" t="s">
        <v>35</v>
      </c>
      <c r="V699" s="14" t="s">
        <v>36</v>
      </c>
      <c r="W699" s="14" t="s">
        <v>37</v>
      </c>
      <c r="X699" s="14">
        <v>4</v>
      </c>
      <c r="Y699" s="14" t="s">
        <v>47</v>
      </c>
      <c r="Z699" s="14">
        <v>4</v>
      </c>
      <c r="AA699" s="14" t="s">
        <v>91</v>
      </c>
    </row>
    <row r="700" spans="1:27" x14ac:dyDescent="0.35">
      <c r="A700" s="14" t="s">
        <v>1279</v>
      </c>
      <c r="B700" s="15">
        <v>45926</v>
      </c>
      <c r="C700" s="14" t="s">
        <v>1280</v>
      </c>
      <c r="D700" s="14" t="s">
        <v>50</v>
      </c>
      <c r="E700" s="14" t="s">
        <v>43</v>
      </c>
      <c r="F700" s="14">
        <v>21</v>
      </c>
      <c r="G700" s="14" t="s">
        <v>67</v>
      </c>
      <c r="H700" s="14" t="s">
        <v>68</v>
      </c>
      <c r="I700" s="14" t="s">
        <v>67</v>
      </c>
      <c r="J700" s="14" t="s">
        <v>150</v>
      </c>
      <c r="K700" s="14">
        <v>3</v>
      </c>
      <c r="L700" s="14">
        <v>38505</v>
      </c>
      <c r="M700" s="14">
        <v>10</v>
      </c>
      <c r="N700" s="14">
        <v>11551.5</v>
      </c>
      <c r="O700" s="14">
        <v>18713.43</v>
      </c>
      <c r="P700" s="14">
        <v>469</v>
      </c>
      <c r="Q700" s="14">
        <f t="shared" si="10"/>
        <v>122676.93</v>
      </c>
      <c r="R700" s="14">
        <v>123145.93</v>
      </c>
      <c r="S700" s="14" t="s">
        <v>83</v>
      </c>
      <c r="T700" s="14" t="s">
        <v>34</v>
      </c>
      <c r="U700" s="14" t="s">
        <v>95</v>
      </c>
      <c r="V700" s="14" t="s">
        <v>96</v>
      </c>
      <c r="W700" s="14" t="s">
        <v>57</v>
      </c>
      <c r="X700" s="14">
        <v>7</v>
      </c>
      <c r="Y700" s="14" t="s">
        <v>38</v>
      </c>
      <c r="Z700" s="14">
        <v>1</v>
      </c>
      <c r="AA700" s="14" t="s">
        <v>39</v>
      </c>
    </row>
    <row r="701" spans="1:27" x14ac:dyDescent="0.35">
      <c r="A701" s="14" t="s">
        <v>1281</v>
      </c>
      <c r="B701" s="15">
        <v>45835</v>
      </c>
      <c r="C701" s="14" t="s">
        <v>912</v>
      </c>
      <c r="D701" s="14" t="s">
        <v>50</v>
      </c>
      <c r="E701" s="14" t="s">
        <v>29</v>
      </c>
      <c r="F701" s="14">
        <v>41</v>
      </c>
      <c r="G701" s="14" t="s">
        <v>139</v>
      </c>
      <c r="H701" s="14" t="s">
        <v>31</v>
      </c>
      <c r="I701" s="14" t="s">
        <v>139</v>
      </c>
      <c r="J701" s="14" t="s">
        <v>75</v>
      </c>
      <c r="K701" s="14">
        <v>1</v>
      </c>
      <c r="L701" s="14">
        <v>37853</v>
      </c>
      <c r="M701" s="14">
        <v>20</v>
      </c>
      <c r="N701" s="14">
        <v>7570.6</v>
      </c>
      <c r="O701" s="14">
        <v>5450.83</v>
      </c>
      <c r="P701" s="14">
        <v>363</v>
      </c>
      <c r="Q701" s="14">
        <f t="shared" si="10"/>
        <v>35733.230000000003</v>
      </c>
      <c r="R701" s="14">
        <v>36096.230000000003</v>
      </c>
      <c r="S701" s="14" t="s">
        <v>54</v>
      </c>
      <c r="T701" s="14" t="s">
        <v>34</v>
      </c>
      <c r="U701" s="14" t="s">
        <v>84</v>
      </c>
      <c r="V701" s="14" t="s">
        <v>85</v>
      </c>
      <c r="W701" s="14" t="s">
        <v>86</v>
      </c>
      <c r="X701" s="14">
        <v>3</v>
      </c>
      <c r="Y701" s="14" t="s">
        <v>38</v>
      </c>
      <c r="Z701" s="14">
        <v>1</v>
      </c>
      <c r="AA701" s="14" t="s">
        <v>58</v>
      </c>
    </row>
    <row r="702" spans="1:27" x14ac:dyDescent="0.35">
      <c r="A702" s="14" t="s">
        <v>1282</v>
      </c>
      <c r="B702" s="15">
        <v>45848</v>
      </c>
      <c r="C702" s="14" t="s">
        <v>1283</v>
      </c>
      <c r="D702" s="14" t="s">
        <v>111</v>
      </c>
      <c r="E702" s="14" t="s">
        <v>29</v>
      </c>
      <c r="F702" s="14">
        <v>46</v>
      </c>
      <c r="G702" s="14" t="s">
        <v>139</v>
      </c>
      <c r="H702" s="14" t="s">
        <v>31</v>
      </c>
      <c r="I702" s="14" t="s">
        <v>139</v>
      </c>
      <c r="J702" s="14" t="s">
        <v>53</v>
      </c>
      <c r="K702" s="14">
        <v>1</v>
      </c>
      <c r="L702" s="14">
        <v>23378</v>
      </c>
      <c r="M702" s="14">
        <v>5</v>
      </c>
      <c r="N702" s="14">
        <v>1168.9000000000001</v>
      </c>
      <c r="O702" s="14">
        <v>3997.64</v>
      </c>
      <c r="P702" s="14">
        <v>1</v>
      </c>
      <c r="Q702" s="14">
        <f t="shared" si="10"/>
        <v>26206.74</v>
      </c>
      <c r="R702" s="14">
        <v>26207.74</v>
      </c>
      <c r="S702" s="14" t="s">
        <v>33</v>
      </c>
      <c r="T702" s="14" t="s">
        <v>34</v>
      </c>
      <c r="U702" s="14" t="s">
        <v>46</v>
      </c>
      <c r="V702" s="14" t="s">
        <v>36</v>
      </c>
      <c r="W702" s="14" t="s">
        <v>37</v>
      </c>
      <c r="X702" s="14">
        <v>5</v>
      </c>
      <c r="Y702" s="14" t="s">
        <v>38</v>
      </c>
      <c r="Z702" s="14">
        <v>3</v>
      </c>
      <c r="AA702" s="14" t="s">
        <v>91</v>
      </c>
    </row>
    <row r="703" spans="1:27" x14ac:dyDescent="0.35">
      <c r="A703" s="14" t="s">
        <v>1284</v>
      </c>
      <c r="B703" s="15">
        <v>45869</v>
      </c>
      <c r="C703" s="14" t="s">
        <v>1285</v>
      </c>
      <c r="D703" s="14" t="s">
        <v>28</v>
      </c>
      <c r="E703" s="14" t="s">
        <v>43</v>
      </c>
      <c r="F703" s="14">
        <v>48</v>
      </c>
      <c r="G703" s="14" t="s">
        <v>99</v>
      </c>
      <c r="H703" s="14" t="s">
        <v>52</v>
      </c>
      <c r="I703" s="14" t="s">
        <v>99</v>
      </c>
      <c r="J703" s="14" t="s">
        <v>53</v>
      </c>
      <c r="K703" s="14">
        <v>2</v>
      </c>
      <c r="L703" s="14">
        <v>34921</v>
      </c>
      <c r="M703" s="14">
        <v>5</v>
      </c>
      <c r="N703" s="14">
        <v>3492.1</v>
      </c>
      <c r="O703" s="14">
        <v>11942.98</v>
      </c>
      <c r="P703" s="14">
        <v>248</v>
      </c>
      <c r="Q703" s="14">
        <f t="shared" si="10"/>
        <v>78292.88</v>
      </c>
      <c r="R703" s="14">
        <v>78540.88</v>
      </c>
      <c r="S703" s="14" t="s">
        <v>33</v>
      </c>
      <c r="T703" s="14" t="s">
        <v>63</v>
      </c>
      <c r="U703" s="14" t="s">
        <v>95</v>
      </c>
      <c r="V703" s="14" t="s">
        <v>96</v>
      </c>
      <c r="W703" s="14" t="s">
        <v>57</v>
      </c>
      <c r="X703" s="14">
        <v>1</v>
      </c>
      <c r="Y703" s="14" t="s">
        <v>38</v>
      </c>
      <c r="Z703" s="14">
        <v>2</v>
      </c>
      <c r="AA703" s="14" t="s">
        <v>39</v>
      </c>
    </row>
    <row r="704" spans="1:27" x14ac:dyDescent="0.35">
      <c r="A704" s="14" t="s">
        <v>1286</v>
      </c>
      <c r="B704" s="15">
        <v>45790</v>
      </c>
      <c r="C704" s="14" t="s">
        <v>1287</v>
      </c>
      <c r="D704" s="14" t="s">
        <v>61</v>
      </c>
      <c r="E704" s="14" t="s">
        <v>43</v>
      </c>
      <c r="F704" s="14">
        <v>39</v>
      </c>
      <c r="G704" s="14" t="s">
        <v>90</v>
      </c>
      <c r="H704" s="14" t="s">
        <v>31</v>
      </c>
      <c r="I704" s="14" t="s">
        <v>90</v>
      </c>
      <c r="J704" s="14" t="s">
        <v>62</v>
      </c>
      <c r="K704" s="14">
        <v>4</v>
      </c>
      <c r="L704" s="14">
        <v>17871</v>
      </c>
      <c r="M704" s="14">
        <v>5</v>
      </c>
      <c r="N704" s="14">
        <v>3574.2</v>
      </c>
      <c r="O704" s="14">
        <v>12223.76</v>
      </c>
      <c r="P704" s="14">
        <v>178</v>
      </c>
      <c r="Q704" s="14">
        <f t="shared" si="10"/>
        <v>80133.56</v>
      </c>
      <c r="R704" s="14">
        <v>80311.56</v>
      </c>
      <c r="S704" s="14" t="s">
        <v>54</v>
      </c>
      <c r="T704" s="14" t="s">
        <v>63</v>
      </c>
      <c r="U704" s="14" t="s">
        <v>70</v>
      </c>
      <c r="V704" s="14" t="s">
        <v>56</v>
      </c>
      <c r="W704" s="14" t="s">
        <v>57</v>
      </c>
      <c r="X704" s="14">
        <v>8</v>
      </c>
      <c r="Y704" s="14" t="s">
        <v>38</v>
      </c>
      <c r="Z704" s="14">
        <v>5</v>
      </c>
      <c r="AA704" s="14" t="s">
        <v>47</v>
      </c>
    </row>
    <row r="705" spans="1:27" x14ac:dyDescent="0.35">
      <c r="A705" s="14" t="s">
        <v>1288</v>
      </c>
      <c r="B705" s="15">
        <v>46003</v>
      </c>
      <c r="C705" s="14" t="s">
        <v>835</v>
      </c>
      <c r="D705" s="14" t="s">
        <v>80</v>
      </c>
      <c r="E705" s="14" t="s">
        <v>29</v>
      </c>
      <c r="F705" s="14">
        <v>46</v>
      </c>
      <c r="G705" s="14" t="s">
        <v>94</v>
      </c>
      <c r="H705" s="14" t="s">
        <v>31</v>
      </c>
      <c r="I705" s="14" t="s">
        <v>94</v>
      </c>
      <c r="J705" s="14" t="s">
        <v>53</v>
      </c>
      <c r="K705" s="14">
        <v>4</v>
      </c>
      <c r="L705" s="14">
        <v>45708</v>
      </c>
      <c r="M705" s="14">
        <v>20</v>
      </c>
      <c r="N705" s="14">
        <v>36566.400000000001</v>
      </c>
      <c r="O705" s="14">
        <v>26327.81</v>
      </c>
      <c r="P705" s="14">
        <v>230</v>
      </c>
      <c r="Q705" s="14">
        <f t="shared" si="10"/>
        <v>172593.41</v>
      </c>
      <c r="R705" s="14">
        <v>172823.41</v>
      </c>
      <c r="S705" s="14" t="s">
        <v>33</v>
      </c>
      <c r="T705" s="14" t="s">
        <v>34</v>
      </c>
      <c r="U705" s="14" t="s">
        <v>103</v>
      </c>
      <c r="V705" s="14" t="s">
        <v>103</v>
      </c>
      <c r="W705" s="14" t="s">
        <v>57</v>
      </c>
      <c r="X705" s="14">
        <v>10</v>
      </c>
      <c r="Y705" s="14" t="s">
        <v>47</v>
      </c>
      <c r="Z705" s="14">
        <v>4</v>
      </c>
      <c r="AA705" s="14" t="s">
        <v>47</v>
      </c>
    </row>
    <row r="706" spans="1:27" x14ac:dyDescent="0.35">
      <c r="A706" s="14" t="s">
        <v>1289</v>
      </c>
      <c r="B706" s="15">
        <v>45867</v>
      </c>
      <c r="C706" s="14" t="s">
        <v>1290</v>
      </c>
      <c r="D706" s="14" t="s">
        <v>61</v>
      </c>
      <c r="E706" s="14" t="s">
        <v>29</v>
      </c>
      <c r="F706" s="14">
        <v>45</v>
      </c>
      <c r="G706" s="14" t="s">
        <v>51</v>
      </c>
      <c r="H706" s="14" t="s">
        <v>52</v>
      </c>
      <c r="I706" s="14" t="s">
        <v>51</v>
      </c>
      <c r="J706" s="14" t="s">
        <v>102</v>
      </c>
      <c r="K706" s="14">
        <v>4</v>
      </c>
      <c r="L706" s="14">
        <v>30414</v>
      </c>
      <c r="M706" s="14">
        <v>5</v>
      </c>
      <c r="N706" s="14">
        <v>6082.8</v>
      </c>
      <c r="O706" s="14">
        <v>20803.18</v>
      </c>
      <c r="P706" s="14">
        <v>367</v>
      </c>
      <c r="Q706" s="14">
        <f t="shared" si="10"/>
        <v>136376.38</v>
      </c>
      <c r="R706" s="14">
        <v>136743.38</v>
      </c>
      <c r="S706" s="14" t="s">
        <v>33</v>
      </c>
      <c r="T706" s="14" t="s">
        <v>63</v>
      </c>
      <c r="U706" s="14" t="s">
        <v>76</v>
      </c>
      <c r="V706" s="14" t="s">
        <v>77</v>
      </c>
      <c r="W706" s="14" t="s">
        <v>57</v>
      </c>
      <c r="X706" s="14">
        <v>8</v>
      </c>
      <c r="Y706" s="14" t="s">
        <v>38</v>
      </c>
      <c r="Z706" s="14">
        <v>4</v>
      </c>
      <c r="AA706" s="14" t="s">
        <v>91</v>
      </c>
    </row>
    <row r="707" spans="1:27" x14ac:dyDescent="0.35">
      <c r="A707" s="14" t="s">
        <v>1291</v>
      </c>
      <c r="B707" s="15">
        <v>45963</v>
      </c>
      <c r="C707" s="14" t="s">
        <v>1292</v>
      </c>
      <c r="D707" s="14" t="s">
        <v>80</v>
      </c>
      <c r="E707" s="14" t="s">
        <v>43</v>
      </c>
      <c r="F707" s="14">
        <v>28</v>
      </c>
      <c r="G707" s="14" t="s">
        <v>90</v>
      </c>
      <c r="H707" s="14" t="s">
        <v>31</v>
      </c>
      <c r="I707" s="14" t="s">
        <v>90</v>
      </c>
      <c r="J707" s="14" t="s">
        <v>32</v>
      </c>
      <c r="K707" s="14">
        <v>3</v>
      </c>
      <c r="L707" s="14">
        <v>20894</v>
      </c>
      <c r="M707" s="14">
        <v>15</v>
      </c>
      <c r="N707" s="14">
        <v>9402.2999999999993</v>
      </c>
      <c r="O707" s="14">
        <v>9590.35</v>
      </c>
      <c r="P707" s="14">
        <v>68</v>
      </c>
      <c r="Q707" s="14">
        <f t="shared" ref="Q707:Q770" si="11">R707-P707</f>
        <v>62870.05</v>
      </c>
      <c r="R707" s="14">
        <v>62938.05</v>
      </c>
      <c r="S707" s="14" t="s">
        <v>54</v>
      </c>
      <c r="T707" s="14" t="s">
        <v>63</v>
      </c>
      <c r="U707" s="14" t="s">
        <v>35</v>
      </c>
      <c r="V707" s="14" t="s">
        <v>36</v>
      </c>
      <c r="W707" s="14" t="s">
        <v>37</v>
      </c>
      <c r="X707" s="14">
        <v>1</v>
      </c>
      <c r="Y707" s="14" t="s">
        <v>47</v>
      </c>
      <c r="Z707" s="14">
        <v>5</v>
      </c>
      <c r="AA707" s="14" t="s">
        <v>58</v>
      </c>
    </row>
    <row r="708" spans="1:27" x14ac:dyDescent="0.35">
      <c r="A708" s="14" t="s">
        <v>1293</v>
      </c>
      <c r="B708" s="15">
        <v>46001</v>
      </c>
      <c r="C708" s="14" t="s">
        <v>1294</v>
      </c>
      <c r="D708" s="14" t="s">
        <v>66</v>
      </c>
      <c r="E708" s="14" t="s">
        <v>29</v>
      </c>
      <c r="F708" s="14">
        <v>35</v>
      </c>
      <c r="G708" s="14" t="s">
        <v>99</v>
      </c>
      <c r="H708" s="14" t="s">
        <v>52</v>
      </c>
      <c r="I708" s="14" t="s">
        <v>99</v>
      </c>
      <c r="J708" s="14" t="s">
        <v>150</v>
      </c>
      <c r="K708" s="14">
        <v>1</v>
      </c>
      <c r="L708" s="14">
        <v>9009</v>
      </c>
      <c r="M708" s="14">
        <v>15</v>
      </c>
      <c r="N708" s="14">
        <v>1351.35</v>
      </c>
      <c r="O708" s="14">
        <v>1378.38</v>
      </c>
      <c r="P708" s="14">
        <v>466</v>
      </c>
      <c r="Q708" s="14">
        <f t="shared" si="11"/>
        <v>9036.0300000000007</v>
      </c>
      <c r="R708" s="14">
        <v>9502.0300000000007</v>
      </c>
      <c r="S708" s="14" t="s">
        <v>54</v>
      </c>
      <c r="T708" s="14" t="s">
        <v>63</v>
      </c>
      <c r="U708" s="14" t="s">
        <v>76</v>
      </c>
      <c r="V708" s="14" t="s">
        <v>77</v>
      </c>
      <c r="W708" s="14" t="s">
        <v>57</v>
      </c>
      <c r="X708" s="14">
        <v>7</v>
      </c>
      <c r="Y708" s="14" t="s">
        <v>47</v>
      </c>
      <c r="Z708" s="14">
        <v>3</v>
      </c>
      <c r="AA708" s="14" t="s">
        <v>39</v>
      </c>
    </row>
    <row r="709" spans="1:27" x14ac:dyDescent="0.35">
      <c r="A709" s="14" t="s">
        <v>1295</v>
      </c>
      <c r="B709" s="15">
        <v>45876</v>
      </c>
      <c r="C709" s="14" t="s">
        <v>444</v>
      </c>
      <c r="D709" s="14" t="s">
        <v>42</v>
      </c>
      <c r="E709" s="14" t="s">
        <v>29</v>
      </c>
      <c r="F709" s="14">
        <v>36</v>
      </c>
      <c r="G709" s="14" t="s">
        <v>30</v>
      </c>
      <c r="H709" s="14" t="s">
        <v>31</v>
      </c>
      <c r="I709" s="14" t="s">
        <v>30</v>
      </c>
      <c r="J709" s="14" t="s">
        <v>75</v>
      </c>
      <c r="K709" s="14">
        <v>4</v>
      </c>
      <c r="L709" s="14">
        <v>40980</v>
      </c>
      <c r="M709" s="14">
        <v>20</v>
      </c>
      <c r="N709" s="14">
        <v>32784</v>
      </c>
      <c r="O709" s="14">
        <v>23604.48</v>
      </c>
      <c r="P709" s="14">
        <v>302</v>
      </c>
      <c r="Q709" s="14">
        <f t="shared" si="11"/>
        <v>154740.48000000001</v>
      </c>
      <c r="R709" s="14">
        <v>155042.48000000001</v>
      </c>
      <c r="S709" s="14" t="s">
        <v>54</v>
      </c>
      <c r="T709" s="14" t="s">
        <v>63</v>
      </c>
      <c r="U709" s="14" t="s">
        <v>95</v>
      </c>
      <c r="V709" s="14" t="s">
        <v>96</v>
      </c>
      <c r="W709" s="14" t="s">
        <v>57</v>
      </c>
      <c r="X709" s="14">
        <v>10</v>
      </c>
      <c r="Y709" s="14" t="s">
        <v>47</v>
      </c>
      <c r="Z709" s="14">
        <v>3</v>
      </c>
      <c r="AA709" s="14" t="s">
        <v>39</v>
      </c>
    </row>
    <row r="710" spans="1:27" x14ac:dyDescent="0.35">
      <c r="A710" s="14" t="s">
        <v>1296</v>
      </c>
      <c r="B710" s="15">
        <v>45777</v>
      </c>
      <c r="C710" s="14" t="s">
        <v>1168</v>
      </c>
      <c r="D710" s="14" t="s">
        <v>89</v>
      </c>
      <c r="E710" s="14" t="s">
        <v>43</v>
      </c>
      <c r="F710" s="14">
        <v>53</v>
      </c>
      <c r="G710" s="14" t="s">
        <v>139</v>
      </c>
      <c r="H710" s="14" t="s">
        <v>31</v>
      </c>
      <c r="I710" s="14" t="s">
        <v>139</v>
      </c>
      <c r="J710" s="14" t="s">
        <v>125</v>
      </c>
      <c r="K710" s="14">
        <v>4</v>
      </c>
      <c r="L710" s="14">
        <v>17805</v>
      </c>
      <c r="M710" s="14">
        <v>5</v>
      </c>
      <c r="N710" s="14">
        <v>3561</v>
      </c>
      <c r="O710" s="14">
        <v>12178.62</v>
      </c>
      <c r="P710" s="14">
        <v>278</v>
      </c>
      <c r="Q710" s="14">
        <f t="shared" si="11"/>
        <v>79837.62</v>
      </c>
      <c r="R710" s="14">
        <v>80115.62</v>
      </c>
      <c r="S710" s="14" t="s">
        <v>33</v>
      </c>
      <c r="T710" s="14" t="s">
        <v>63</v>
      </c>
      <c r="U710" s="14" t="s">
        <v>55</v>
      </c>
      <c r="V710" s="14" t="s">
        <v>56</v>
      </c>
      <c r="W710" s="14" t="s">
        <v>57</v>
      </c>
      <c r="X710" s="14">
        <v>2</v>
      </c>
      <c r="Y710" s="14" t="s">
        <v>47</v>
      </c>
      <c r="Z710" s="14">
        <v>4</v>
      </c>
      <c r="AA710" s="14" t="s">
        <v>58</v>
      </c>
    </row>
    <row r="711" spans="1:27" x14ac:dyDescent="0.35">
      <c r="A711" s="14" t="s">
        <v>1297</v>
      </c>
      <c r="B711" s="15">
        <v>46051</v>
      </c>
      <c r="C711" s="14" t="s">
        <v>963</v>
      </c>
      <c r="D711" s="14" t="s">
        <v>50</v>
      </c>
      <c r="E711" s="14" t="s">
        <v>29</v>
      </c>
      <c r="F711" s="14">
        <v>56</v>
      </c>
      <c r="G711" s="14" t="s">
        <v>134</v>
      </c>
      <c r="H711" s="14" t="s">
        <v>31</v>
      </c>
      <c r="I711" s="14" t="s">
        <v>134</v>
      </c>
      <c r="J711" s="14" t="s">
        <v>150</v>
      </c>
      <c r="K711" s="14">
        <v>3</v>
      </c>
      <c r="L711" s="14">
        <v>27997</v>
      </c>
      <c r="M711" s="14">
        <v>10</v>
      </c>
      <c r="N711" s="14">
        <v>8399.1</v>
      </c>
      <c r="O711" s="14">
        <v>13606.54</v>
      </c>
      <c r="P711" s="14">
        <v>430</v>
      </c>
      <c r="Q711" s="14">
        <f t="shared" si="11"/>
        <v>89198.44</v>
      </c>
      <c r="R711" s="14">
        <v>89628.44</v>
      </c>
      <c r="S711" s="14" t="s">
        <v>45</v>
      </c>
      <c r="T711" s="14" t="s">
        <v>34</v>
      </c>
      <c r="U711" s="14" t="s">
        <v>84</v>
      </c>
      <c r="V711" s="14" t="s">
        <v>85</v>
      </c>
      <c r="W711" s="14" t="s">
        <v>86</v>
      </c>
      <c r="X711" s="14">
        <v>7</v>
      </c>
      <c r="Y711" s="14" t="s">
        <v>47</v>
      </c>
      <c r="Z711" s="14">
        <v>1</v>
      </c>
      <c r="AA711" s="14" t="s">
        <v>39</v>
      </c>
    </row>
    <row r="712" spans="1:27" x14ac:dyDescent="0.35">
      <c r="A712" s="14" t="s">
        <v>1298</v>
      </c>
      <c r="B712" s="15">
        <v>45854</v>
      </c>
      <c r="C712" s="14" t="s">
        <v>107</v>
      </c>
      <c r="D712" s="14" t="s">
        <v>66</v>
      </c>
      <c r="E712" s="14" t="s">
        <v>29</v>
      </c>
      <c r="F712" s="14">
        <v>58</v>
      </c>
      <c r="G712" s="14" t="s">
        <v>30</v>
      </c>
      <c r="H712" s="14" t="s">
        <v>31</v>
      </c>
      <c r="I712" s="14" t="s">
        <v>30</v>
      </c>
      <c r="J712" s="14" t="s">
        <v>125</v>
      </c>
      <c r="K712" s="14">
        <v>3</v>
      </c>
      <c r="L712" s="14">
        <v>16676</v>
      </c>
      <c r="M712" s="14">
        <v>5</v>
      </c>
      <c r="N712" s="14">
        <v>2501.4</v>
      </c>
      <c r="O712" s="14">
        <v>8554.7900000000009</v>
      </c>
      <c r="P712" s="14">
        <v>328</v>
      </c>
      <c r="Q712" s="14">
        <f t="shared" si="11"/>
        <v>56081.39</v>
      </c>
      <c r="R712" s="14">
        <v>56409.39</v>
      </c>
      <c r="S712" s="14" t="s">
        <v>54</v>
      </c>
      <c r="T712" s="14" t="s">
        <v>63</v>
      </c>
      <c r="U712" s="14" t="s">
        <v>46</v>
      </c>
      <c r="V712" s="14" t="s">
        <v>36</v>
      </c>
      <c r="W712" s="14" t="s">
        <v>37</v>
      </c>
      <c r="X712" s="14">
        <v>1</v>
      </c>
      <c r="Y712" s="14" t="s">
        <v>38</v>
      </c>
      <c r="Z712" s="14">
        <v>1</v>
      </c>
      <c r="AA712" s="14" t="s">
        <v>39</v>
      </c>
    </row>
    <row r="713" spans="1:27" x14ac:dyDescent="0.35">
      <c r="A713" s="14" t="s">
        <v>1299</v>
      </c>
      <c r="B713" s="15">
        <v>46046</v>
      </c>
      <c r="C713" s="14" t="s">
        <v>882</v>
      </c>
      <c r="D713" s="14" t="s">
        <v>80</v>
      </c>
      <c r="E713" s="14" t="s">
        <v>43</v>
      </c>
      <c r="F713" s="14">
        <v>50</v>
      </c>
      <c r="G713" s="14" t="s">
        <v>74</v>
      </c>
      <c r="H713" s="14" t="s">
        <v>31</v>
      </c>
      <c r="I713" s="14" t="s">
        <v>74</v>
      </c>
      <c r="J713" s="14" t="s">
        <v>32</v>
      </c>
      <c r="K713" s="14">
        <v>1</v>
      </c>
      <c r="L713" s="14">
        <v>29242</v>
      </c>
      <c r="M713" s="14">
        <v>20</v>
      </c>
      <c r="N713" s="14">
        <v>5848.4</v>
      </c>
      <c r="O713" s="14">
        <v>4210.8500000000004</v>
      </c>
      <c r="P713" s="14">
        <v>375</v>
      </c>
      <c r="Q713" s="14">
        <f t="shared" si="11"/>
        <v>27604.45</v>
      </c>
      <c r="R713" s="14">
        <v>27979.45</v>
      </c>
      <c r="S713" s="14" t="s">
        <v>54</v>
      </c>
      <c r="T713" s="14" t="s">
        <v>63</v>
      </c>
      <c r="U713" s="14" t="s">
        <v>84</v>
      </c>
      <c r="V713" s="14" t="s">
        <v>85</v>
      </c>
      <c r="W713" s="14" t="s">
        <v>86</v>
      </c>
      <c r="X713" s="14">
        <v>3</v>
      </c>
      <c r="Y713" s="14" t="s">
        <v>38</v>
      </c>
      <c r="Z713" s="14">
        <v>4</v>
      </c>
      <c r="AA713" s="14" t="s">
        <v>58</v>
      </c>
    </row>
    <row r="714" spans="1:27" x14ac:dyDescent="0.35">
      <c r="A714" s="14" t="s">
        <v>1300</v>
      </c>
      <c r="B714" s="15">
        <v>45858</v>
      </c>
      <c r="C714" s="14" t="s">
        <v>510</v>
      </c>
      <c r="D714" s="14" t="s">
        <v>50</v>
      </c>
      <c r="E714" s="14" t="s">
        <v>29</v>
      </c>
      <c r="F714" s="14">
        <v>41</v>
      </c>
      <c r="G714" s="14" t="s">
        <v>94</v>
      </c>
      <c r="H714" s="14" t="s">
        <v>31</v>
      </c>
      <c r="I714" s="14" t="s">
        <v>94</v>
      </c>
      <c r="J714" s="14" t="s">
        <v>32</v>
      </c>
      <c r="K714" s="14">
        <v>4</v>
      </c>
      <c r="L714" s="14">
        <v>11472</v>
      </c>
      <c r="M714" s="14">
        <v>5</v>
      </c>
      <c r="N714" s="14">
        <v>2294.4</v>
      </c>
      <c r="O714" s="14">
        <v>7846.85</v>
      </c>
      <c r="P714" s="14">
        <v>166</v>
      </c>
      <c r="Q714" s="14">
        <f t="shared" si="11"/>
        <v>51440.45</v>
      </c>
      <c r="R714" s="14">
        <v>51606.45</v>
      </c>
      <c r="S714" s="14" t="s">
        <v>33</v>
      </c>
      <c r="T714" s="14" t="s">
        <v>63</v>
      </c>
      <c r="U714" s="14" t="s">
        <v>46</v>
      </c>
      <c r="V714" s="14" t="s">
        <v>36</v>
      </c>
      <c r="W714" s="14" t="s">
        <v>37</v>
      </c>
      <c r="X714" s="14">
        <v>7</v>
      </c>
      <c r="Y714" s="14" t="s">
        <v>47</v>
      </c>
      <c r="Z714" s="14">
        <v>2</v>
      </c>
      <c r="AA714" s="14" t="s">
        <v>58</v>
      </c>
    </row>
    <row r="715" spans="1:27" x14ac:dyDescent="0.35">
      <c r="A715" s="14" t="s">
        <v>1301</v>
      </c>
      <c r="B715" s="15">
        <v>45818</v>
      </c>
      <c r="C715" s="14" t="s">
        <v>1302</v>
      </c>
      <c r="D715" s="14" t="s">
        <v>50</v>
      </c>
      <c r="E715" s="14" t="s">
        <v>29</v>
      </c>
      <c r="F715" s="14">
        <v>59</v>
      </c>
      <c r="G715" s="14" t="s">
        <v>90</v>
      </c>
      <c r="H715" s="14" t="s">
        <v>31</v>
      </c>
      <c r="I715" s="14" t="s">
        <v>90</v>
      </c>
      <c r="J715" s="14" t="s">
        <v>53</v>
      </c>
      <c r="K715" s="14">
        <v>1</v>
      </c>
      <c r="L715" s="14">
        <v>47287</v>
      </c>
      <c r="M715" s="14">
        <v>0</v>
      </c>
      <c r="N715" s="14">
        <v>0</v>
      </c>
      <c r="O715" s="14">
        <v>8511.66</v>
      </c>
      <c r="P715" s="14">
        <v>494</v>
      </c>
      <c r="Q715" s="14">
        <f t="shared" si="11"/>
        <v>55798.66</v>
      </c>
      <c r="R715" s="14">
        <v>56292.66</v>
      </c>
      <c r="S715" s="14" t="s">
        <v>45</v>
      </c>
      <c r="T715" s="14" t="s">
        <v>63</v>
      </c>
      <c r="U715" s="14" t="s">
        <v>76</v>
      </c>
      <c r="V715" s="14" t="s">
        <v>77</v>
      </c>
      <c r="W715" s="14" t="s">
        <v>57</v>
      </c>
      <c r="X715" s="14">
        <v>6</v>
      </c>
      <c r="Y715" s="14" t="s">
        <v>38</v>
      </c>
      <c r="Z715" s="14">
        <v>1</v>
      </c>
      <c r="AA715" s="14" t="s">
        <v>58</v>
      </c>
    </row>
    <row r="716" spans="1:27" x14ac:dyDescent="0.35">
      <c r="A716" s="14" t="s">
        <v>1303</v>
      </c>
      <c r="B716" s="15">
        <v>45884</v>
      </c>
      <c r="C716" s="14" t="s">
        <v>448</v>
      </c>
      <c r="D716" s="14" t="s">
        <v>73</v>
      </c>
      <c r="E716" s="14" t="s">
        <v>29</v>
      </c>
      <c r="F716" s="14">
        <v>54</v>
      </c>
      <c r="G716" s="14" t="s">
        <v>67</v>
      </c>
      <c r="H716" s="14" t="s">
        <v>68</v>
      </c>
      <c r="I716" s="14" t="s">
        <v>67</v>
      </c>
      <c r="J716" s="14" t="s">
        <v>62</v>
      </c>
      <c r="K716" s="14">
        <v>1</v>
      </c>
      <c r="L716" s="14">
        <v>27319</v>
      </c>
      <c r="M716" s="14">
        <v>20</v>
      </c>
      <c r="N716" s="14">
        <v>5463.8</v>
      </c>
      <c r="O716" s="14">
        <v>3933.94</v>
      </c>
      <c r="P716" s="14">
        <v>240</v>
      </c>
      <c r="Q716" s="14">
        <f t="shared" si="11"/>
        <v>25789.14</v>
      </c>
      <c r="R716" s="14">
        <v>26029.14</v>
      </c>
      <c r="S716" s="14" t="s">
        <v>54</v>
      </c>
      <c r="T716" s="14" t="s">
        <v>63</v>
      </c>
      <c r="U716" s="14" t="s">
        <v>76</v>
      </c>
      <c r="V716" s="14" t="s">
        <v>77</v>
      </c>
      <c r="W716" s="14" t="s">
        <v>57</v>
      </c>
      <c r="X716" s="14">
        <v>3</v>
      </c>
      <c r="Y716" s="14" t="s">
        <v>38</v>
      </c>
      <c r="Z716" s="14">
        <v>2</v>
      </c>
      <c r="AA716" s="14" t="s">
        <v>58</v>
      </c>
    </row>
    <row r="717" spans="1:27" x14ac:dyDescent="0.35">
      <c r="A717" s="14" t="s">
        <v>1304</v>
      </c>
      <c r="B717" s="15">
        <v>45765</v>
      </c>
      <c r="C717" s="14" t="s">
        <v>1305</v>
      </c>
      <c r="D717" s="14" t="s">
        <v>61</v>
      </c>
      <c r="E717" s="14" t="s">
        <v>43</v>
      </c>
      <c r="F717" s="14">
        <v>23</v>
      </c>
      <c r="G717" s="14" t="s">
        <v>134</v>
      </c>
      <c r="H717" s="14" t="s">
        <v>31</v>
      </c>
      <c r="I717" s="14" t="s">
        <v>134</v>
      </c>
      <c r="J717" s="14" t="s">
        <v>150</v>
      </c>
      <c r="K717" s="14">
        <v>2</v>
      </c>
      <c r="L717" s="14">
        <v>23777</v>
      </c>
      <c r="M717" s="14">
        <v>5</v>
      </c>
      <c r="N717" s="14">
        <v>2377.6999999999998</v>
      </c>
      <c r="O717" s="14">
        <v>8131.73</v>
      </c>
      <c r="P717" s="14">
        <v>196</v>
      </c>
      <c r="Q717" s="14">
        <f t="shared" si="11"/>
        <v>53308.03</v>
      </c>
      <c r="R717" s="14">
        <v>53504.03</v>
      </c>
      <c r="S717" s="14" t="s">
        <v>83</v>
      </c>
      <c r="T717" s="14" t="s">
        <v>34</v>
      </c>
      <c r="U717" s="14" t="s">
        <v>84</v>
      </c>
      <c r="V717" s="14" t="s">
        <v>85</v>
      </c>
      <c r="W717" s="14" t="s">
        <v>86</v>
      </c>
      <c r="X717" s="14">
        <v>10</v>
      </c>
      <c r="Y717" s="14" t="s">
        <v>47</v>
      </c>
      <c r="Z717" s="14">
        <v>2</v>
      </c>
      <c r="AA717" s="14" t="s">
        <v>47</v>
      </c>
    </row>
    <row r="718" spans="1:27" x14ac:dyDescent="0.35">
      <c r="A718" s="14" t="s">
        <v>1306</v>
      </c>
      <c r="B718" s="15">
        <v>45853</v>
      </c>
      <c r="C718" s="14" t="s">
        <v>1307</v>
      </c>
      <c r="D718" s="14" t="s">
        <v>80</v>
      </c>
      <c r="E718" s="14" t="s">
        <v>43</v>
      </c>
      <c r="F718" s="14">
        <v>49</v>
      </c>
      <c r="G718" s="14" t="s">
        <v>67</v>
      </c>
      <c r="H718" s="14" t="s">
        <v>68</v>
      </c>
      <c r="I718" s="14" t="s">
        <v>67</v>
      </c>
      <c r="J718" s="14" t="s">
        <v>32</v>
      </c>
      <c r="K718" s="14">
        <v>2</v>
      </c>
      <c r="L718" s="14">
        <v>47273</v>
      </c>
      <c r="M718" s="14">
        <v>15</v>
      </c>
      <c r="N718" s="14">
        <v>14181.9</v>
      </c>
      <c r="O718" s="14">
        <v>14465.54</v>
      </c>
      <c r="P718" s="14">
        <v>460</v>
      </c>
      <c r="Q718" s="14">
        <f t="shared" si="11"/>
        <v>94829.64</v>
      </c>
      <c r="R718" s="14">
        <v>95289.64</v>
      </c>
      <c r="S718" s="14" t="s">
        <v>45</v>
      </c>
      <c r="T718" s="14" t="s">
        <v>34</v>
      </c>
      <c r="U718" s="14" t="s">
        <v>76</v>
      </c>
      <c r="V718" s="14" t="s">
        <v>77</v>
      </c>
      <c r="W718" s="14" t="s">
        <v>57</v>
      </c>
      <c r="X718" s="14">
        <v>2</v>
      </c>
      <c r="Y718" s="14" t="s">
        <v>47</v>
      </c>
      <c r="Z718" s="14">
        <v>5</v>
      </c>
      <c r="AA718" s="14" t="s">
        <v>91</v>
      </c>
    </row>
    <row r="719" spans="1:27" x14ac:dyDescent="0.35">
      <c r="A719" s="14" t="s">
        <v>1308</v>
      </c>
      <c r="B719" s="15">
        <v>45948</v>
      </c>
      <c r="C719" s="14" t="s">
        <v>133</v>
      </c>
      <c r="D719" s="14" t="s">
        <v>50</v>
      </c>
      <c r="E719" s="14" t="s">
        <v>29</v>
      </c>
      <c r="F719" s="14">
        <v>55</v>
      </c>
      <c r="G719" s="14" t="s">
        <v>139</v>
      </c>
      <c r="H719" s="14" t="s">
        <v>31</v>
      </c>
      <c r="I719" s="14" t="s">
        <v>139</v>
      </c>
      <c r="J719" s="14" t="s">
        <v>69</v>
      </c>
      <c r="K719" s="14">
        <v>4</v>
      </c>
      <c r="L719" s="14">
        <v>5695</v>
      </c>
      <c r="M719" s="14">
        <v>5</v>
      </c>
      <c r="N719" s="14">
        <v>1139</v>
      </c>
      <c r="O719" s="14">
        <v>3895.38</v>
      </c>
      <c r="P719" s="14">
        <v>183</v>
      </c>
      <c r="Q719" s="14">
        <f t="shared" si="11"/>
        <v>25536.38</v>
      </c>
      <c r="R719" s="14">
        <v>25719.38</v>
      </c>
      <c r="S719" s="14" t="s">
        <v>45</v>
      </c>
      <c r="T719" s="14" t="s">
        <v>63</v>
      </c>
      <c r="U719" s="14" t="s">
        <v>70</v>
      </c>
      <c r="V719" s="14" t="s">
        <v>56</v>
      </c>
      <c r="W719" s="14" t="s">
        <v>57</v>
      </c>
      <c r="X719" s="14">
        <v>9</v>
      </c>
      <c r="Y719" s="14" t="s">
        <v>38</v>
      </c>
      <c r="Z719" s="14">
        <v>4</v>
      </c>
      <c r="AA719" s="14" t="s">
        <v>91</v>
      </c>
    </row>
    <row r="720" spans="1:27" x14ac:dyDescent="0.35">
      <c r="A720" s="14" t="s">
        <v>1309</v>
      </c>
      <c r="B720" s="15">
        <v>46032</v>
      </c>
      <c r="C720" s="14" t="s">
        <v>1310</v>
      </c>
      <c r="D720" s="14" t="s">
        <v>28</v>
      </c>
      <c r="E720" s="14" t="s">
        <v>29</v>
      </c>
      <c r="F720" s="14">
        <v>33</v>
      </c>
      <c r="G720" s="14" t="s">
        <v>30</v>
      </c>
      <c r="H720" s="14" t="s">
        <v>31</v>
      </c>
      <c r="I720" s="14" t="s">
        <v>30</v>
      </c>
      <c r="J720" s="14" t="s">
        <v>62</v>
      </c>
      <c r="K720" s="14">
        <v>4</v>
      </c>
      <c r="L720" s="14">
        <v>25749</v>
      </c>
      <c r="M720" s="14">
        <v>0</v>
      </c>
      <c r="N720" s="14">
        <v>0</v>
      </c>
      <c r="O720" s="14">
        <v>18539.28</v>
      </c>
      <c r="P720" s="14">
        <v>488</v>
      </c>
      <c r="Q720" s="14">
        <f t="shared" si="11"/>
        <v>121535.28</v>
      </c>
      <c r="R720" s="14">
        <v>122023.28</v>
      </c>
      <c r="S720" s="14" t="s">
        <v>45</v>
      </c>
      <c r="T720" s="14" t="s">
        <v>63</v>
      </c>
      <c r="U720" s="14" t="s">
        <v>46</v>
      </c>
      <c r="V720" s="14" t="s">
        <v>36</v>
      </c>
      <c r="W720" s="14" t="s">
        <v>37</v>
      </c>
      <c r="X720" s="14">
        <v>6</v>
      </c>
      <c r="Y720" s="14" t="s">
        <v>47</v>
      </c>
      <c r="Z720" s="14">
        <v>1</v>
      </c>
      <c r="AA720" s="14" t="s">
        <v>47</v>
      </c>
    </row>
    <row r="721" spans="1:27" x14ac:dyDescent="0.35">
      <c r="A721" s="14" t="s">
        <v>1311</v>
      </c>
      <c r="B721" s="15">
        <v>46094</v>
      </c>
      <c r="C721" s="14" t="s">
        <v>1118</v>
      </c>
      <c r="D721" s="14" t="s">
        <v>73</v>
      </c>
      <c r="E721" s="14" t="s">
        <v>43</v>
      </c>
      <c r="F721" s="14">
        <v>48</v>
      </c>
      <c r="G721" s="14" t="s">
        <v>67</v>
      </c>
      <c r="H721" s="14" t="s">
        <v>68</v>
      </c>
      <c r="I721" s="14" t="s">
        <v>67</v>
      </c>
      <c r="J721" s="14" t="s">
        <v>53</v>
      </c>
      <c r="K721" s="14">
        <v>3</v>
      </c>
      <c r="L721" s="14">
        <v>20383</v>
      </c>
      <c r="M721" s="14">
        <v>20</v>
      </c>
      <c r="N721" s="14">
        <v>12229.8</v>
      </c>
      <c r="O721" s="14">
        <v>8805.4599999999991</v>
      </c>
      <c r="P721" s="14">
        <v>320</v>
      </c>
      <c r="Q721" s="14">
        <f t="shared" si="11"/>
        <v>57724.66</v>
      </c>
      <c r="R721" s="14">
        <v>58044.66</v>
      </c>
      <c r="S721" s="14" t="s">
        <v>83</v>
      </c>
      <c r="T721" s="14" t="s">
        <v>63</v>
      </c>
      <c r="U721" s="14" t="s">
        <v>35</v>
      </c>
      <c r="V721" s="14" t="s">
        <v>36</v>
      </c>
      <c r="W721" s="14" t="s">
        <v>37</v>
      </c>
      <c r="X721" s="14">
        <v>1</v>
      </c>
      <c r="Y721" s="14" t="s">
        <v>47</v>
      </c>
      <c r="Z721" s="14">
        <v>2</v>
      </c>
      <c r="AA721" s="14" t="s">
        <v>39</v>
      </c>
    </row>
    <row r="722" spans="1:27" x14ac:dyDescent="0.35">
      <c r="A722" s="14" t="s">
        <v>1312</v>
      </c>
      <c r="B722" s="15">
        <v>45809</v>
      </c>
      <c r="C722" s="14" t="s">
        <v>661</v>
      </c>
      <c r="D722" s="14" t="s">
        <v>50</v>
      </c>
      <c r="E722" s="14" t="s">
        <v>43</v>
      </c>
      <c r="F722" s="14">
        <v>34</v>
      </c>
      <c r="G722" s="14" t="s">
        <v>44</v>
      </c>
      <c r="H722" s="14" t="s">
        <v>31</v>
      </c>
      <c r="I722" s="14" t="s">
        <v>44</v>
      </c>
      <c r="J722" s="14" t="s">
        <v>32</v>
      </c>
      <c r="K722" s="14">
        <v>4</v>
      </c>
      <c r="L722" s="14">
        <v>44550</v>
      </c>
      <c r="M722" s="14">
        <v>10</v>
      </c>
      <c r="N722" s="14">
        <v>17820</v>
      </c>
      <c r="O722" s="14">
        <v>28868.400000000001</v>
      </c>
      <c r="P722" s="14">
        <v>449</v>
      </c>
      <c r="Q722" s="14">
        <f t="shared" si="11"/>
        <v>189248.4</v>
      </c>
      <c r="R722" s="14">
        <v>189697.4</v>
      </c>
      <c r="S722" s="14" t="s">
        <v>33</v>
      </c>
      <c r="T722" s="14" t="s">
        <v>63</v>
      </c>
      <c r="U722" s="14" t="s">
        <v>35</v>
      </c>
      <c r="V722" s="14" t="s">
        <v>36</v>
      </c>
      <c r="W722" s="14" t="s">
        <v>37</v>
      </c>
      <c r="X722" s="14">
        <v>7</v>
      </c>
      <c r="Y722" s="14" t="s">
        <v>38</v>
      </c>
      <c r="Z722" s="14">
        <v>3</v>
      </c>
      <c r="AA722" s="14" t="s">
        <v>47</v>
      </c>
    </row>
    <row r="723" spans="1:27" x14ac:dyDescent="0.35">
      <c r="A723" s="14" t="s">
        <v>1313</v>
      </c>
      <c r="B723" s="15">
        <v>45988</v>
      </c>
      <c r="C723" s="14" t="s">
        <v>1314</v>
      </c>
      <c r="D723" s="14" t="s">
        <v>61</v>
      </c>
      <c r="E723" s="14" t="s">
        <v>43</v>
      </c>
      <c r="F723" s="14">
        <v>35</v>
      </c>
      <c r="G723" s="14" t="s">
        <v>139</v>
      </c>
      <c r="H723" s="14" t="s">
        <v>31</v>
      </c>
      <c r="I723" s="14" t="s">
        <v>139</v>
      </c>
      <c r="J723" s="14" t="s">
        <v>112</v>
      </c>
      <c r="K723" s="14">
        <v>3</v>
      </c>
      <c r="L723" s="14">
        <v>17487</v>
      </c>
      <c r="M723" s="14">
        <v>20</v>
      </c>
      <c r="N723" s="14">
        <v>10492.2</v>
      </c>
      <c r="O723" s="14">
        <v>7554.38</v>
      </c>
      <c r="P723" s="14">
        <v>447</v>
      </c>
      <c r="Q723" s="14">
        <f t="shared" si="11"/>
        <v>49523.18</v>
      </c>
      <c r="R723" s="14">
        <v>49970.18</v>
      </c>
      <c r="S723" s="14" t="s">
        <v>83</v>
      </c>
      <c r="T723" s="14" t="s">
        <v>34</v>
      </c>
      <c r="U723" s="14" t="s">
        <v>70</v>
      </c>
      <c r="V723" s="14" t="s">
        <v>56</v>
      </c>
      <c r="W723" s="14" t="s">
        <v>57</v>
      </c>
      <c r="X723" s="14">
        <v>10</v>
      </c>
      <c r="Y723" s="14" t="s">
        <v>38</v>
      </c>
      <c r="Z723" s="14">
        <v>5</v>
      </c>
      <c r="AA723" s="14" t="s">
        <v>39</v>
      </c>
    </row>
    <row r="724" spans="1:27" x14ac:dyDescent="0.35">
      <c r="A724" s="14" t="s">
        <v>1315</v>
      </c>
      <c r="B724" s="15">
        <v>46017</v>
      </c>
      <c r="C724" s="14" t="s">
        <v>1240</v>
      </c>
      <c r="D724" s="14" t="s">
        <v>73</v>
      </c>
      <c r="E724" s="14" t="s">
        <v>29</v>
      </c>
      <c r="F724" s="14">
        <v>20</v>
      </c>
      <c r="G724" s="14" t="s">
        <v>44</v>
      </c>
      <c r="H724" s="14" t="s">
        <v>31</v>
      </c>
      <c r="I724" s="14" t="s">
        <v>44</v>
      </c>
      <c r="J724" s="14" t="s">
        <v>75</v>
      </c>
      <c r="K724" s="14">
        <v>3</v>
      </c>
      <c r="L724" s="14">
        <v>32893</v>
      </c>
      <c r="M724" s="14">
        <v>5</v>
      </c>
      <c r="N724" s="14">
        <v>4933.95</v>
      </c>
      <c r="O724" s="14">
        <v>16874.11</v>
      </c>
      <c r="P724" s="14">
        <v>386</v>
      </c>
      <c r="Q724" s="14">
        <f t="shared" si="11"/>
        <v>110619.16</v>
      </c>
      <c r="R724" s="14">
        <v>111005.16</v>
      </c>
      <c r="S724" s="14" t="s">
        <v>54</v>
      </c>
      <c r="T724" s="14" t="s">
        <v>63</v>
      </c>
      <c r="U724" s="14" t="s">
        <v>35</v>
      </c>
      <c r="V724" s="14" t="s">
        <v>36</v>
      </c>
      <c r="W724" s="14" t="s">
        <v>37</v>
      </c>
      <c r="X724" s="14">
        <v>7</v>
      </c>
      <c r="Y724" s="14" t="s">
        <v>38</v>
      </c>
      <c r="Z724" s="14">
        <v>4</v>
      </c>
      <c r="AA724" s="14" t="s">
        <v>47</v>
      </c>
    </row>
    <row r="725" spans="1:27" x14ac:dyDescent="0.35">
      <c r="A725" s="14" t="s">
        <v>1316</v>
      </c>
      <c r="B725" s="15">
        <v>45898</v>
      </c>
      <c r="C725" s="14" t="s">
        <v>1168</v>
      </c>
      <c r="D725" s="14" t="s">
        <v>80</v>
      </c>
      <c r="E725" s="14" t="s">
        <v>43</v>
      </c>
      <c r="F725" s="14">
        <v>33</v>
      </c>
      <c r="G725" s="14" t="s">
        <v>99</v>
      </c>
      <c r="H725" s="14" t="s">
        <v>52</v>
      </c>
      <c r="I725" s="14" t="s">
        <v>99</v>
      </c>
      <c r="J725" s="14" t="s">
        <v>112</v>
      </c>
      <c r="K725" s="14">
        <v>2</v>
      </c>
      <c r="L725" s="14">
        <v>48999</v>
      </c>
      <c r="M725" s="14">
        <v>10</v>
      </c>
      <c r="N725" s="14">
        <v>9799.7999999999993</v>
      </c>
      <c r="O725" s="14">
        <v>15875.68</v>
      </c>
      <c r="P725" s="14">
        <v>136</v>
      </c>
      <c r="Q725" s="14">
        <f t="shared" si="11"/>
        <v>104073.88</v>
      </c>
      <c r="R725" s="14">
        <v>104209.88</v>
      </c>
      <c r="S725" s="14" t="s">
        <v>54</v>
      </c>
      <c r="T725" s="14" t="s">
        <v>63</v>
      </c>
      <c r="U725" s="14" t="s">
        <v>35</v>
      </c>
      <c r="V725" s="14" t="s">
        <v>36</v>
      </c>
      <c r="W725" s="14" t="s">
        <v>37</v>
      </c>
      <c r="X725" s="14">
        <v>7</v>
      </c>
      <c r="Y725" s="14" t="s">
        <v>38</v>
      </c>
      <c r="Z725" s="14">
        <v>1</v>
      </c>
      <c r="AA725" s="14" t="s">
        <v>39</v>
      </c>
    </row>
    <row r="726" spans="1:27" x14ac:dyDescent="0.35">
      <c r="A726" s="14" t="s">
        <v>1317</v>
      </c>
      <c r="B726" s="15">
        <v>45788</v>
      </c>
      <c r="C726" s="14" t="s">
        <v>1318</v>
      </c>
      <c r="D726" s="14" t="s">
        <v>80</v>
      </c>
      <c r="E726" s="14" t="s">
        <v>43</v>
      </c>
      <c r="F726" s="14">
        <v>54</v>
      </c>
      <c r="G726" s="14" t="s">
        <v>139</v>
      </c>
      <c r="H726" s="14" t="s">
        <v>31</v>
      </c>
      <c r="I726" s="14" t="s">
        <v>139</v>
      </c>
      <c r="J726" s="14" t="s">
        <v>202</v>
      </c>
      <c r="K726" s="14">
        <v>5</v>
      </c>
      <c r="L726" s="14">
        <v>21651</v>
      </c>
      <c r="M726" s="14">
        <v>15</v>
      </c>
      <c r="N726" s="14">
        <v>16238.25</v>
      </c>
      <c r="O726" s="14">
        <v>16563.009999999998</v>
      </c>
      <c r="P726" s="14">
        <v>226</v>
      </c>
      <c r="Q726" s="14">
        <f t="shared" si="11"/>
        <v>108579.76</v>
      </c>
      <c r="R726" s="14">
        <v>108805.75999999999</v>
      </c>
      <c r="S726" s="14" t="s">
        <v>54</v>
      </c>
      <c r="T726" s="14" t="s">
        <v>34</v>
      </c>
      <c r="U726" s="14" t="s">
        <v>70</v>
      </c>
      <c r="V726" s="14" t="s">
        <v>56</v>
      </c>
      <c r="W726" s="14" t="s">
        <v>57</v>
      </c>
      <c r="X726" s="14">
        <v>2</v>
      </c>
      <c r="Y726" s="14" t="s">
        <v>38</v>
      </c>
      <c r="Z726" s="14">
        <v>3</v>
      </c>
      <c r="AA726" s="14" t="s">
        <v>39</v>
      </c>
    </row>
    <row r="727" spans="1:27" x14ac:dyDescent="0.35">
      <c r="A727" s="14" t="s">
        <v>1319</v>
      </c>
      <c r="B727" s="15">
        <v>46112</v>
      </c>
      <c r="C727" s="14" t="s">
        <v>610</v>
      </c>
      <c r="D727" s="14" t="s">
        <v>108</v>
      </c>
      <c r="E727" s="14" t="s">
        <v>43</v>
      </c>
      <c r="F727" s="14">
        <v>21</v>
      </c>
      <c r="G727" s="14" t="s">
        <v>134</v>
      </c>
      <c r="H727" s="14" t="s">
        <v>31</v>
      </c>
      <c r="I727" s="14" t="s">
        <v>134</v>
      </c>
      <c r="J727" s="14" t="s">
        <v>75</v>
      </c>
      <c r="K727" s="14">
        <v>3</v>
      </c>
      <c r="L727" s="14">
        <v>33508</v>
      </c>
      <c r="M727" s="14">
        <v>10</v>
      </c>
      <c r="N727" s="14">
        <v>10052.4</v>
      </c>
      <c r="O727" s="14">
        <v>16284.89</v>
      </c>
      <c r="P727" s="14">
        <v>103</v>
      </c>
      <c r="Q727" s="14">
        <f t="shared" si="11"/>
        <v>106756.49</v>
      </c>
      <c r="R727" s="14">
        <v>106859.49</v>
      </c>
      <c r="S727" s="14" t="s">
        <v>33</v>
      </c>
      <c r="T727" s="14" t="s">
        <v>63</v>
      </c>
      <c r="U727" s="14" t="s">
        <v>46</v>
      </c>
      <c r="V727" s="14" t="s">
        <v>36</v>
      </c>
      <c r="W727" s="14" t="s">
        <v>37</v>
      </c>
      <c r="X727" s="14">
        <v>5</v>
      </c>
      <c r="Y727" s="14" t="s">
        <v>47</v>
      </c>
      <c r="Z727" s="14">
        <v>1</v>
      </c>
      <c r="AA727" s="14" t="s">
        <v>47</v>
      </c>
    </row>
    <row r="728" spans="1:27" x14ac:dyDescent="0.35">
      <c r="A728" s="14" t="s">
        <v>1320</v>
      </c>
      <c r="B728" s="15">
        <v>45924</v>
      </c>
      <c r="C728" s="14" t="s">
        <v>907</v>
      </c>
      <c r="D728" s="14" t="s">
        <v>42</v>
      </c>
      <c r="E728" s="14" t="s">
        <v>29</v>
      </c>
      <c r="F728" s="14">
        <v>41</v>
      </c>
      <c r="G728" s="14" t="s">
        <v>139</v>
      </c>
      <c r="H728" s="14" t="s">
        <v>31</v>
      </c>
      <c r="I728" s="14" t="s">
        <v>139</v>
      </c>
      <c r="J728" s="14" t="s">
        <v>150</v>
      </c>
      <c r="K728" s="14">
        <v>2</v>
      </c>
      <c r="L728" s="14">
        <v>43281</v>
      </c>
      <c r="M728" s="14">
        <v>5</v>
      </c>
      <c r="N728" s="14">
        <v>4328.1000000000004</v>
      </c>
      <c r="O728" s="14">
        <v>14802.1</v>
      </c>
      <c r="P728" s="14">
        <v>87</v>
      </c>
      <c r="Q728" s="14">
        <f t="shared" si="11"/>
        <v>97036</v>
      </c>
      <c r="R728" s="14">
        <v>97123</v>
      </c>
      <c r="S728" s="14" t="s">
        <v>45</v>
      </c>
      <c r="T728" s="14" t="s">
        <v>63</v>
      </c>
      <c r="U728" s="14" t="s">
        <v>35</v>
      </c>
      <c r="V728" s="14" t="s">
        <v>36</v>
      </c>
      <c r="W728" s="14" t="s">
        <v>37</v>
      </c>
      <c r="X728" s="14">
        <v>7</v>
      </c>
      <c r="Y728" s="14" t="s">
        <v>47</v>
      </c>
      <c r="Z728" s="14">
        <v>1</v>
      </c>
      <c r="AA728" s="14" t="s">
        <v>47</v>
      </c>
    </row>
    <row r="729" spans="1:27" x14ac:dyDescent="0.35">
      <c r="A729" s="14" t="s">
        <v>1321</v>
      </c>
      <c r="B729" s="15">
        <v>45852</v>
      </c>
      <c r="C729" s="14" t="s">
        <v>852</v>
      </c>
      <c r="D729" s="14" t="s">
        <v>66</v>
      </c>
      <c r="E729" s="14" t="s">
        <v>29</v>
      </c>
      <c r="F729" s="14">
        <v>30</v>
      </c>
      <c r="G729" s="14" t="s">
        <v>30</v>
      </c>
      <c r="H729" s="14" t="s">
        <v>31</v>
      </c>
      <c r="I729" s="14" t="s">
        <v>30</v>
      </c>
      <c r="J729" s="14" t="s">
        <v>112</v>
      </c>
      <c r="K729" s="14">
        <v>2</v>
      </c>
      <c r="L729" s="14">
        <v>41547</v>
      </c>
      <c r="M729" s="14">
        <v>10</v>
      </c>
      <c r="N729" s="14">
        <v>8309.4</v>
      </c>
      <c r="O729" s="14">
        <v>13461.23</v>
      </c>
      <c r="P729" s="14">
        <v>154</v>
      </c>
      <c r="Q729" s="14">
        <f t="shared" si="11"/>
        <v>88245.83</v>
      </c>
      <c r="R729" s="14">
        <v>88399.83</v>
      </c>
      <c r="S729" s="14" t="s">
        <v>45</v>
      </c>
      <c r="T729" s="14" t="s">
        <v>63</v>
      </c>
      <c r="U729" s="14" t="s">
        <v>70</v>
      </c>
      <c r="V729" s="14" t="s">
        <v>56</v>
      </c>
      <c r="W729" s="14" t="s">
        <v>57</v>
      </c>
      <c r="X729" s="14">
        <v>4</v>
      </c>
      <c r="Y729" s="14" t="s">
        <v>38</v>
      </c>
      <c r="Z729" s="14">
        <v>3</v>
      </c>
      <c r="AA729" s="14" t="s">
        <v>58</v>
      </c>
    </row>
    <row r="730" spans="1:27" x14ac:dyDescent="0.35">
      <c r="A730" s="14" t="s">
        <v>1322</v>
      </c>
      <c r="B730" s="15">
        <v>45974</v>
      </c>
      <c r="C730" s="14" t="s">
        <v>1323</v>
      </c>
      <c r="D730" s="14" t="s">
        <v>61</v>
      </c>
      <c r="E730" s="14" t="s">
        <v>29</v>
      </c>
      <c r="F730" s="14">
        <v>26</v>
      </c>
      <c r="G730" s="14" t="s">
        <v>74</v>
      </c>
      <c r="H730" s="14" t="s">
        <v>31</v>
      </c>
      <c r="I730" s="14" t="s">
        <v>74</v>
      </c>
      <c r="J730" s="14" t="s">
        <v>125</v>
      </c>
      <c r="K730" s="14">
        <v>3</v>
      </c>
      <c r="L730" s="14">
        <v>27978</v>
      </c>
      <c r="M730" s="14">
        <v>5</v>
      </c>
      <c r="N730" s="14">
        <v>4196.7</v>
      </c>
      <c r="O730" s="14">
        <v>14352.71</v>
      </c>
      <c r="P730" s="14">
        <v>109</v>
      </c>
      <c r="Q730" s="14">
        <f t="shared" si="11"/>
        <v>94090.01</v>
      </c>
      <c r="R730" s="14">
        <v>94199.01</v>
      </c>
      <c r="S730" s="14" t="s">
        <v>54</v>
      </c>
      <c r="T730" s="14" t="s">
        <v>63</v>
      </c>
      <c r="U730" s="14" t="s">
        <v>35</v>
      </c>
      <c r="V730" s="14" t="s">
        <v>36</v>
      </c>
      <c r="W730" s="14" t="s">
        <v>37</v>
      </c>
      <c r="X730" s="14">
        <v>7</v>
      </c>
      <c r="Y730" s="14" t="s">
        <v>38</v>
      </c>
      <c r="Z730" s="14">
        <v>2</v>
      </c>
      <c r="AA730" s="14" t="s">
        <v>47</v>
      </c>
    </row>
    <row r="731" spans="1:27" x14ac:dyDescent="0.35">
      <c r="A731" s="14" t="s">
        <v>1324</v>
      </c>
      <c r="B731" s="15">
        <v>45962</v>
      </c>
      <c r="C731" s="14" t="s">
        <v>1325</v>
      </c>
      <c r="D731" s="14" t="s">
        <v>61</v>
      </c>
      <c r="E731" s="14" t="s">
        <v>43</v>
      </c>
      <c r="F731" s="14">
        <v>28</v>
      </c>
      <c r="G731" s="14" t="s">
        <v>134</v>
      </c>
      <c r="H731" s="14" t="s">
        <v>31</v>
      </c>
      <c r="I731" s="14" t="s">
        <v>134</v>
      </c>
      <c r="J731" s="14" t="s">
        <v>202</v>
      </c>
      <c r="K731" s="14">
        <v>1</v>
      </c>
      <c r="L731" s="14">
        <v>45792</v>
      </c>
      <c r="M731" s="14">
        <v>20</v>
      </c>
      <c r="N731" s="14">
        <v>9158.4</v>
      </c>
      <c r="O731" s="14">
        <v>6594.05</v>
      </c>
      <c r="P731" s="14">
        <v>224</v>
      </c>
      <c r="Q731" s="14">
        <f t="shared" si="11"/>
        <v>43227.65</v>
      </c>
      <c r="R731" s="14">
        <v>43451.65</v>
      </c>
      <c r="S731" s="14" t="s">
        <v>33</v>
      </c>
      <c r="T731" s="14" t="s">
        <v>63</v>
      </c>
      <c r="U731" s="14" t="s">
        <v>95</v>
      </c>
      <c r="V731" s="14" t="s">
        <v>96</v>
      </c>
      <c r="W731" s="14" t="s">
        <v>57</v>
      </c>
      <c r="X731" s="14">
        <v>6</v>
      </c>
      <c r="Y731" s="14" t="s">
        <v>47</v>
      </c>
      <c r="Z731" s="14">
        <v>3</v>
      </c>
      <c r="AA731" s="14" t="s">
        <v>58</v>
      </c>
    </row>
    <row r="732" spans="1:27" x14ac:dyDescent="0.35">
      <c r="A732" s="14" t="s">
        <v>1326</v>
      </c>
      <c r="B732" s="15">
        <v>46030</v>
      </c>
      <c r="C732" s="14" t="s">
        <v>224</v>
      </c>
      <c r="D732" s="14" t="s">
        <v>61</v>
      </c>
      <c r="E732" s="14" t="s">
        <v>29</v>
      </c>
      <c r="F732" s="14">
        <v>46</v>
      </c>
      <c r="G732" s="14" t="s">
        <v>99</v>
      </c>
      <c r="H732" s="14" t="s">
        <v>52</v>
      </c>
      <c r="I732" s="14" t="s">
        <v>99</v>
      </c>
      <c r="J732" s="14" t="s">
        <v>32</v>
      </c>
      <c r="K732" s="14">
        <v>3</v>
      </c>
      <c r="L732" s="14">
        <v>42112</v>
      </c>
      <c r="M732" s="14">
        <v>10</v>
      </c>
      <c r="N732" s="14">
        <v>12633.6</v>
      </c>
      <c r="O732" s="14">
        <v>20466.43</v>
      </c>
      <c r="P732" s="14">
        <v>357</v>
      </c>
      <c r="Q732" s="14">
        <f t="shared" si="11"/>
        <v>134168.82999999999</v>
      </c>
      <c r="R732" s="14">
        <v>134525.82999999999</v>
      </c>
      <c r="S732" s="14" t="s">
        <v>54</v>
      </c>
      <c r="T732" s="14" t="s">
        <v>34</v>
      </c>
      <c r="U732" s="14" t="s">
        <v>95</v>
      </c>
      <c r="V732" s="14" t="s">
        <v>96</v>
      </c>
      <c r="W732" s="14" t="s">
        <v>57</v>
      </c>
      <c r="X732" s="14">
        <v>8</v>
      </c>
      <c r="Y732" s="14" t="s">
        <v>38</v>
      </c>
      <c r="Z732" s="14">
        <v>5</v>
      </c>
      <c r="AA732" s="14" t="s">
        <v>91</v>
      </c>
    </row>
    <row r="733" spans="1:27" x14ac:dyDescent="0.35">
      <c r="A733" s="14" t="s">
        <v>1327</v>
      </c>
      <c r="B733" s="15">
        <v>45963</v>
      </c>
      <c r="C733" s="14" t="s">
        <v>984</v>
      </c>
      <c r="D733" s="14" t="s">
        <v>89</v>
      </c>
      <c r="E733" s="14" t="s">
        <v>43</v>
      </c>
      <c r="F733" s="14">
        <v>42</v>
      </c>
      <c r="G733" s="14" t="s">
        <v>99</v>
      </c>
      <c r="H733" s="14" t="s">
        <v>52</v>
      </c>
      <c r="I733" s="14" t="s">
        <v>99</v>
      </c>
      <c r="J733" s="14" t="s">
        <v>150</v>
      </c>
      <c r="K733" s="14">
        <v>1</v>
      </c>
      <c r="L733" s="14">
        <v>9485</v>
      </c>
      <c r="M733" s="14">
        <v>15</v>
      </c>
      <c r="N733" s="14">
        <v>1422.75</v>
      </c>
      <c r="O733" s="14">
        <v>1451.2</v>
      </c>
      <c r="P733" s="14">
        <v>167</v>
      </c>
      <c r="Q733" s="14">
        <f t="shared" si="11"/>
        <v>9513.4500000000007</v>
      </c>
      <c r="R733" s="14">
        <v>9680.4500000000007</v>
      </c>
      <c r="S733" s="14" t="s">
        <v>33</v>
      </c>
      <c r="T733" s="14" t="s">
        <v>34</v>
      </c>
      <c r="U733" s="14" t="s">
        <v>84</v>
      </c>
      <c r="V733" s="14" t="s">
        <v>85</v>
      </c>
      <c r="W733" s="14" t="s">
        <v>86</v>
      </c>
      <c r="X733" s="14">
        <v>1</v>
      </c>
      <c r="Y733" s="14" t="s">
        <v>38</v>
      </c>
      <c r="Z733" s="14">
        <v>1</v>
      </c>
      <c r="AA733" s="14" t="s">
        <v>58</v>
      </c>
    </row>
    <row r="734" spans="1:27" x14ac:dyDescent="0.35">
      <c r="A734" s="14" t="s">
        <v>1328</v>
      </c>
      <c r="B734" s="15">
        <v>45891</v>
      </c>
      <c r="C734" s="14" t="s">
        <v>1329</v>
      </c>
      <c r="D734" s="14" t="s">
        <v>28</v>
      </c>
      <c r="E734" s="14" t="s">
        <v>43</v>
      </c>
      <c r="F734" s="14">
        <v>53</v>
      </c>
      <c r="G734" s="14" t="s">
        <v>30</v>
      </c>
      <c r="H734" s="14" t="s">
        <v>31</v>
      </c>
      <c r="I734" s="14" t="s">
        <v>30</v>
      </c>
      <c r="J734" s="14" t="s">
        <v>102</v>
      </c>
      <c r="K734" s="14">
        <v>3</v>
      </c>
      <c r="L734" s="14">
        <v>3588</v>
      </c>
      <c r="M734" s="14">
        <v>15</v>
      </c>
      <c r="N734" s="14">
        <v>1614.6</v>
      </c>
      <c r="O734" s="14">
        <v>1646.89</v>
      </c>
      <c r="P734" s="14">
        <v>206</v>
      </c>
      <c r="Q734" s="14">
        <f t="shared" si="11"/>
        <v>10796.29</v>
      </c>
      <c r="R734" s="14">
        <v>11002.29</v>
      </c>
      <c r="S734" s="14" t="s">
        <v>54</v>
      </c>
      <c r="T734" s="14" t="s">
        <v>34</v>
      </c>
      <c r="U734" s="14" t="s">
        <v>103</v>
      </c>
      <c r="V734" s="14" t="s">
        <v>103</v>
      </c>
      <c r="W734" s="14" t="s">
        <v>57</v>
      </c>
      <c r="X734" s="14">
        <v>10</v>
      </c>
      <c r="Y734" s="14" t="s">
        <v>38</v>
      </c>
      <c r="Z734" s="14">
        <v>4</v>
      </c>
      <c r="AA734" s="14" t="s">
        <v>47</v>
      </c>
    </row>
    <row r="735" spans="1:27" x14ac:dyDescent="0.35">
      <c r="A735" s="14" t="s">
        <v>1330</v>
      </c>
      <c r="B735" s="15">
        <v>45848</v>
      </c>
      <c r="C735" s="14" t="s">
        <v>825</v>
      </c>
      <c r="D735" s="14" t="s">
        <v>61</v>
      </c>
      <c r="E735" s="14" t="s">
        <v>43</v>
      </c>
      <c r="F735" s="14">
        <v>56</v>
      </c>
      <c r="G735" s="14" t="s">
        <v>51</v>
      </c>
      <c r="H735" s="14" t="s">
        <v>52</v>
      </c>
      <c r="I735" s="14" t="s">
        <v>51</v>
      </c>
      <c r="J735" s="14" t="s">
        <v>53</v>
      </c>
      <c r="K735" s="14">
        <v>1</v>
      </c>
      <c r="L735" s="14">
        <v>44046</v>
      </c>
      <c r="M735" s="14">
        <v>20</v>
      </c>
      <c r="N735" s="14">
        <v>8809.2000000000007</v>
      </c>
      <c r="O735" s="14">
        <v>6342.62</v>
      </c>
      <c r="P735" s="14">
        <v>311</v>
      </c>
      <c r="Q735" s="14">
        <f t="shared" si="11"/>
        <v>41579.42</v>
      </c>
      <c r="R735" s="14">
        <v>41890.42</v>
      </c>
      <c r="S735" s="14" t="s">
        <v>54</v>
      </c>
      <c r="T735" s="14" t="s">
        <v>34</v>
      </c>
      <c r="U735" s="14" t="s">
        <v>103</v>
      </c>
      <c r="V735" s="14" t="s">
        <v>103</v>
      </c>
      <c r="W735" s="14" t="s">
        <v>57</v>
      </c>
      <c r="X735" s="14">
        <v>5</v>
      </c>
      <c r="Y735" s="14" t="s">
        <v>47</v>
      </c>
      <c r="Z735" s="14">
        <v>4</v>
      </c>
      <c r="AA735" s="14" t="s">
        <v>91</v>
      </c>
    </row>
    <row r="736" spans="1:27" x14ac:dyDescent="0.35">
      <c r="A736" s="14" t="s">
        <v>1331</v>
      </c>
      <c r="B736" s="15">
        <v>45970</v>
      </c>
      <c r="C736" s="14" t="s">
        <v>1332</v>
      </c>
      <c r="D736" s="14" t="s">
        <v>89</v>
      </c>
      <c r="E736" s="14" t="s">
        <v>43</v>
      </c>
      <c r="F736" s="14">
        <v>25</v>
      </c>
      <c r="G736" s="14" t="s">
        <v>51</v>
      </c>
      <c r="H736" s="14" t="s">
        <v>52</v>
      </c>
      <c r="I736" s="14" t="s">
        <v>51</v>
      </c>
      <c r="J736" s="14" t="s">
        <v>150</v>
      </c>
      <c r="K736" s="14">
        <v>5</v>
      </c>
      <c r="L736" s="14">
        <v>6165</v>
      </c>
      <c r="M736" s="14">
        <v>20</v>
      </c>
      <c r="N736" s="14">
        <v>6165</v>
      </c>
      <c r="O736" s="14">
        <v>4438.8</v>
      </c>
      <c r="P736" s="14">
        <v>424</v>
      </c>
      <c r="Q736" s="14">
        <f t="shared" si="11"/>
        <v>29098.799999999999</v>
      </c>
      <c r="R736" s="14">
        <v>29522.799999999999</v>
      </c>
      <c r="S736" s="14" t="s">
        <v>83</v>
      </c>
      <c r="T736" s="14" t="s">
        <v>34</v>
      </c>
      <c r="U736" s="14" t="s">
        <v>103</v>
      </c>
      <c r="V736" s="14" t="s">
        <v>103</v>
      </c>
      <c r="W736" s="14" t="s">
        <v>57</v>
      </c>
      <c r="X736" s="14">
        <v>8</v>
      </c>
      <c r="Y736" s="14" t="s">
        <v>38</v>
      </c>
      <c r="Z736" s="14">
        <v>5</v>
      </c>
      <c r="AA736" s="14" t="s">
        <v>58</v>
      </c>
    </row>
    <row r="737" spans="1:27" x14ac:dyDescent="0.35">
      <c r="A737" s="14" t="s">
        <v>1333</v>
      </c>
      <c r="B737" s="15">
        <v>45939</v>
      </c>
      <c r="C737" s="14" t="s">
        <v>949</v>
      </c>
      <c r="D737" s="14" t="s">
        <v>80</v>
      </c>
      <c r="E737" s="14" t="s">
        <v>29</v>
      </c>
      <c r="F737" s="14">
        <v>59</v>
      </c>
      <c r="G737" s="14" t="s">
        <v>90</v>
      </c>
      <c r="H737" s="14" t="s">
        <v>31</v>
      </c>
      <c r="I737" s="14" t="s">
        <v>90</v>
      </c>
      <c r="J737" s="14" t="s">
        <v>62</v>
      </c>
      <c r="K737" s="14">
        <v>4</v>
      </c>
      <c r="L737" s="14">
        <v>2086</v>
      </c>
      <c r="M737" s="14">
        <v>20</v>
      </c>
      <c r="N737" s="14">
        <v>1668.8</v>
      </c>
      <c r="O737" s="14">
        <v>1201.54</v>
      </c>
      <c r="P737" s="14">
        <v>360</v>
      </c>
      <c r="Q737" s="14">
        <f t="shared" si="11"/>
        <v>7876.74</v>
      </c>
      <c r="R737" s="14">
        <v>8236.74</v>
      </c>
      <c r="S737" s="14" t="s">
        <v>45</v>
      </c>
      <c r="T737" s="14" t="s">
        <v>63</v>
      </c>
      <c r="U737" s="14" t="s">
        <v>103</v>
      </c>
      <c r="V737" s="14" t="s">
        <v>103</v>
      </c>
      <c r="W737" s="14" t="s">
        <v>57</v>
      </c>
      <c r="X737" s="14">
        <v>2</v>
      </c>
      <c r="Y737" s="14" t="s">
        <v>47</v>
      </c>
      <c r="Z737" s="14">
        <v>4</v>
      </c>
      <c r="AA737" s="14" t="s">
        <v>91</v>
      </c>
    </row>
    <row r="738" spans="1:27" x14ac:dyDescent="0.35">
      <c r="A738" s="14" t="s">
        <v>1334</v>
      </c>
      <c r="B738" s="15">
        <v>45859</v>
      </c>
      <c r="C738" s="14" t="s">
        <v>747</v>
      </c>
      <c r="D738" s="14" t="s">
        <v>111</v>
      </c>
      <c r="E738" s="14" t="s">
        <v>43</v>
      </c>
      <c r="F738" s="14">
        <v>47</v>
      </c>
      <c r="G738" s="14" t="s">
        <v>51</v>
      </c>
      <c r="H738" s="14" t="s">
        <v>52</v>
      </c>
      <c r="I738" s="14" t="s">
        <v>51</v>
      </c>
      <c r="J738" s="14" t="s">
        <v>112</v>
      </c>
      <c r="K738" s="14">
        <v>1</v>
      </c>
      <c r="L738" s="14">
        <v>1296</v>
      </c>
      <c r="M738" s="14">
        <v>15</v>
      </c>
      <c r="N738" s="14">
        <v>194.4</v>
      </c>
      <c r="O738" s="14">
        <v>198.29</v>
      </c>
      <c r="P738" s="14">
        <v>410</v>
      </c>
      <c r="Q738" s="14">
        <f t="shared" si="11"/>
        <v>1299.8900000000001</v>
      </c>
      <c r="R738" s="14">
        <v>1709.89</v>
      </c>
      <c r="S738" s="14" t="s">
        <v>54</v>
      </c>
      <c r="T738" s="14" t="s">
        <v>34</v>
      </c>
      <c r="U738" s="14" t="s">
        <v>84</v>
      </c>
      <c r="V738" s="14" t="s">
        <v>85</v>
      </c>
      <c r="W738" s="14" t="s">
        <v>86</v>
      </c>
      <c r="X738" s="14">
        <v>5</v>
      </c>
      <c r="Y738" s="14" t="s">
        <v>38</v>
      </c>
      <c r="Z738" s="14">
        <v>3</v>
      </c>
      <c r="AA738" s="14" t="s">
        <v>58</v>
      </c>
    </row>
    <row r="739" spans="1:27" x14ac:dyDescent="0.35">
      <c r="A739" s="14" t="s">
        <v>1335</v>
      </c>
      <c r="B739" s="15">
        <v>46077</v>
      </c>
      <c r="C739" s="14" t="s">
        <v>193</v>
      </c>
      <c r="D739" s="14" t="s">
        <v>108</v>
      </c>
      <c r="E739" s="14" t="s">
        <v>29</v>
      </c>
      <c r="F739" s="14">
        <v>26</v>
      </c>
      <c r="G739" s="14" t="s">
        <v>30</v>
      </c>
      <c r="H739" s="14" t="s">
        <v>31</v>
      </c>
      <c r="I739" s="14" t="s">
        <v>30</v>
      </c>
      <c r="J739" s="14" t="s">
        <v>53</v>
      </c>
      <c r="K739" s="14">
        <v>1</v>
      </c>
      <c r="L739" s="14">
        <v>43602</v>
      </c>
      <c r="M739" s="14">
        <v>15</v>
      </c>
      <c r="N739" s="14">
        <v>6540.3</v>
      </c>
      <c r="O739" s="14">
        <v>6671.11</v>
      </c>
      <c r="P739" s="14">
        <v>396</v>
      </c>
      <c r="Q739" s="14">
        <f t="shared" si="11"/>
        <v>43732.81</v>
      </c>
      <c r="R739" s="14">
        <v>44128.81</v>
      </c>
      <c r="S739" s="14" t="s">
        <v>83</v>
      </c>
      <c r="T739" s="14" t="s">
        <v>34</v>
      </c>
      <c r="U739" s="14" t="s">
        <v>35</v>
      </c>
      <c r="V739" s="14" t="s">
        <v>36</v>
      </c>
      <c r="W739" s="14" t="s">
        <v>37</v>
      </c>
      <c r="X739" s="14">
        <v>1</v>
      </c>
      <c r="Y739" s="14" t="s">
        <v>47</v>
      </c>
      <c r="Z739" s="14">
        <v>5</v>
      </c>
      <c r="AA739" s="14" t="s">
        <v>47</v>
      </c>
    </row>
    <row r="740" spans="1:27" x14ac:dyDescent="0.35">
      <c r="A740" s="14" t="s">
        <v>1336</v>
      </c>
      <c r="B740" s="15">
        <v>45795</v>
      </c>
      <c r="C740" s="14" t="s">
        <v>1337</v>
      </c>
      <c r="D740" s="14" t="s">
        <v>111</v>
      </c>
      <c r="E740" s="14" t="s">
        <v>29</v>
      </c>
      <c r="F740" s="14">
        <v>25</v>
      </c>
      <c r="G740" s="14" t="s">
        <v>67</v>
      </c>
      <c r="H740" s="14" t="s">
        <v>68</v>
      </c>
      <c r="I740" s="14" t="s">
        <v>67</v>
      </c>
      <c r="J740" s="14" t="s">
        <v>75</v>
      </c>
      <c r="K740" s="14">
        <v>3</v>
      </c>
      <c r="L740" s="14">
        <v>8837</v>
      </c>
      <c r="M740" s="14">
        <v>20</v>
      </c>
      <c r="N740" s="14">
        <v>5302.2</v>
      </c>
      <c r="O740" s="14">
        <v>3817.58</v>
      </c>
      <c r="P740" s="14">
        <v>344</v>
      </c>
      <c r="Q740" s="14">
        <f t="shared" si="11"/>
        <v>25026.38</v>
      </c>
      <c r="R740" s="14">
        <v>25370.38</v>
      </c>
      <c r="S740" s="14" t="s">
        <v>54</v>
      </c>
      <c r="T740" s="14" t="s">
        <v>34</v>
      </c>
      <c r="U740" s="14" t="s">
        <v>103</v>
      </c>
      <c r="V740" s="14" t="s">
        <v>103</v>
      </c>
      <c r="W740" s="14" t="s">
        <v>57</v>
      </c>
      <c r="X740" s="14">
        <v>8</v>
      </c>
      <c r="Y740" s="14" t="s">
        <v>47</v>
      </c>
      <c r="Z740" s="14">
        <v>3</v>
      </c>
      <c r="AA740" s="14" t="s">
        <v>47</v>
      </c>
    </row>
    <row r="741" spans="1:27" x14ac:dyDescent="0.35">
      <c r="A741" s="14" t="s">
        <v>1338</v>
      </c>
      <c r="B741" s="15">
        <v>45886</v>
      </c>
      <c r="C741" s="14" t="s">
        <v>339</v>
      </c>
      <c r="D741" s="14" t="s">
        <v>80</v>
      </c>
      <c r="E741" s="14" t="s">
        <v>29</v>
      </c>
      <c r="F741" s="14">
        <v>23</v>
      </c>
      <c r="G741" s="14" t="s">
        <v>74</v>
      </c>
      <c r="H741" s="14" t="s">
        <v>31</v>
      </c>
      <c r="I741" s="14" t="s">
        <v>74</v>
      </c>
      <c r="J741" s="14" t="s">
        <v>102</v>
      </c>
      <c r="K741" s="14">
        <v>5</v>
      </c>
      <c r="L741" s="14">
        <v>10552</v>
      </c>
      <c r="M741" s="14">
        <v>0</v>
      </c>
      <c r="N741" s="14">
        <v>0</v>
      </c>
      <c r="O741" s="14">
        <v>9496.7999999999993</v>
      </c>
      <c r="P741" s="14">
        <v>290</v>
      </c>
      <c r="Q741" s="14">
        <f t="shared" si="11"/>
        <v>62256.800000000003</v>
      </c>
      <c r="R741" s="14">
        <v>62546.8</v>
      </c>
      <c r="S741" s="14" t="s">
        <v>83</v>
      </c>
      <c r="T741" s="14" t="s">
        <v>34</v>
      </c>
      <c r="U741" s="14" t="s">
        <v>84</v>
      </c>
      <c r="V741" s="14" t="s">
        <v>85</v>
      </c>
      <c r="W741" s="14" t="s">
        <v>86</v>
      </c>
      <c r="X741" s="14">
        <v>8</v>
      </c>
      <c r="Y741" s="14" t="s">
        <v>38</v>
      </c>
      <c r="Z741" s="14">
        <v>3</v>
      </c>
      <c r="AA741" s="14" t="s">
        <v>58</v>
      </c>
    </row>
    <row r="742" spans="1:27" x14ac:dyDescent="0.35">
      <c r="A742" s="14" t="s">
        <v>1339</v>
      </c>
      <c r="B742" s="15">
        <v>45922</v>
      </c>
      <c r="C742" s="14" t="s">
        <v>1049</v>
      </c>
      <c r="D742" s="14" t="s">
        <v>108</v>
      </c>
      <c r="E742" s="14" t="s">
        <v>29</v>
      </c>
      <c r="F742" s="14">
        <v>52</v>
      </c>
      <c r="G742" s="14" t="s">
        <v>44</v>
      </c>
      <c r="H742" s="14" t="s">
        <v>31</v>
      </c>
      <c r="I742" s="14" t="s">
        <v>44</v>
      </c>
      <c r="J742" s="14" t="s">
        <v>112</v>
      </c>
      <c r="K742" s="14">
        <v>3</v>
      </c>
      <c r="L742" s="14">
        <v>31793</v>
      </c>
      <c r="M742" s="14">
        <v>10</v>
      </c>
      <c r="N742" s="14">
        <v>9537.9</v>
      </c>
      <c r="O742" s="14">
        <v>15451.4</v>
      </c>
      <c r="P742" s="14">
        <v>433</v>
      </c>
      <c r="Q742" s="14">
        <f t="shared" si="11"/>
        <v>101292.5</v>
      </c>
      <c r="R742" s="14">
        <v>101725.5</v>
      </c>
      <c r="S742" s="14" t="s">
        <v>54</v>
      </c>
      <c r="T742" s="14" t="s">
        <v>34</v>
      </c>
      <c r="U742" s="14" t="s">
        <v>103</v>
      </c>
      <c r="V742" s="14" t="s">
        <v>103</v>
      </c>
      <c r="W742" s="14" t="s">
        <v>57</v>
      </c>
      <c r="X742" s="14">
        <v>7</v>
      </c>
      <c r="Y742" s="14" t="s">
        <v>38</v>
      </c>
      <c r="Z742" s="14">
        <v>2</v>
      </c>
      <c r="AA742" s="14" t="s">
        <v>47</v>
      </c>
    </row>
    <row r="743" spans="1:27" x14ac:dyDescent="0.35">
      <c r="A743" s="14" t="s">
        <v>1340</v>
      </c>
      <c r="B743" s="15">
        <v>46031</v>
      </c>
      <c r="C743" s="14" t="s">
        <v>835</v>
      </c>
      <c r="D743" s="14" t="s">
        <v>28</v>
      </c>
      <c r="E743" s="14" t="s">
        <v>29</v>
      </c>
      <c r="F743" s="14">
        <v>24</v>
      </c>
      <c r="G743" s="14" t="s">
        <v>94</v>
      </c>
      <c r="H743" s="14" t="s">
        <v>31</v>
      </c>
      <c r="I743" s="14" t="s">
        <v>94</v>
      </c>
      <c r="J743" s="14" t="s">
        <v>53</v>
      </c>
      <c r="K743" s="14">
        <v>4</v>
      </c>
      <c r="L743" s="14">
        <v>49840</v>
      </c>
      <c r="M743" s="14">
        <v>10</v>
      </c>
      <c r="N743" s="14">
        <v>19936</v>
      </c>
      <c r="O743" s="14">
        <v>32296.32</v>
      </c>
      <c r="P743" s="14">
        <v>58</v>
      </c>
      <c r="Q743" s="14">
        <f t="shared" si="11"/>
        <v>211720.32000000001</v>
      </c>
      <c r="R743" s="14">
        <v>211778.32</v>
      </c>
      <c r="S743" s="14" t="s">
        <v>45</v>
      </c>
      <c r="T743" s="14" t="s">
        <v>63</v>
      </c>
      <c r="U743" s="14" t="s">
        <v>103</v>
      </c>
      <c r="V743" s="14" t="s">
        <v>103</v>
      </c>
      <c r="W743" s="14" t="s">
        <v>57</v>
      </c>
      <c r="X743" s="14">
        <v>6</v>
      </c>
      <c r="Y743" s="14" t="s">
        <v>47</v>
      </c>
      <c r="Z743" s="14">
        <v>2</v>
      </c>
      <c r="AA743" s="14" t="s">
        <v>39</v>
      </c>
    </row>
    <row r="744" spans="1:27" x14ac:dyDescent="0.35">
      <c r="A744" s="14" t="s">
        <v>1341</v>
      </c>
      <c r="B744" s="15">
        <v>45840</v>
      </c>
      <c r="C744" s="14" t="s">
        <v>172</v>
      </c>
      <c r="D744" s="14" t="s">
        <v>61</v>
      </c>
      <c r="E744" s="14" t="s">
        <v>43</v>
      </c>
      <c r="F744" s="14">
        <v>53</v>
      </c>
      <c r="G744" s="14" t="s">
        <v>99</v>
      </c>
      <c r="H744" s="14" t="s">
        <v>52</v>
      </c>
      <c r="I744" s="14" t="s">
        <v>99</v>
      </c>
      <c r="J744" s="14" t="s">
        <v>75</v>
      </c>
      <c r="K744" s="14">
        <v>4</v>
      </c>
      <c r="L744" s="14">
        <v>5564</v>
      </c>
      <c r="M744" s="14">
        <v>20</v>
      </c>
      <c r="N744" s="14">
        <v>4451.2</v>
      </c>
      <c r="O744" s="14">
        <v>3204.86</v>
      </c>
      <c r="P744" s="14">
        <v>166</v>
      </c>
      <c r="Q744" s="14">
        <f t="shared" si="11"/>
        <v>21009.66</v>
      </c>
      <c r="R744" s="14">
        <v>21175.66</v>
      </c>
      <c r="S744" s="14" t="s">
        <v>54</v>
      </c>
      <c r="T744" s="14" t="s">
        <v>34</v>
      </c>
      <c r="U744" s="14" t="s">
        <v>95</v>
      </c>
      <c r="V744" s="14" t="s">
        <v>96</v>
      </c>
      <c r="W744" s="14" t="s">
        <v>57</v>
      </c>
      <c r="X744" s="14">
        <v>10</v>
      </c>
      <c r="Y744" s="14" t="s">
        <v>47</v>
      </c>
      <c r="Z744" s="14">
        <v>4</v>
      </c>
      <c r="AA744" s="14" t="s">
        <v>58</v>
      </c>
    </row>
    <row r="745" spans="1:27" x14ac:dyDescent="0.35">
      <c r="A745" s="14" t="s">
        <v>1342</v>
      </c>
      <c r="B745" s="15">
        <v>46071</v>
      </c>
      <c r="C745" s="14" t="s">
        <v>191</v>
      </c>
      <c r="D745" s="14" t="s">
        <v>42</v>
      </c>
      <c r="E745" s="14" t="s">
        <v>29</v>
      </c>
      <c r="F745" s="14">
        <v>35</v>
      </c>
      <c r="G745" s="14" t="s">
        <v>94</v>
      </c>
      <c r="H745" s="14" t="s">
        <v>31</v>
      </c>
      <c r="I745" s="14" t="s">
        <v>94</v>
      </c>
      <c r="J745" s="14" t="s">
        <v>75</v>
      </c>
      <c r="K745" s="14">
        <v>2</v>
      </c>
      <c r="L745" s="14">
        <v>8094</v>
      </c>
      <c r="M745" s="14">
        <v>5</v>
      </c>
      <c r="N745" s="14">
        <v>809.4</v>
      </c>
      <c r="O745" s="14">
        <v>2768.15</v>
      </c>
      <c r="P745" s="14">
        <v>400</v>
      </c>
      <c r="Q745" s="14">
        <f t="shared" si="11"/>
        <v>18146.75</v>
      </c>
      <c r="R745" s="14">
        <v>18546.75</v>
      </c>
      <c r="S745" s="14" t="s">
        <v>33</v>
      </c>
      <c r="T745" s="14" t="s">
        <v>34</v>
      </c>
      <c r="U745" s="14" t="s">
        <v>76</v>
      </c>
      <c r="V745" s="14" t="s">
        <v>77</v>
      </c>
      <c r="W745" s="14" t="s">
        <v>57</v>
      </c>
      <c r="X745" s="14">
        <v>9</v>
      </c>
      <c r="Y745" s="14" t="s">
        <v>47</v>
      </c>
      <c r="Z745" s="14">
        <v>5</v>
      </c>
      <c r="AA745" s="14" t="s">
        <v>47</v>
      </c>
    </row>
    <row r="746" spans="1:27" x14ac:dyDescent="0.35">
      <c r="A746" s="14" t="s">
        <v>1343</v>
      </c>
      <c r="B746" s="15">
        <v>46112</v>
      </c>
      <c r="C746" s="14" t="s">
        <v>1344</v>
      </c>
      <c r="D746" s="14" t="s">
        <v>108</v>
      </c>
      <c r="E746" s="14" t="s">
        <v>43</v>
      </c>
      <c r="F746" s="14">
        <v>41</v>
      </c>
      <c r="G746" s="14" t="s">
        <v>139</v>
      </c>
      <c r="H746" s="14" t="s">
        <v>31</v>
      </c>
      <c r="I746" s="14" t="s">
        <v>139</v>
      </c>
      <c r="J746" s="14" t="s">
        <v>69</v>
      </c>
      <c r="K746" s="14">
        <v>1</v>
      </c>
      <c r="L746" s="14">
        <v>32513</v>
      </c>
      <c r="M746" s="14">
        <v>5</v>
      </c>
      <c r="N746" s="14">
        <v>1625.65</v>
      </c>
      <c r="O746" s="14">
        <v>5559.72</v>
      </c>
      <c r="P746" s="14">
        <v>141</v>
      </c>
      <c r="Q746" s="14">
        <f t="shared" si="11"/>
        <v>36447.07</v>
      </c>
      <c r="R746" s="14">
        <v>36588.07</v>
      </c>
      <c r="S746" s="14" t="s">
        <v>33</v>
      </c>
      <c r="T746" s="14" t="s">
        <v>63</v>
      </c>
      <c r="U746" s="14" t="s">
        <v>35</v>
      </c>
      <c r="V746" s="14" t="s">
        <v>36</v>
      </c>
      <c r="W746" s="14" t="s">
        <v>37</v>
      </c>
      <c r="X746" s="14">
        <v>8</v>
      </c>
      <c r="Y746" s="14" t="s">
        <v>38</v>
      </c>
      <c r="Z746" s="14">
        <v>5</v>
      </c>
      <c r="AA746" s="14" t="s">
        <v>58</v>
      </c>
    </row>
    <row r="747" spans="1:27" x14ac:dyDescent="0.35">
      <c r="A747" s="14" t="s">
        <v>1345</v>
      </c>
      <c r="B747" s="15">
        <v>46078</v>
      </c>
      <c r="C747" s="14" t="s">
        <v>1346</v>
      </c>
      <c r="D747" s="14" t="s">
        <v>42</v>
      </c>
      <c r="E747" s="14" t="s">
        <v>43</v>
      </c>
      <c r="F747" s="14">
        <v>30</v>
      </c>
      <c r="G747" s="14" t="s">
        <v>74</v>
      </c>
      <c r="H747" s="14" t="s">
        <v>31</v>
      </c>
      <c r="I747" s="14" t="s">
        <v>74</v>
      </c>
      <c r="J747" s="14" t="s">
        <v>53</v>
      </c>
      <c r="K747" s="14">
        <v>3</v>
      </c>
      <c r="L747" s="14">
        <v>21815</v>
      </c>
      <c r="M747" s="14">
        <v>0</v>
      </c>
      <c r="N747" s="14">
        <v>0</v>
      </c>
      <c r="O747" s="14">
        <v>11780.1</v>
      </c>
      <c r="P747" s="14">
        <v>171</v>
      </c>
      <c r="Q747" s="14">
        <f t="shared" si="11"/>
        <v>77225.100000000006</v>
      </c>
      <c r="R747" s="14">
        <v>77396.100000000006</v>
      </c>
      <c r="S747" s="14" t="s">
        <v>54</v>
      </c>
      <c r="T747" s="14" t="s">
        <v>34</v>
      </c>
      <c r="U747" s="14" t="s">
        <v>95</v>
      </c>
      <c r="V747" s="14" t="s">
        <v>96</v>
      </c>
      <c r="W747" s="14" t="s">
        <v>57</v>
      </c>
      <c r="X747" s="14">
        <v>1</v>
      </c>
      <c r="Y747" s="14" t="s">
        <v>38</v>
      </c>
      <c r="Z747" s="14">
        <v>4</v>
      </c>
      <c r="AA747" s="14" t="s">
        <v>39</v>
      </c>
    </row>
    <row r="748" spans="1:27" x14ac:dyDescent="0.35">
      <c r="A748" s="14" t="s">
        <v>1347</v>
      </c>
      <c r="B748" s="15">
        <v>45775</v>
      </c>
      <c r="C748" s="14" t="s">
        <v>529</v>
      </c>
      <c r="D748" s="14" t="s">
        <v>50</v>
      </c>
      <c r="E748" s="14" t="s">
        <v>29</v>
      </c>
      <c r="F748" s="14">
        <v>22</v>
      </c>
      <c r="G748" s="14" t="s">
        <v>139</v>
      </c>
      <c r="H748" s="14" t="s">
        <v>31</v>
      </c>
      <c r="I748" s="14" t="s">
        <v>139</v>
      </c>
      <c r="J748" s="14" t="s">
        <v>69</v>
      </c>
      <c r="K748" s="14">
        <v>5</v>
      </c>
      <c r="L748" s="14">
        <v>35936</v>
      </c>
      <c r="M748" s="14">
        <v>0</v>
      </c>
      <c r="N748" s="14">
        <v>0</v>
      </c>
      <c r="O748" s="14">
        <v>32342.400000000001</v>
      </c>
      <c r="P748" s="14">
        <v>301</v>
      </c>
      <c r="Q748" s="14">
        <f t="shared" si="11"/>
        <v>212022.39999999999</v>
      </c>
      <c r="R748" s="14">
        <v>212323.4</v>
      </c>
      <c r="S748" s="14" t="s">
        <v>33</v>
      </c>
      <c r="T748" s="14" t="s">
        <v>34</v>
      </c>
      <c r="U748" s="14" t="s">
        <v>46</v>
      </c>
      <c r="V748" s="14" t="s">
        <v>36</v>
      </c>
      <c r="W748" s="14" t="s">
        <v>37</v>
      </c>
      <c r="X748" s="14">
        <v>2</v>
      </c>
      <c r="Y748" s="14" t="s">
        <v>47</v>
      </c>
      <c r="Z748" s="14">
        <v>3</v>
      </c>
      <c r="AA748" s="14" t="s">
        <v>47</v>
      </c>
    </row>
    <row r="749" spans="1:27" x14ac:dyDescent="0.35">
      <c r="A749" s="14" t="s">
        <v>1348</v>
      </c>
      <c r="B749" s="15">
        <v>46029</v>
      </c>
      <c r="C749" s="14" t="s">
        <v>907</v>
      </c>
      <c r="D749" s="14" t="s">
        <v>66</v>
      </c>
      <c r="E749" s="14" t="s">
        <v>29</v>
      </c>
      <c r="F749" s="14">
        <v>24</v>
      </c>
      <c r="G749" s="14" t="s">
        <v>99</v>
      </c>
      <c r="H749" s="14" t="s">
        <v>52</v>
      </c>
      <c r="I749" s="14" t="s">
        <v>99</v>
      </c>
      <c r="J749" s="14" t="s">
        <v>112</v>
      </c>
      <c r="K749" s="14">
        <v>2</v>
      </c>
      <c r="L749" s="14">
        <v>44948</v>
      </c>
      <c r="M749" s="14">
        <v>20</v>
      </c>
      <c r="N749" s="14">
        <v>17979.2</v>
      </c>
      <c r="O749" s="14">
        <v>12945.02</v>
      </c>
      <c r="P749" s="14">
        <v>53</v>
      </c>
      <c r="Q749" s="14">
        <f t="shared" si="11"/>
        <v>84861.82</v>
      </c>
      <c r="R749" s="14">
        <v>84914.82</v>
      </c>
      <c r="S749" s="14" t="s">
        <v>33</v>
      </c>
      <c r="T749" s="14" t="s">
        <v>63</v>
      </c>
      <c r="U749" s="14" t="s">
        <v>76</v>
      </c>
      <c r="V749" s="14" t="s">
        <v>77</v>
      </c>
      <c r="W749" s="14" t="s">
        <v>57</v>
      </c>
      <c r="X749" s="14">
        <v>5</v>
      </c>
      <c r="Y749" s="14" t="s">
        <v>38</v>
      </c>
      <c r="Z749" s="14">
        <v>1</v>
      </c>
      <c r="AA749" s="14" t="s">
        <v>47</v>
      </c>
    </row>
    <row r="750" spans="1:27" x14ac:dyDescent="0.35">
      <c r="A750" s="14" t="s">
        <v>1349</v>
      </c>
      <c r="B750" s="15">
        <v>45928</v>
      </c>
      <c r="C750" s="14" t="s">
        <v>331</v>
      </c>
      <c r="D750" s="14" t="s">
        <v>42</v>
      </c>
      <c r="E750" s="14" t="s">
        <v>29</v>
      </c>
      <c r="F750" s="14">
        <v>38</v>
      </c>
      <c r="G750" s="14" t="s">
        <v>94</v>
      </c>
      <c r="H750" s="14" t="s">
        <v>31</v>
      </c>
      <c r="I750" s="14" t="s">
        <v>94</v>
      </c>
      <c r="J750" s="14" t="s">
        <v>75</v>
      </c>
      <c r="K750" s="14">
        <v>1</v>
      </c>
      <c r="L750" s="14">
        <v>34893</v>
      </c>
      <c r="M750" s="14">
        <v>20</v>
      </c>
      <c r="N750" s="14">
        <v>6978.6</v>
      </c>
      <c r="O750" s="14">
        <v>5024.59</v>
      </c>
      <c r="P750" s="14">
        <v>137</v>
      </c>
      <c r="Q750" s="14">
        <f t="shared" si="11"/>
        <v>32938.99</v>
      </c>
      <c r="R750" s="14">
        <v>33075.99</v>
      </c>
      <c r="S750" s="14" t="s">
        <v>54</v>
      </c>
      <c r="T750" s="14" t="s">
        <v>34</v>
      </c>
      <c r="U750" s="14" t="s">
        <v>35</v>
      </c>
      <c r="V750" s="14" t="s">
        <v>36</v>
      </c>
      <c r="W750" s="14" t="s">
        <v>37</v>
      </c>
      <c r="X750" s="14">
        <v>2</v>
      </c>
      <c r="Y750" s="14" t="s">
        <v>38</v>
      </c>
      <c r="Z750" s="14">
        <v>2</v>
      </c>
      <c r="AA750" s="14" t="s">
        <v>47</v>
      </c>
    </row>
    <row r="751" spans="1:27" x14ac:dyDescent="0.35">
      <c r="A751" s="14" t="s">
        <v>1350</v>
      </c>
      <c r="B751" s="15">
        <v>46104</v>
      </c>
      <c r="C751" s="14" t="s">
        <v>354</v>
      </c>
      <c r="D751" s="14" t="s">
        <v>108</v>
      </c>
      <c r="E751" s="14" t="s">
        <v>43</v>
      </c>
      <c r="F751" s="14">
        <v>54</v>
      </c>
      <c r="G751" s="14" t="s">
        <v>99</v>
      </c>
      <c r="H751" s="14" t="s">
        <v>52</v>
      </c>
      <c r="I751" s="14" t="s">
        <v>99</v>
      </c>
      <c r="J751" s="14" t="s">
        <v>150</v>
      </c>
      <c r="K751" s="14">
        <v>5</v>
      </c>
      <c r="L751" s="14">
        <v>37161</v>
      </c>
      <c r="M751" s="14">
        <v>15</v>
      </c>
      <c r="N751" s="14">
        <v>27870.75</v>
      </c>
      <c r="O751" s="14">
        <v>28428.16</v>
      </c>
      <c r="P751" s="14">
        <v>83</v>
      </c>
      <c r="Q751" s="14">
        <f t="shared" si="11"/>
        <v>186362.42</v>
      </c>
      <c r="R751" s="14">
        <v>186445.42</v>
      </c>
      <c r="S751" s="14" t="s">
        <v>54</v>
      </c>
      <c r="T751" s="14" t="s">
        <v>34</v>
      </c>
      <c r="U751" s="14" t="s">
        <v>103</v>
      </c>
      <c r="V751" s="14" t="s">
        <v>103</v>
      </c>
      <c r="W751" s="14" t="s">
        <v>57</v>
      </c>
      <c r="X751" s="14">
        <v>8</v>
      </c>
      <c r="Y751" s="14" t="s">
        <v>38</v>
      </c>
      <c r="Z751" s="14">
        <v>5</v>
      </c>
      <c r="AA751" s="14" t="s">
        <v>58</v>
      </c>
    </row>
    <row r="752" spans="1:27" x14ac:dyDescent="0.35">
      <c r="A752" s="14" t="s">
        <v>1351</v>
      </c>
      <c r="B752" s="15">
        <v>46117</v>
      </c>
      <c r="C752" s="14" t="s">
        <v>1352</v>
      </c>
      <c r="D752" s="14" t="s">
        <v>61</v>
      </c>
      <c r="E752" s="14" t="s">
        <v>29</v>
      </c>
      <c r="F752" s="14">
        <v>43</v>
      </c>
      <c r="G752" s="14" t="s">
        <v>51</v>
      </c>
      <c r="H752" s="14" t="s">
        <v>52</v>
      </c>
      <c r="I752" s="14" t="s">
        <v>51</v>
      </c>
      <c r="J752" s="14" t="s">
        <v>69</v>
      </c>
      <c r="K752" s="14">
        <v>3</v>
      </c>
      <c r="L752" s="14">
        <v>30146</v>
      </c>
      <c r="M752" s="14">
        <v>10</v>
      </c>
      <c r="N752" s="14">
        <v>9043.7999999999993</v>
      </c>
      <c r="O752" s="14">
        <v>14650.96</v>
      </c>
      <c r="P752" s="14">
        <v>175</v>
      </c>
      <c r="Q752" s="14">
        <f t="shared" si="11"/>
        <v>96045.16</v>
      </c>
      <c r="R752" s="14">
        <v>96220.160000000003</v>
      </c>
      <c r="S752" s="14" t="s">
        <v>83</v>
      </c>
      <c r="T752" s="14" t="s">
        <v>63</v>
      </c>
      <c r="U752" s="14" t="s">
        <v>55</v>
      </c>
      <c r="V752" s="14" t="s">
        <v>56</v>
      </c>
      <c r="W752" s="14" t="s">
        <v>57</v>
      </c>
      <c r="X752" s="14">
        <v>1</v>
      </c>
      <c r="Y752" s="14" t="s">
        <v>38</v>
      </c>
      <c r="Z752" s="14">
        <v>4</v>
      </c>
      <c r="AA752" s="14" t="s">
        <v>58</v>
      </c>
    </row>
    <row r="753" spans="1:27" x14ac:dyDescent="0.35">
      <c r="A753" s="14" t="s">
        <v>1353</v>
      </c>
      <c r="B753" s="15">
        <v>45759</v>
      </c>
      <c r="C753" s="14" t="s">
        <v>1006</v>
      </c>
      <c r="D753" s="14" t="s">
        <v>66</v>
      </c>
      <c r="E753" s="14" t="s">
        <v>29</v>
      </c>
      <c r="F753" s="14">
        <v>55</v>
      </c>
      <c r="G753" s="14" t="s">
        <v>30</v>
      </c>
      <c r="H753" s="14" t="s">
        <v>31</v>
      </c>
      <c r="I753" s="14" t="s">
        <v>30</v>
      </c>
      <c r="J753" s="14" t="s">
        <v>125</v>
      </c>
      <c r="K753" s="14">
        <v>5</v>
      </c>
      <c r="L753" s="14">
        <v>22055</v>
      </c>
      <c r="M753" s="14">
        <v>0</v>
      </c>
      <c r="N753" s="14">
        <v>0</v>
      </c>
      <c r="O753" s="14">
        <v>19849.5</v>
      </c>
      <c r="P753" s="14">
        <v>490</v>
      </c>
      <c r="Q753" s="14">
        <f t="shared" si="11"/>
        <v>130124.5</v>
      </c>
      <c r="R753" s="14">
        <v>130614.5</v>
      </c>
      <c r="S753" s="14" t="s">
        <v>54</v>
      </c>
      <c r="T753" s="14" t="s">
        <v>34</v>
      </c>
      <c r="U753" s="14" t="s">
        <v>35</v>
      </c>
      <c r="V753" s="14" t="s">
        <v>36</v>
      </c>
      <c r="W753" s="14" t="s">
        <v>37</v>
      </c>
      <c r="X753" s="14">
        <v>1</v>
      </c>
      <c r="Y753" s="14" t="s">
        <v>38</v>
      </c>
      <c r="Z753" s="14">
        <v>3</v>
      </c>
      <c r="AA753" s="14" t="s">
        <v>91</v>
      </c>
    </row>
    <row r="754" spans="1:27" x14ac:dyDescent="0.35">
      <c r="A754" s="14" t="s">
        <v>1354</v>
      </c>
      <c r="B754" s="15">
        <v>46009</v>
      </c>
      <c r="C754" s="14" t="s">
        <v>768</v>
      </c>
      <c r="D754" s="14" t="s">
        <v>28</v>
      </c>
      <c r="E754" s="14" t="s">
        <v>43</v>
      </c>
      <c r="F754" s="14">
        <v>31</v>
      </c>
      <c r="G754" s="14" t="s">
        <v>99</v>
      </c>
      <c r="H754" s="14" t="s">
        <v>52</v>
      </c>
      <c r="I754" s="14" t="s">
        <v>99</v>
      </c>
      <c r="J754" s="14" t="s">
        <v>75</v>
      </c>
      <c r="K754" s="14">
        <v>1</v>
      </c>
      <c r="L754" s="14">
        <v>43437</v>
      </c>
      <c r="M754" s="14">
        <v>5</v>
      </c>
      <c r="N754" s="14">
        <v>2171.85</v>
      </c>
      <c r="O754" s="14">
        <v>7427.73</v>
      </c>
      <c r="P754" s="14">
        <v>286</v>
      </c>
      <c r="Q754" s="14">
        <f t="shared" si="11"/>
        <v>48692.88</v>
      </c>
      <c r="R754" s="14">
        <v>48978.879999999997</v>
      </c>
      <c r="S754" s="14" t="s">
        <v>54</v>
      </c>
      <c r="T754" s="14" t="s">
        <v>34</v>
      </c>
      <c r="U754" s="14" t="s">
        <v>55</v>
      </c>
      <c r="V754" s="14" t="s">
        <v>56</v>
      </c>
      <c r="W754" s="14" t="s">
        <v>57</v>
      </c>
      <c r="X754" s="14">
        <v>9</v>
      </c>
      <c r="Y754" s="14" t="s">
        <v>38</v>
      </c>
      <c r="Z754" s="14">
        <v>3</v>
      </c>
      <c r="AA754" s="14" t="s">
        <v>58</v>
      </c>
    </row>
    <row r="755" spans="1:27" x14ac:dyDescent="0.35">
      <c r="A755" s="14" t="s">
        <v>1355</v>
      </c>
      <c r="B755" s="15">
        <v>45903</v>
      </c>
      <c r="C755" s="14" t="s">
        <v>280</v>
      </c>
      <c r="D755" s="14" t="s">
        <v>80</v>
      </c>
      <c r="E755" s="14" t="s">
        <v>29</v>
      </c>
      <c r="F755" s="14">
        <v>18</v>
      </c>
      <c r="G755" s="14" t="s">
        <v>51</v>
      </c>
      <c r="H755" s="14" t="s">
        <v>52</v>
      </c>
      <c r="I755" s="14" t="s">
        <v>51</v>
      </c>
      <c r="J755" s="14" t="s">
        <v>202</v>
      </c>
      <c r="K755" s="14">
        <v>1</v>
      </c>
      <c r="L755" s="14">
        <v>16469</v>
      </c>
      <c r="M755" s="14">
        <v>20</v>
      </c>
      <c r="N755" s="14">
        <v>3293.8</v>
      </c>
      <c r="O755" s="14">
        <v>2371.54</v>
      </c>
      <c r="P755" s="14">
        <v>266</v>
      </c>
      <c r="Q755" s="14">
        <f t="shared" si="11"/>
        <v>15546.74</v>
      </c>
      <c r="R755" s="14">
        <v>15812.74</v>
      </c>
      <c r="S755" s="14" t="s">
        <v>54</v>
      </c>
      <c r="T755" s="14" t="s">
        <v>34</v>
      </c>
      <c r="U755" s="14" t="s">
        <v>103</v>
      </c>
      <c r="V755" s="14" t="s">
        <v>103</v>
      </c>
      <c r="W755" s="14" t="s">
        <v>57</v>
      </c>
      <c r="X755" s="14">
        <v>7</v>
      </c>
      <c r="Y755" s="14" t="s">
        <v>38</v>
      </c>
      <c r="Z755" s="14">
        <v>4</v>
      </c>
      <c r="AA755" s="14" t="s">
        <v>47</v>
      </c>
    </row>
    <row r="756" spans="1:27" x14ac:dyDescent="0.35">
      <c r="A756" s="14" t="s">
        <v>1356</v>
      </c>
      <c r="B756" s="15">
        <v>46070</v>
      </c>
      <c r="C756" s="14" t="s">
        <v>1357</v>
      </c>
      <c r="D756" s="14" t="s">
        <v>111</v>
      </c>
      <c r="E756" s="14" t="s">
        <v>29</v>
      </c>
      <c r="F756" s="14">
        <v>48</v>
      </c>
      <c r="G756" s="14" t="s">
        <v>51</v>
      </c>
      <c r="H756" s="14" t="s">
        <v>52</v>
      </c>
      <c r="I756" s="14" t="s">
        <v>51</v>
      </c>
      <c r="J756" s="14" t="s">
        <v>150</v>
      </c>
      <c r="K756" s="14">
        <v>1</v>
      </c>
      <c r="L756" s="14">
        <v>44498</v>
      </c>
      <c r="M756" s="14">
        <v>10</v>
      </c>
      <c r="N756" s="14">
        <v>4449.8</v>
      </c>
      <c r="O756" s="14">
        <v>7208.68</v>
      </c>
      <c r="P756" s="14">
        <v>101</v>
      </c>
      <c r="Q756" s="14">
        <f t="shared" si="11"/>
        <v>47256.88</v>
      </c>
      <c r="R756" s="14">
        <v>47357.88</v>
      </c>
      <c r="S756" s="14" t="s">
        <v>45</v>
      </c>
      <c r="T756" s="14" t="s">
        <v>34</v>
      </c>
      <c r="U756" s="14" t="s">
        <v>76</v>
      </c>
      <c r="V756" s="14" t="s">
        <v>77</v>
      </c>
      <c r="W756" s="14" t="s">
        <v>57</v>
      </c>
      <c r="X756" s="14">
        <v>7</v>
      </c>
      <c r="Y756" s="14" t="s">
        <v>38</v>
      </c>
      <c r="Z756" s="14">
        <v>2</v>
      </c>
      <c r="AA756" s="14" t="s">
        <v>47</v>
      </c>
    </row>
    <row r="757" spans="1:27" x14ac:dyDescent="0.35">
      <c r="A757" s="14" t="s">
        <v>1358</v>
      </c>
      <c r="B757" s="15">
        <v>45968</v>
      </c>
      <c r="C757" s="14" t="s">
        <v>1188</v>
      </c>
      <c r="D757" s="14" t="s">
        <v>28</v>
      </c>
      <c r="E757" s="14" t="s">
        <v>29</v>
      </c>
      <c r="F757" s="14">
        <v>33</v>
      </c>
      <c r="G757" s="14" t="s">
        <v>134</v>
      </c>
      <c r="H757" s="14" t="s">
        <v>31</v>
      </c>
      <c r="I757" s="14" t="s">
        <v>134</v>
      </c>
      <c r="J757" s="14" t="s">
        <v>102</v>
      </c>
      <c r="K757" s="14">
        <v>5</v>
      </c>
      <c r="L757" s="14">
        <v>31205</v>
      </c>
      <c r="M757" s="14">
        <v>10</v>
      </c>
      <c r="N757" s="14">
        <v>15602.5</v>
      </c>
      <c r="O757" s="14">
        <v>25276.05</v>
      </c>
      <c r="P757" s="14">
        <v>301</v>
      </c>
      <c r="Q757" s="14">
        <f t="shared" si="11"/>
        <v>165698.54999999999</v>
      </c>
      <c r="R757" s="14">
        <v>165999.54999999999</v>
      </c>
      <c r="S757" s="14" t="s">
        <v>54</v>
      </c>
      <c r="T757" s="14" t="s">
        <v>63</v>
      </c>
      <c r="U757" s="14" t="s">
        <v>55</v>
      </c>
      <c r="V757" s="14" t="s">
        <v>56</v>
      </c>
      <c r="W757" s="14" t="s">
        <v>57</v>
      </c>
      <c r="X757" s="14">
        <v>5</v>
      </c>
      <c r="Y757" s="14" t="s">
        <v>38</v>
      </c>
      <c r="Z757" s="14">
        <v>3</v>
      </c>
      <c r="AA757" s="14" t="s">
        <v>39</v>
      </c>
    </row>
    <row r="758" spans="1:27" x14ac:dyDescent="0.35">
      <c r="A758" s="14" t="s">
        <v>1359</v>
      </c>
      <c r="B758" s="15">
        <v>45892</v>
      </c>
      <c r="C758" s="14" t="s">
        <v>288</v>
      </c>
      <c r="D758" s="14" t="s">
        <v>61</v>
      </c>
      <c r="E758" s="14" t="s">
        <v>43</v>
      </c>
      <c r="F758" s="14">
        <v>41</v>
      </c>
      <c r="G758" s="14" t="s">
        <v>51</v>
      </c>
      <c r="H758" s="14" t="s">
        <v>52</v>
      </c>
      <c r="I758" s="14" t="s">
        <v>51</v>
      </c>
      <c r="J758" s="14" t="s">
        <v>112</v>
      </c>
      <c r="K758" s="14">
        <v>2</v>
      </c>
      <c r="L758" s="14">
        <v>48901</v>
      </c>
      <c r="M758" s="14">
        <v>0</v>
      </c>
      <c r="N758" s="14">
        <v>0</v>
      </c>
      <c r="O758" s="14">
        <v>17604.36</v>
      </c>
      <c r="P758" s="14">
        <v>80</v>
      </c>
      <c r="Q758" s="14">
        <f t="shared" si="11"/>
        <v>115406.36</v>
      </c>
      <c r="R758" s="14">
        <v>115486.36</v>
      </c>
      <c r="S758" s="14" t="s">
        <v>83</v>
      </c>
      <c r="T758" s="14" t="s">
        <v>63</v>
      </c>
      <c r="U758" s="14" t="s">
        <v>55</v>
      </c>
      <c r="V758" s="14" t="s">
        <v>56</v>
      </c>
      <c r="W758" s="14" t="s">
        <v>57</v>
      </c>
      <c r="X758" s="14">
        <v>8</v>
      </c>
      <c r="Y758" s="14" t="s">
        <v>47</v>
      </c>
      <c r="Z758" s="14">
        <v>4</v>
      </c>
      <c r="AA758" s="14" t="s">
        <v>58</v>
      </c>
    </row>
    <row r="759" spans="1:27" x14ac:dyDescent="0.35">
      <c r="A759" s="14" t="s">
        <v>1360</v>
      </c>
      <c r="B759" s="15">
        <v>46079</v>
      </c>
      <c r="C759" s="14" t="s">
        <v>957</v>
      </c>
      <c r="D759" s="14" t="s">
        <v>28</v>
      </c>
      <c r="E759" s="14" t="s">
        <v>29</v>
      </c>
      <c r="F759" s="14">
        <v>27</v>
      </c>
      <c r="G759" s="14" t="s">
        <v>44</v>
      </c>
      <c r="H759" s="14" t="s">
        <v>31</v>
      </c>
      <c r="I759" s="14" t="s">
        <v>44</v>
      </c>
      <c r="J759" s="14" t="s">
        <v>125</v>
      </c>
      <c r="K759" s="14">
        <v>3</v>
      </c>
      <c r="L759" s="14">
        <v>2214</v>
      </c>
      <c r="M759" s="14">
        <v>20</v>
      </c>
      <c r="N759" s="14">
        <v>1328.4</v>
      </c>
      <c r="O759" s="14">
        <v>956.45</v>
      </c>
      <c r="P759" s="14">
        <v>182</v>
      </c>
      <c r="Q759" s="14">
        <f t="shared" si="11"/>
        <v>6270.05</v>
      </c>
      <c r="R759" s="14">
        <v>6452.05</v>
      </c>
      <c r="S759" s="14" t="s">
        <v>83</v>
      </c>
      <c r="T759" s="14" t="s">
        <v>34</v>
      </c>
      <c r="U759" s="14" t="s">
        <v>35</v>
      </c>
      <c r="V759" s="14" t="s">
        <v>36</v>
      </c>
      <c r="W759" s="14" t="s">
        <v>37</v>
      </c>
      <c r="X759" s="14">
        <v>4</v>
      </c>
      <c r="Y759" s="14" t="s">
        <v>47</v>
      </c>
      <c r="Z759" s="14">
        <v>2</v>
      </c>
      <c r="AA759" s="14" t="s">
        <v>91</v>
      </c>
    </row>
    <row r="760" spans="1:27" x14ac:dyDescent="0.35">
      <c r="A760" s="14" t="s">
        <v>1361</v>
      </c>
      <c r="B760" s="15">
        <v>45967</v>
      </c>
      <c r="C760" s="14" t="s">
        <v>1362</v>
      </c>
      <c r="D760" s="14" t="s">
        <v>89</v>
      </c>
      <c r="E760" s="14" t="s">
        <v>43</v>
      </c>
      <c r="F760" s="14">
        <v>59</v>
      </c>
      <c r="G760" s="14" t="s">
        <v>30</v>
      </c>
      <c r="H760" s="14" t="s">
        <v>31</v>
      </c>
      <c r="I760" s="14" t="s">
        <v>30</v>
      </c>
      <c r="J760" s="14" t="s">
        <v>53</v>
      </c>
      <c r="K760" s="14">
        <v>5</v>
      </c>
      <c r="L760" s="14">
        <v>37151</v>
      </c>
      <c r="M760" s="14">
        <v>5</v>
      </c>
      <c r="N760" s="14">
        <v>9287.75</v>
      </c>
      <c r="O760" s="14">
        <v>31764.1</v>
      </c>
      <c r="P760" s="14">
        <v>164</v>
      </c>
      <c r="Q760" s="14">
        <f t="shared" si="11"/>
        <v>208231.36</v>
      </c>
      <c r="R760" s="14">
        <v>208395.36</v>
      </c>
      <c r="S760" s="14" t="s">
        <v>33</v>
      </c>
      <c r="T760" s="14" t="s">
        <v>34</v>
      </c>
      <c r="U760" s="14" t="s">
        <v>76</v>
      </c>
      <c r="V760" s="14" t="s">
        <v>77</v>
      </c>
      <c r="W760" s="14" t="s">
        <v>57</v>
      </c>
      <c r="X760" s="14">
        <v>4</v>
      </c>
      <c r="Y760" s="14" t="s">
        <v>47</v>
      </c>
      <c r="Z760" s="14">
        <v>2</v>
      </c>
      <c r="AA760" s="14" t="s">
        <v>91</v>
      </c>
    </row>
    <row r="761" spans="1:27" x14ac:dyDescent="0.35">
      <c r="A761" s="14" t="s">
        <v>1363</v>
      </c>
      <c r="B761" s="15">
        <v>45893</v>
      </c>
      <c r="C761" s="14" t="s">
        <v>978</v>
      </c>
      <c r="D761" s="14" t="s">
        <v>66</v>
      </c>
      <c r="E761" s="14" t="s">
        <v>43</v>
      </c>
      <c r="F761" s="14">
        <v>37</v>
      </c>
      <c r="G761" s="14" t="s">
        <v>74</v>
      </c>
      <c r="H761" s="14" t="s">
        <v>31</v>
      </c>
      <c r="I761" s="14" t="s">
        <v>74</v>
      </c>
      <c r="J761" s="14" t="s">
        <v>75</v>
      </c>
      <c r="K761" s="14">
        <v>3</v>
      </c>
      <c r="L761" s="14">
        <v>37260</v>
      </c>
      <c r="M761" s="14">
        <v>0</v>
      </c>
      <c r="N761" s="14">
        <v>0</v>
      </c>
      <c r="O761" s="14">
        <v>20120.400000000001</v>
      </c>
      <c r="P761" s="14">
        <v>17</v>
      </c>
      <c r="Q761" s="14">
        <f t="shared" si="11"/>
        <v>131900.4</v>
      </c>
      <c r="R761" s="14">
        <v>131917.4</v>
      </c>
      <c r="S761" s="14" t="s">
        <v>45</v>
      </c>
      <c r="T761" s="14" t="s">
        <v>34</v>
      </c>
      <c r="U761" s="14" t="s">
        <v>95</v>
      </c>
      <c r="V761" s="14" t="s">
        <v>96</v>
      </c>
      <c r="W761" s="14" t="s">
        <v>57</v>
      </c>
      <c r="X761" s="14">
        <v>2</v>
      </c>
      <c r="Y761" s="14" t="s">
        <v>38</v>
      </c>
      <c r="Z761" s="14">
        <v>3</v>
      </c>
      <c r="AA761" s="14" t="s">
        <v>58</v>
      </c>
    </row>
    <row r="762" spans="1:27" x14ac:dyDescent="0.35">
      <c r="A762" s="14" t="s">
        <v>1364</v>
      </c>
      <c r="B762" s="15">
        <v>45847</v>
      </c>
      <c r="C762" s="14" t="s">
        <v>345</v>
      </c>
      <c r="D762" s="14" t="s">
        <v>89</v>
      </c>
      <c r="E762" s="14" t="s">
        <v>29</v>
      </c>
      <c r="F762" s="14">
        <v>19</v>
      </c>
      <c r="G762" s="14" t="s">
        <v>139</v>
      </c>
      <c r="H762" s="14" t="s">
        <v>31</v>
      </c>
      <c r="I762" s="14" t="s">
        <v>139</v>
      </c>
      <c r="J762" s="14" t="s">
        <v>102</v>
      </c>
      <c r="K762" s="14">
        <v>1</v>
      </c>
      <c r="L762" s="14">
        <v>47891</v>
      </c>
      <c r="M762" s="14">
        <v>0</v>
      </c>
      <c r="N762" s="14">
        <v>0</v>
      </c>
      <c r="O762" s="14">
        <v>8620.3799999999992</v>
      </c>
      <c r="P762" s="14">
        <v>382</v>
      </c>
      <c r="Q762" s="14">
        <f t="shared" si="11"/>
        <v>56511.38</v>
      </c>
      <c r="R762" s="14">
        <v>56893.38</v>
      </c>
      <c r="S762" s="14" t="s">
        <v>45</v>
      </c>
      <c r="T762" s="14" t="s">
        <v>63</v>
      </c>
      <c r="U762" s="14" t="s">
        <v>35</v>
      </c>
      <c r="V762" s="14" t="s">
        <v>36</v>
      </c>
      <c r="W762" s="14" t="s">
        <v>37</v>
      </c>
      <c r="X762" s="14">
        <v>3</v>
      </c>
      <c r="Y762" s="14" t="s">
        <v>38</v>
      </c>
      <c r="Z762" s="14">
        <v>2</v>
      </c>
      <c r="AA762" s="14" t="s">
        <v>91</v>
      </c>
    </row>
    <row r="763" spans="1:27" x14ac:dyDescent="0.35">
      <c r="A763" s="14" t="s">
        <v>1365</v>
      </c>
      <c r="B763" s="15">
        <v>46070</v>
      </c>
      <c r="C763" s="14" t="s">
        <v>405</v>
      </c>
      <c r="D763" s="14" t="s">
        <v>80</v>
      </c>
      <c r="E763" s="14" t="s">
        <v>29</v>
      </c>
      <c r="F763" s="14">
        <v>55</v>
      </c>
      <c r="G763" s="14" t="s">
        <v>74</v>
      </c>
      <c r="H763" s="14" t="s">
        <v>31</v>
      </c>
      <c r="I763" s="14" t="s">
        <v>74</v>
      </c>
      <c r="J763" s="14" t="s">
        <v>53</v>
      </c>
      <c r="K763" s="14">
        <v>5</v>
      </c>
      <c r="L763" s="14">
        <v>16719</v>
      </c>
      <c r="M763" s="14">
        <v>5</v>
      </c>
      <c r="N763" s="14">
        <v>4179.75</v>
      </c>
      <c r="O763" s="14">
        <v>14294.74</v>
      </c>
      <c r="P763" s="14">
        <v>308</v>
      </c>
      <c r="Q763" s="14">
        <f t="shared" si="11"/>
        <v>93709.99</v>
      </c>
      <c r="R763" s="14">
        <v>94017.99</v>
      </c>
      <c r="S763" s="14" t="s">
        <v>45</v>
      </c>
      <c r="T763" s="14" t="s">
        <v>34</v>
      </c>
      <c r="U763" s="14" t="s">
        <v>70</v>
      </c>
      <c r="V763" s="14" t="s">
        <v>56</v>
      </c>
      <c r="W763" s="14" t="s">
        <v>57</v>
      </c>
      <c r="X763" s="14">
        <v>10</v>
      </c>
      <c r="Y763" s="14" t="s">
        <v>38</v>
      </c>
      <c r="Z763" s="14">
        <v>2</v>
      </c>
      <c r="AA763" s="14" t="s">
        <v>47</v>
      </c>
    </row>
    <row r="764" spans="1:27" x14ac:dyDescent="0.35">
      <c r="A764" s="14" t="s">
        <v>1366</v>
      </c>
      <c r="B764" s="15">
        <v>45771</v>
      </c>
      <c r="C764" s="14" t="s">
        <v>1367</v>
      </c>
      <c r="D764" s="14" t="s">
        <v>89</v>
      </c>
      <c r="E764" s="14" t="s">
        <v>43</v>
      </c>
      <c r="F764" s="14">
        <v>29</v>
      </c>
      <c r="G764" s="14" t="s">
        <v>51</v>
      </c>
      <c r="H764" s="14" t="s">
        <v>52</v>
      </c>
      <c r="I764" s="14" t="s">
        <v>51</v>
      </c>
      <c r="J764" s="14" t="s">
        <v>102</v>
      </c>
      <c r="K764" s="14">
        <v>2</v>
      </c>
      <c r="L764" s="14">
        <v>35205</v>
      </c>
      <c r="M764" s="14">
        <v>0</v>
      </c>
      <c r="N764" s="14">
        <v>0</v>
      </c>
      <c r="O764" s="14">
        <v>12673.8</v>
      </c>
      <c r="P764" s="14">
        <v>27</v>
      </c>
      <c r="Q764" s="14">
        <f t="shared" si="11"/>
        <v>83083.8</v>
      </c>
      <c r="R764" s="14">
        <v>83110.8</v>
      </c>
      <c r="S764" s="14" t="s">
        <v>54</v>
      </c>
      <c r="T764" s="14" t="s">
        <v>34</v>
      </c>
      <c r="U764" s="14" t="s">
        <v>35</v>
      </c>
      <c r="V764" s="14" t="s">
        <v>36</v>
      </c>
      <c r="W764" s="14" t="s">
        <v>37</v>
      </c>
      <c r="X764" s="14">
        <v>7</v>
      </c>
      <c r="Y764" s="14" t="s">
        <v>38</v>
      </c>
      <c r="Z764" s="14">
        <v>1</v>
      </c>
      <c r="AA764" s="14" t="s">
        <v>47</v>
      </c>
    </row>
    <row r="765" spans="1:27" x14ac:dyDescent="0.35">
      <c r="A765" s="14" t="s">
        <v>1368</v>
      </c>
      <c r="B765" s="15">
        <v>45782</v>
      </c>
      <c r="C765" s="14" t="s">
        <v>311</v>
      </c>
      <c r="D765" s="14" t="s">
        <v>42</v>
      </c>
      <c r="E765" s="14" t="s">
        <v>29</v>
      </c>
      <c r="F765" s="14">
        <v>56</v>
      </c>
      <c r="G765" s="14" t="s">
        <v>44</v>
      </c>
      <c r="H765" s="14" t="s">
        <v>31</v>
      </c>
      <c r="I765" s="14" t="s">
        <v>44</v>
      </c>
      <c r="J765" s="14" t="s">
        <v>150</v>
      </c>
      <c r="K765" s="14">
        <v>5</v>
      </c>
      <c r="L765" s="14">
        <v>1924</v>
      </c>
      <c r="M765" s="14">
        <v>10</v>
      </c>
      <c r="N765" s="14">
        <v>962</v>
      </c>
      <c r="O765" s="14">
        <v>1558.44</v>
      </c>
      <c r="P765" s="14">
        <v>474</v>
      </c>
      <c r="Q765" s="14">
        <f t="shared" si="11"/>
        <v>10216.44</v>
      </c>
      <c r="R765" s="14">
        <v>10690.44</v>
      </c>
      <c r="S765" s="14" t="s">
        <v>83</v>
      </c>
      <c r="T765" s="14" t="s">
        <v>63</v>
      </c>
      <c r="U765" s="14" t="s">
        <v>70</v>
      </c>
      <c r="V765" s="14" t="s">
        <v>56</v>
      </c>
      <c r="W765" s="14" t="s">
        <v>57</v>
      </c>
      <c r="X765" s="14">
        <v>1</v>
      </c>
      <c r="Y765" s="14" t="s">
        <v>47</v>
      </c>
      <c r="Z765" s="14">
        <v>3</v>
      </c>
      <c r="AA765" s="14" t="s">
        <v>47</v>
      </c>
    </row>
    <row r="766" spans="1:27" x14ac:dyDescent="0.35">
      <c r="A766" s="14" t="s">
        <v>1369</v>
      </c>
      <c r="B766" s="15">
        <v>45949</v>
      </c>
      <c r="C766" s="14" t="s">
        <v>1370</v>
      </c>
      <c r="D766" s="14" t="s">
        <v>50</v>
      </c>
      <c r="E766" s="14" t="s">
        <v>29</v>
      </c>
      <c r="F766" s="14">
        <v>40</v>
      </c>
      <c r="G766" s="14" t="s">
        <v>90</v>
      </c>
      <c r="H766" s="14" t="s">
        <v>31</v>
      </c>
      <c r="I766" s="14" t="s">
        <v>90</v>
      </c>
      <c r="J766" s="14" t="s">
        <v>102</v>
      </c>
      <c r="K766" s="14">
        <v>5</v>
      </c>
      <c r="L766" s="14">
        <v>1111</v>
      </c>
      <c r="M766" s="14">
        <v>10</v>
      </c>
      <c r="N766" s="14">
        <v>555.5</v>
      </c>
      <c r="O766" s="14">
        <v>899.91</v>
      </c>
      <c r="P766" s="14">
        <v>32</v>
      </c>
      <c r="Q766" s="14">
        <f t="shared" si="11"/>
        <v>5899.41</v>
      </c>
      <c r="R766" s="14">
        <v>5931.41</v>
      </c>
      <c r="S766" s="14" t="s">
        <v>54</v>
      </c>
      <c r="T766" s="14" t="s">
        <v>34</v>
      </c>
      <c r="U766" s="14" t="s">
        <v>55</v>
      </c>
      <c r="V766" s="14" t="s">
        <v>56</v>
      </c>
      <c r="W766" s="14" t="s">
        <v>57</v>
      </c>
      <c r="X766" s="14">
        <v>2</v>
      </c>
      <c r="Y766" s="14" t="s">
        <v>38</v>
      </c>
      <c r="Z766" s="14">
        <v>4</v>
      </c>
      <c r="AA766" s="14" t="s">
        <v>47</v>
      </c>
    </row>
    <row r="767" spans="1:27" x14ac:dyDescent="0.35">
      <c r="A767" s="14" t="s">
        <v>1371</v>
      </c>
      <c r="B767" s="15">
        <v>46082</v>
      </c>
      <c r="C767" s="14" t="s">
        <v>210</v>
      </c>
      <c r="D767" s="14" t="s">
        <v>73</v>
      </c>
      <c r="E767" s="14" t="s">
        <v>29</v>
      </c>
      <c r="F767" s="14">
        <v>55</v>
      </c>
      <c r="G767" s="14" t="s">
        <v>134</v>
      </c>
      <c r="H767" s="14" t="s">
        <v>31</v>
      </c>
      <c r="I767" s="14" t="s">
        <v>134</v>
      </c>
      <c r="J767" s="14" t="s">
        <v>32</v>
      </c>
      <c r="K767" s="14">
        <v>3</v>
      </c>
      <c r="L767" s="14">
        <v>4451</v>
      </c>
      <c r="M767" s="14">
        <v>10</v>
      </c>
      <c r="N767" s="14">
        <v>1335.3</v>
      </c>
      <c r="O767" s="14">
        <v>2163.19</v>
      </c>
      <c r="P767" s="14">
        <v>484</v>
      </c>
      <c r="Q767" s="14">
        <f t="shared" si="11"/>
        <v>14180.89</v>
      </c>
      <c r="R767" s="14">
        <v>14664.89</v>
      </c>
      <c r="S767" s="14" t="s">
        <v>33</v>
      </c>
      <c r="T767" s="14" t="s">
        <v>63</v>
      </c>
      <c r="U767" s="14" t="s">
        <v>95</v>
      </c>
      <c r="V767" s="14" t="s">
        <v>96</v>
      </c>
      <c r="W767" s="14" t="s">
        <v>57</v>
      </c>
      <c r="X767" s="14">
        <v>8</v>
      </c>
      <c r="Y767" s="14" t="s">
        <v>38</v>
      </c>
      <c r="Z767" s="14">
        <v>1</v>
      </c>
      <c r="AA767" s="14" t="s">
        <v>91</v>
      </c>
    </row>
    <row r="768" spans="1:27" x14ac:dyDescent="0.35">
      <c r="A768" s="14" t="s">
        <v>1372</v>
      </c>
      <c r="B768" s="15">
        <v>46072</v>
      </c>
      <c r="C768" s="14" t="s">
        <v>569</v>
      </c>
      <c r="D768" s="14" t="s">
        <v>80</v>
      </c>
      <c r="E768" s="14" t="s">
        <v>29</v>
      </c>
      <c r="F768" s="14">
        <v>51</v>
      </c>
      <c r="G768" s="14" t="s">
        <v>90</v>
      </c>
      <c r="H768" s="14" t="s">
        <v>31</v>
      </c>
      <c r="I768" s="14" t="s">
        <v>90</v>
      </c>
      <c r="J768" s="14" t="s">
        <v>150</v>
      </c>
      <c r="K768" s="14">
        <v>1</v>
      </c>
      <c r="L768" s="14">
        <v>44909</v>
      </c>
      <c r="M768" s="14">
        <v>20</v>
      </c>
      <c r="N768" s="14">
        <v>8981.7999999999993</v>
      </c>
      <c r="O768" s="14">
        <v>6466.9</v>
      </c>
      <c r="P768" s="14">
        <v>384</v>
      </c>
      <c r="Q768" s="14">
        <f t="shared" si="11"/>
        <v>42394.1</v>
      </c>
      <c r="R768" s="14">
        <v>42778.1</v>
      </c>
      <c r="S768" s="14" t="s">
        <v>45</v>
      </c>
      <c r="T768" s="14" t="s">
        <v>34</v>
      </c>
      <c r="U768" s="14" t="s">
        <v>103</v>
      </c>
      <c r="V768" s="14" t="s">
        <v>103</v>
      </c>
      <c r="W768" s="14" t="s">
        <v>57</v>
      </c>
      <c r="X768" s="14">
        <v>9</v>
      </c>
      <c r="Y768" s="14" t="s">
        <v>47</v>
      </c>
      <c r="Z768" s="14">
        <v>1</v>
      </c>
      <c r="AA768" s="14" t="s">
        <v>91</v>
      </c>
    </row>
    <row r="769" spans="1:27" x14ac:dyDescent="0.35">
      <c r="A769" s="14" t="s">
        <v>1373</v>
      </c>
      <c r="B769" s="15">
        <v>45841</v>
      </c>
      <c r="C769" s="14" t="s">
        <v>659</v>
      </c>
      <c r="D769" s="14" t="s">
        <v>66</v>
      </c>
      <c r="E769" s="14" t="s">
        <v>43</v>
      </c>
      <c r="F769" s="14">
        <v>29</v>
      </c>
      <c r="G769" s="14" t="s">
        <v>90</v>
      </c>
      <c r="H769" s="14" t="s">
        <v>31</v>
      </c>
      <c r="I769" s="14" t="s">
        <v>90</v>
      </c>
      <c r="J769" s="14" t="s">
        <v>112</v>
      </c>
      <c r="K769" s="14">
        <v>4</v>
      </c>
      <c r="L769" s="14">
        <v>43820</v>
      </c>
      <c r="M769" s="14">
        <v>10</v>
      </c>
      <c r="N769" s="14">
        <v>17528</v>
      </c>
      <c r="O769" s="14">
        <v>28395.360000000001</v>
      </c>
      <c r="P769" s="14">
        <v>157</v>
      </c>
      <c r="Q769" s="14">
        <f t="shared" si="11"/>
        <v>186147.36</v>
      </c>
      <c r="R769" s="14">
        <v>186304.36</v>
      </c>
      <c r="S769" s="14" t="s">
        <v>45</v>
      </c>
      <c r="T769" s="14" t="s">
        <v>63</v>
      </c>
      <c r="U769" s="14" t="s">
        <v>84</v>
      </c>
      <c r="V769" s="14" t="s">
        <v>85</v>
      </c>
      <c r="W769" s="14" t="s">
        <v>86</v>
      </c>
      <c r="X769" s="14">
        <v>10</v>
      </c>
      <c r="Y769" s="14" t="s">
        <v>47</v>
      </c>
      <c r="Z769" s="14">
        <v>4</v>
      </c>
      <c r="AA769" s="14" t="s">
        <v>91</v>
      </c>
    </row>
    <row r="770" spans="1:27" x14ac:dyDescent="0.35">
      <c r="A770" s="14" t="s">
        <v>1374</v>
      </c>
      <c r="B770" s="15">
        <v>45862</v>
      </c>
      <c r="C770" s="14" t="s">
        <v>1375</v>
      </c>
      <c r="D770" s="14" t="s">
        <v>42</v>
      </c>
      <c r="E770" s="14" t="s">
        <v>29</v>
      </c>
      <c r="F770" s="14">
        <v>40</v>
      </c>
      <c r="G770" s="14" t="s">
        <v>51</v>
      </c>
      <c r="H770" s="14" t="s">
        <v>52</v>
      </c>
      <c r="I770" s="14" t="s">
        <v>51</v>
      </c>
      <c r="J770" s="14" t="s">
        <v>202</v>
      </c>
      <c r="K770" s="14">
        <v>3</v>
      </c>
      <c r="L770" s="14">
        <v>13810</v>
      </c>
      <c r="M770" s="14">
        <v>10</v>
      </c>
      <c r="N770" s="14">
        <v>4143</v>
      </c>
      <c r="O770" s="14">
        <v>6711.66</v>
      </c>
      <c r="P770" s="14">
        <v>258</v>
      </c>
      <c r="Q770" s="14">
        <f t="shared" si="11"/>
        <v>43998.66</v>
      </c>
      <c r="R770" s="14">
        <v>44256.66</v>
      </c>
      <c r="S770" s="14" t="s">
        <v>54</v>
      </c>
      <c r="T770" s="14" t="s">
        <v>34</v>
      </c>
      <c r="U770" s="14" t="s">
        <v>95</v>
      </c>
      <c r="V770" s="14" t="s">
        <v>96</v>
      </c>
      <c r="W770" s="14" t="s">
        <v>57</v>
      </c>
      <c r="X770" s="14">
        <v>9</v>
      </c>
      <c r="Y770" s="14" t="s">
        <v>38</v>
      </c>
      <c r="Z770" s="14">
        <v>1</v>
      </c>
      <c r="AA770" s="14" t="s">
        <v>39</v>
      </c>
    </row>
    <row r="771" spans="1:27" x14ac:dyDescent="0.35">
      <c r="A771" s="14" t="s">
        <v>1376</v>
      </c>
      <c r="B771" s="15">
        <v>46047</v>
      </c>
      <c r="C771" s="14" t="s">
        <v>1163</v>
      </c>
      <c r="D771" s="14" t="s">
        <v>61</v>
      </c>
      <c r="E771" s="14" t="s">
        <v>43</v>
      </c>
      <c r="F771" s="14">
        <v>40</v>
      </c>
      <c r="G771" s="14" t="s">
        <v>44</v>
      </c>
      <c r="H771" s="14" t="s">
        <v>31</v>
      </c>
      <c r="I771" s="14" t="s">
        <v>44</v>
      </c>
      <c r="J771" s="14" t="s">
        <v>32</v>
      </c>
      <c r="K771" s="14">
        <v>2</v>
      </c>
      <c r="L771" s="14">
        <v>46551</v>
      </c>
      <c r="M771" s="14">
        <v>15</v>
      </c>
      <c r="N771" s="14">
        <v>13965.3</v>
      </c>
      <c r="O771" s="14">
        <v>14244.61</v>
      </c>
      <c r="P771" s="14">
        <v>269</v>
      </c>
      <c r="Q771" s="14">
        <f t="shared" ref="Q771:Q834" si="12">R771-P771</f>
        <v>93381.31</v>
      </c>
      <c r="R771" s="14">
        <v>93650.31</v>
      </c>
      <c r="S771" s="14" t="s">
        <v>45</v>
      </c>
      <c r="T771" s="14" t="s">
        <v>63</v>
      </c>
      <c r="U771" s="14" t="s">
        <v>95</v>
      </c>
      <c r="V771" s="14" t="s">
        <v>96</v>
      </c>
      <c r="W771" s="14" t="s">
        <v>57</v>
      </c>
      <c r="X771" s="14">
        <v>10</v>
      </c>
      <c r="Y771" s="14" t="s">
        <v>38</v>
      </c>
      <c r="Z771" s="14">
        <v>3</v>
      </c>
      <c r="AA771" s="14" t="s">
        <v>58</v>
      </c>
    </row>
    <row r="772" spans="1:27" x14ac:dyDescent="0.35">
      <c r="A772" s="14" t="s">
        <v>1377</v>
      </c>
      <c r="B772" s="15">
        <v>46024</v>
      </c>
      <c r="C772" s="14" t="s">
        <v>366</v>
      </c>
      <c r="D772" s="14" t="s">
        <v>89</v>
      </c>
      <c r="E772" s="14" t="s">
        <v>29</v>
      </c>
      <c r="F772" s="14">
        <v>51</v>
      </c>
      <c r="G772" s="14" t="s">
        <v>30</v>
      </c>
      <c r="H772" s="14" t="s">
        <v>31</v>
      </c>
      <c r="I772" s="14" t="s">
        <v>30</v>
      </c>
      <c r="J772" s="14" t="s">
        <v>62</v>
      </c>
      <c r="K772" s="14">
        <v>1</v>
      </c>
      <c r="L772" s="14">
        <v>39927</v>
      </c>
      <c r="M772" s="14">
        <v>20</v>
      </c>
      <c r="N772" s="14">
        <v>7985.4</v>
      </c>
      <c r="O772" s="14">
        <v>5749.49</v>
      </c>
      <c r="P772" s="14">
        <v>5</v>
      </c>
      <c r="Q772" s="14">
        <f t="shared" si="12"/>
        <v>37691.089999999997</v>
      </c>
      <c r="R772" s="14">
        <v>37696.089999999997</v>
      </c>
      <c r="S772" s="14" t="s">
        <v>45</v>
      </c>
      <c r="T772" s="14" t="s">
        <v>34</v>
      </c>
      <c r="U772" s="14" t="s">
        <v>76</v>
      </c>
      <c r="V772" s="14" t="s">
        <v>77</v>
      </c>
      <c r="W772" s="14" t="s">
        <v>57</v>
      </c>
      <c r="X772" s="14">
        <v>1</v>
      </c>
      <c r="Y772" s="14" t="s">
        <v>38</v>
      </c>
      <c r="Z772" s="14">
        <v>5</v>
      </c>
      <c r="AA772" s="14" t="s">
        <v>91</v>
      </c>
    </row>
    <row r="773" spans="1:27" x14ac:dyDescent="0.35">
      <c r="A773" s="14" t="s">
        <v>1378</v>
      </c>
      <c r="B773" s="15">
        <v>45966</v>
      </c>
      <c r="C773" s="14" t="s">
        <v>1379</v>
      </c>
      <c r="D773" s="14" t="s">
        <v>89</v>
      </c>
      <c r="E773" s="14" t="s">
        <v>29</v>
      </c>
      <c r="F773" s="14">
        <v>24</v>
      </c>
      <c r="G773" s="14" t="s">
        <v>99</v>
      </c>
      <c r="H773" s="14" t="s">
        <v>52</v>
      </c>
      <c r="I773" s="14" t="s">
        <v>99</v>
      </c>
      <c r="J773" s="14" t="s">
        <v>53</v>
      </c>
      <c r="K773" s="14">
        <v>4</v>
      </c>
      <c r="L773" s="14">
        <v>26531</v>
      </c>
      <c r="M773" s="14">
        <v>15</v>
      </c>
      <c r="N773" s="14">
        <v>15918.6</v>
      </c>
      <c r="O773" s="14">
        <v>16236.97</v>
      </c>
      <c r="P773" s="14">
        <v>424</v>
      </c>
      <c r="Q773" s="14">
        <f t="shared" si="12"/>
        <v>106442.37</v>
      </c>
      <c r="R773" s="14">
        <v>106866.37</v>
      </c>
      <c r="S773" s="14" t="s">
        <v>83</v>
      </c>
      <c r="T773" s="14" t="s">
        <v>34</v>
      </c>
      <c r="U773" s="14" t="s">
        <v>55</v>
      </c>
      <c r="V773" s="14" t="s">
        <v>56</v>
      </c>
      <c r="W773" s="14" t="s">
        <v>57</v>
      </c>
      <c r="X773" s="14">
        <v>4</v>
      </c>
      <c r="Y773" s="14" t="s">
        <v>38</v>
      </c>
      <c r="Z773" s="14">
        <v>4</v>
      </c>
      <c r="AA773" s="14" t="s">
        <v>91</v>
      </c>
    </row>
    <row r="774" spans="1:27" x14ac:dyDescent="0.35">
      <c r="A774" s="14" t="s">
        <v>1380</v>
      </c>
      <c r="B774" s="15">
        <v>45874</v>
      </c>
      <c r="C774" s="14" t="s">
        <v>524</v>
      </c>
      <c r="D774" s="14" t="s">
        <v>42</v>
      </c>
      <c r="E774" s="14" t="s">
        <v>29</v>
      </c>
      <c r="F774" s="14">
        <v>50</v>
      </c>
      <c r="G774" s="14" t="s">
        <v>67</v>
      </c>
      <c r="H774" s="14" t="s">
        <v>68</v>
      </c>
      <c r="I774" s="14" t="s">
        <v>67</v>
      </c>
      <c r="J774" s="14" t="s">
        <v>53</v>
      </c>
      <c r="K774" s="14">
        <v>3</v>
      </c>
      <c r="L774" s="14">
        <v>17924</v>
      </c>
      <c r="M774" s="14">
        <v>5</v>
      </c>
      <c r="N774" s="14">
        <v>2688.6</v>
      </c>
      <c r="O774" s="14">
        <v>9195.01</v>
      </c>
      <c r="P774" s="14">
        <v>37</v>
      </c>
      <c r="Q774" s="14">
        <f t="shared" si="12"/>
        <v>60278.41</v>
      </c>
      <c r="R774" s="14">
        <v>60315.41</v>
      </c>
      <c r="S774" s="14" t="s">
        <v>45</v>
      </c>
      <c r="T774" s="14" t="s">
        <v>63</v>
      </c>
      <c r="U774" s="14" t="s">
        <v>46</v>
      </c>
      <c r="V774" s="14" t="s">
        <v>36</v>
      </c>
      <c r="W774" s="14" t="s">
        <v>37</v>
      </c>
      <c r="X774" s="14">
        <v>8</v>
      </c>
      <c r="Y774" s="14" t="s">
        <v>47</v>
      </c>
      <c r="Z774" s="14">
        <v>1</v>
      </c>
      <c r="AA774" s="14" t="s">
        <v>58</v>
      </c>
    </row>
    <row r="775" spans="1:27" x14ac:dyDescent="0.35">
      <c r="A775" s="14" t="s">
        <v>1381</v>
      </c>
      <c r="B775" s="15">
        <v>45921</v>
      </c>
      <c r="C775" s="14" t="s">
        <v>632</v>
      </c>
      <c r="D775" s="14" t="s">
        <v>28</v>
      </c>
      <c r="E775" s="14" t="s">
        <v>29</v>
      </c>
      <c r="F775" s="14">
        <v>26</v>
      </c>
      <c r="G775" s="14" t="s">
        <v>134</v>
      </c>
      <c r="H775" s="14" t="s">
        <v>31</v>
      </c>
      <c r="I775" s="14" t="s">
        <v>134</v>
      </c>
      <c r="J775" s="14" t="s">
        <v>62</v>
      </c>
      <c r="K775" s="14">
        <v>5</v>
      </c>
      <c r="L775" s="14">
        <v>14793</v>
      </c>
      <c r="M775" s="14">
        <v>0</v>
      </c>
      <c r="N775" s="14">
        <v>0</v>
      </c>
      <c r="O775" s="14">
        <v>13313.7</v>
      </c>
      <c r="P775" s="14">
        <v>61</v>
      </c>
      <c r="Q775" s="14">
        <f t="shared" si="12"/>
        <v>87278.7</v>
      </c>
      <c r="R775" s="14">
        <v>87339.7</v>
      </c>
      <c r="S775" s="14" t="s">
        <v>83</v>
      </c>
      <c r="T775" s="14" t="s">
        <v>63</v>
      </c>
      <c r="U775" s="14" t="s">
        <v>55</v>
      </c>
      <c r="V775" s="14" t="s">
        <v>56</v>
      </c>
      <c r="W775" s="14" t="s">
        <v>57</v>
      </c>
      <c r="X775" s="14">
        <v>4</v>
      </c>
      <c r="Y775" s="14" t="s">
        <v>38</v>
      </c>
      <c r="Z775" s="14">
        <v>5</v>
      </c>
      <c r="AA775" s="14" t="s">
        <v>39</v>
      </c>
    </row>
    <row r="776" spans="1:27" x14ac:dyDescent="0.35">
      <c r="A776" s="14" t="s">
        <v>1382</v>
      </c>
      <c r="B776" s="15">
        <v>45866</v>
      </c>
      <c r="C776" s="14" t="s">
        <v>723</v>
      </c>
      <c r="D776" s="14" t="s">
        <v>111</v>
      </c>
      <c r="E776" s="14" t="s">
        <v>43</v>
      </c>
      <c r="F776" s="14">
        <v>26</v>
      </c>
      <c r="G776" s="14" t="s">
        <v>44</v>
      </c>
      <c r="H776" s="14" t="s">
        <v>31</v>
      </c>
      <c r="I776" s="14" t="s">
        <v>44</v>
      </c>
      <c r="J776" s="14" t="s">
        <v>62</v>
      </c>
      <c r="K776" s="14">
        <v>5</v>
      </c>
      <c r="L776" s="14">
        <v>47888</v>
      </c>
      <c r="M776" s="14">
        <v>10</v>
      </c>
      <c r="N776" s="14">
        <v>23944</v>
      </c>
      <c r="O776" s="14">
        <v>38789.279999999999</v>
      </c>
      <c r="P776" s="14">
        <v>381</v>
      </c>
      <c r="Q776" s="14">
        <f t="shared" si="12"/>
        <v>254285.28</v>
      </c>
      <c r="R776" s="14">
        <v>254666.28</v>
      </c>
      <c r="S776" s="14" t="s">
        <v>54</v>
      </c>
      <c r="T776" s="14" t="s">
        <v>63</v>
      </c>
      <c r="U776" s="14" t="s">
        <v>46</v>
      </c>
      <c r="V776" s="14" t="s">
        <v>36</v>
      </c>
      <c r="W776" s="14" t="s">
        <v>37</v>
      </c>
      <c r="X776" s="14">
        <v>1</v>
      </c>
      <c r="Y776" s="14" t="s">
        <v>38</v>
      </c>
      <c r="Z776" s="14">
        <v>3</v>
      </c>
      <c r="AA776" s="14" t="s">
        <v>58</v>
      </c>
    </row>
    <row r="777" spans="1:27" x14ac:dyDescent="0.35">
      <c r="A777" s="14" t="s">
        <v>1383</v>
      </c>
      <c r="B777" s="15">
        <v>45774</v>
      </c>
      <c r="C777" s="14" t="s">
        <v>149</v>
      </c>
      <c r="D777" s="14" t="s">
        <v>28</v>
      </c>
      <c r="E777" s="14" t="s">
        <v>43</v>
      </c>
      <c r="F777" s="14">
        <v>42</v>
      </c>
      <c r="G777" s="14" t="s">
        <v>139</v>
      </c>
      <c r="H777" s="14" t="s">
        <v>31</v>
      </c>
      <c r="I777" s="14" t="s">
        <v>139</v>
      </c>
      <c r="J777" s="14" t="s">
        <v>102</v>
      </c>
      <c r="K777" s="14">
        <v>4</v>
      </c>
      <c r="L777" s="14">
        <v>9646</v>
      </c>
      <c r="M777" s="14">
        <v>5</v>
      </c>
      <c r="N777" s="14">
        <v>1929.2</v>
      </c>
      <c r="O777" s="14">
        <v>6597.86</v>
      </c>
      <c r="P777" s="14">
        <v>331</v>
      </c>
      <c r="Q777" s="14">
        <f t="shared" si="12"/>
        <v>43252.66</v>
      </c>
      <c r="R777" s="14">
        <v>43583.66</v>
      </c>
      <c r="S777" s="14" t="s">
        <v>54</v>
      </c>
      <c r="T777" s="14" t="s">
        <v>63</v>
      </c>
      <c r="U777" s="14" t="s">
        <v>95</v>
      </c>
      <c r="V777" s="14" t="s">
        <v>96</v>
      </c>
      <c r="W777" s="14" t="s">
        <v>57</v>
      </c>
      <c r="X777" s="14">
        <v>8</v>
      </c>
      <c r="Y777" s="14" t="s">
        <v>47</v>
      </c>
      <c r="Z777" s="14">
        <v>5</v>
      </c>
      <c r="AA777" s="14" t="s">
        <v>47</v>
      </c>
    </row>
    <row r="778" spans="1:27" x14ac:dyDescent="0.35">
      <c r="A778" s="14" t="s">
        <v>1384</v>
      </c>
      <c r="B778" s="15">
        <v>45805</v>
      </c>
      <c r="C778" s="14" t="s">
        <v>452</v>
      </c>
      <c r="D778" s="14" t="s">
        <v>61</v>
      </c>
      <c r="E778" s="14" t="s">
        <v>29</v>
      </c>
      <c r="F778" s="14">
        <v>38</v>
      </c>
      <c r="G778" s="14" t="s">
        <v>74</v>
      </c>
      <c r="H778" s="14" t="s">
        <v>31</v>
      </c>
      <c r="I778" s="14" t="s">
        <v>74</v>
      </c>
      <c r="J778" s="14" t="s">
        <v>102</v>
      </c>
      <c r="K778" s="14">
        <v>4</v>
      </c>
      <c r="L778" s="14">
        <v>4941</v>
      </c>
      <c r="M778" s="14">
        <v>20</v>
      </c>
      <c r="N778" s="14">
        <v>3952.8</v>
      </c>
      <c r="O778" s="14">
        <v>2846.02</v>
      </c>
      <c r="P778" s="14">
        <v>305</v>
      </c>
      <c r="Q778" s="14">
        <f t="shared" si="12"/>
        <v>18657.22</v>
      </c>
      <c r="R778" s="14">
        <v>18962.22</v>
      </c>
      <c r="S778" s="14" t="s">
        <v>33</v>
      </c>
      <c r="T778" s="14" t="s">
        <v>63</v>
      </c>
      <c r="U778" s="14" t="s">
        <v>35</v>
      </c>
      <c r="V778" s="14" t="s">
        <v>36</v>
      </c>
      <c r="W778" s="14" t="s">
        <v>37</v>
      </c>
      <c r="X778" s="14">
        <v>9</v>
      </c>
      <c r="Y778" s="14" t="s">
        <v>38</v>
      </c>
      <c r="Z778" s="14">
        <v>1</v>
      </c>
      <c r="AA778" s="14" t="s">
        <v>39</v>
      </c>
    </row>
    <row r="779" spans="1:27" x14ac:dyDescent="0.35">
      <c r="A779" s="14" t="s">
        <v>1385</v>
      </c>
      <c r="B779" s="15">
        <v>45849</v>
      </c>
      <c r="C779" s="14" t="s">
        <v>1238</v>
      </c>
      <c r="D779" s="14" t="s">
        <v>28</v>
      </c>
      <c r="E779" s="14" t="s">
        <v>29</v>
      </c>
      <c r="F779" s="14">
        <v>52</v>
      </c>
      <c r="G779" s="14" t="s">
        <v>99</v>
      </c>
      <c r="H779" s="14" t="s">
        <v>52</v>
      </c>
      <c r="I779" s="14" t="s">
        <v>99</v>
      </c>
      <c r="J779" s="14" t="s">
        <v>62</v>
      </c>
      <c r="K779" s="14">
        <v>3</v>
      </c>
      <c r="L779" s="14">
        <v>39057</v>
      </c>
      <c r="M779" s="14">
        <v>10</v>
      </c>
      <c r="N779" s="14">
        <v>11717.1</v>
      </c>
      <c r="O779" s="14">
        <v>18981.7</v>
      </c>
      <c r="P779" s="14">
        <v>493</v>
      </c>
      <c r="Q779" s="14">
        <f t="shared" si="12"/>
        <v>124435.6</v>
      </c>
      <c r="R779" s="14">
        <v>124928.6</v>
      </c>
      <c r="S779" s="14" t="s">
        <v>54</v>
      </c>
      <c r="T779" s="14" t="s">
        <v>63</v>
      </c>
      <c r="U779" s="14" t="s">
        <v>84</v>
      </c>
      <c r="V779" s="14" t="s">
        <v>85</v>
      </c>
      <c r="W779" s="14" t="s">
        <v>86</v>
      </c>
      <c r="X779" s="14">
        <v>1</v>
      </c>
      <c r="Y779" s="14" t="s">
        <v>38</v>
      </c>
      <c r="Z779" s="14">
        <v>3</v>
      </c>
      <c r="AA779" s="14" t="s">
        <v>58</v>
      </c>
    </row>
    <row r="780" spans="1:27" x14ac:dyDescent="0.35">
      <c r="A780" s="14" t="s">
        <v>1386</v>
      </c>
      <c r="B780" s="15">
        <v>45840</v>
      </c>
      <c r="C780" s="14" t="s">
        <v>815</v>
      </c>
      <c r="D780" s="14" t="s">
        <v>28</v>
      </c>
      <c r="E780" s="14" t="s">
        <v>29</v>
      </c>
      <c r="F780" s="14">
        <v>49</v>
      </c>
      <c r="G780" s="14" t="s">
        <v>30</v>
      </c>
      <c r="H780" s="14" t="s">
        <v>31</v>
      </c>
      <c r="I780" s="14" t="s">
        <v>30</v>
      </c>
      <c r="J780" s="14" t="s">
        <v>125</v>
      </c>
      <c r="K780" s="14">
        <v>3</v>
      </c>
      <c r="L780" s="14">
        <v>1818</v>
      </c>
      <c r="M780" s="14">
        <v>10</v>
      </c>
      <c r="N780" s="14">
        <v>545.4</v>
      </c>
      <c r="O780" s="14">
        <v>883.55</v>
      </c>
      <c r="P780" s="14">
        <v>304</v>
      </c>
      <c r="Q780" s="14">
        <f t="shared" si="12"/>
        <v>5792.15</v>
      </c>
      <c r="R780" s="14">
        <v>6096.15</v>
      </c>
      <c r="S780" s="14" t="s">
        <v>54</v>
      </c>
      <c r="T780" s="14" t="s">
        <v>63</v>
      </c>
      <c r="U780" s="14" t="s">
        <v>70</v>
      </c>
      <c r="V780" s="14" t="s">
        <v>56</v>
      </c>
      <c r="W780" s="14" t="s">
        <v>57</v>
      </c>
      <c r="X780" s="14">
        <v>2</v>
      </c>
      <c r="Y780" s="14" t="s">
        <v>38</v>
      </c>
      <c r="Z780" s="14">
        <v>4</v>
      </c>
      <c r="AA780" s="14" t="s">
        <v>91</v>
      </c>
    </row>
    <row r="781" spans="1:27" x14ac:dyDescent="0.35">
      <c r="A781" s="14" t="s">
        <v>1387</v>
      </c>
      <c r="B781" s="15">
        <v>46108</v>
      </c>
      <c r="C781" s="14" t="s">
        <v>1388</v>
      </c>
      <c r="D781" s="14" t="s">
        <v>66</v>
      </c>
      <c r="E781" s="14" t="s">
        <v>43</v>
      </c>
      <c r="F781" s="14">
        <v>18</v>
      </c>
      <c r="G781" s="14" t="s">
        <v>90</v>
      </c>
      <c r="H781" s="14" t="s">
        <v>31</v>
      </c>
      <c r="I781" s="14" t="s">
        <v>90</v>
      </c>
      <c r="J781" s="14" t="s">
        <v>102</v>
      </c>
      <c r="K781" s="14">
        <v>2</v>
      </c>
      <c r="L781" s="14">
        <v>18717</v>
      </c>
      <c r="M781" s="14">
        <v>10</v>
      </c>
      <c r="N781" s="14">
        <v>3743.4</v>
      </c>
      <c r="O781" s="14">
        <v>6064.31</v>
      </c>
      <c r="P781" s="14">
        <v>4</v>
      </c>
      <c r="Q781" s="14">
        <f t="shared" si="12"/>
        <v>39754.910000000003</v>
      </c>
      <c r="R781" s="14">
        <v>39758.910000000003</v>
      </c>
      <c r="S781" s="14" t="s">
        <v>83</v>
      </c>
      <c r="T781" s="14" t="s">
        <v>34</v>
      </c>
      <c r="U781" s="14" t="s">
        <v>46</v>
      </c>
      <c r="V781" s="14" t="s">
        <v>36</v>
      </c>
      <c r="W781" s="14" t="s">
        <v>37</v>
      </c>
      <c r="X781" s="14">
        <v>3</v>
      </c>
      <c r="Y781" s="14" t="s">
        <v>47</v>
      </c>
      <c r="Z781" s="14">
        <v>1</v>
      </c>
      <c r="AA781" s="14" t="s">
        <v>91</v>
      </c>
    </row>
    <row r="782" spans="1:27" x14ac:dyDescent="0.35">
      <c r="A782" s="14" t="s">
        <v>1389</v>
      </c>
      <c r="B782" s="15">
        <v>46054</v>
      </c>
      <c r="C782" s="14" t="s">
        <v>101</v>
      </c>
      <c r="D782" s="14" t="s">
        <v>89</v>
      </c>
      <c r="E782" s="14" t="s">
        <v>43</v>
      </c>
      <c r="F782" s="14">
        <v>21</v>
      </c>
      <c r="G782" s="14" t="s">
        <v>51</v>
      </c>
      <c r="H782" s="14" t="s">
        <v>52</v>
      </c>
      <c r="I782" s="14" t="s">
        <v>51</v>
      </c>
      <c r="J782" s="14" t="s">
        <v>69</v>
      </c>
      <c r="K782" s="14">
        <v>4</v>
      </c>
      <c r="L782" s="14">
        <v>14573</v>
      </c>
      <c r="M782" s="14">
        <v>0</v>
      </c>
      <c r="N782" s="14">
        <v>0</v>
      </c>
      <c r="O782" s="14">
        <v>10492.56</v>
      </c>
      <c r="P782" s="14">
        <v>385</v>
      </c>
      <c r="Q782" s="14">
        <f t="shared" si="12"/>
        <v>68784.56</v>
      </c>
      <c r="R782" s="14">
        <v>69169.56</v>
      </c>
      <c r="S782" s="14" t="s">
        <v>54</v>
      </c>
      <c r="T782" s="14" t="s">
        <v>63</v>
      </c>
      <c r="U782" s="14" t="s">
        <v>95</v>
      </c>
      <c r="V782" s="14" t="s">
        <v>96</v>
      </c>
      <c r="W782" s="14" t="s">
        <v>57</v>
      </c>
      <c r="X782" s="14">
        <v>10</v>
      </c>
      <c r="Y782" s="14" t="s">
        <v>38</v>
      </c>
      <c r="Z782" s="14">
        <v>3</v>
      </c>
      <c r="AA782" s="14" t="s">
        <v>91</v>
      </c>
    </row>
    <row r="783" spans="1:27" x14ac:dyDescent="0.35">
      <c r="A783" s="14" t="s">
        <v>1390</v>
      </c>
      <c r="B783" s="15">
        <v>45956</v>
      </c>
      <c r="C783" s="14" t="s">
        <v>1391</v>
      </c>
      <c r="D783" s="14" t="s">
        <v>50</v>
      </c>
      <c r="E783" s="14" t="s">
        <v>43</v>
      </c>
      <c r="F783" s="14">
        <v>54</v>
      </c>
      <c r="G783" s="14" t="s">
        <v>134</v>
      </c>
      <c r="H783" s="14" t="s">
        <v>31</v>
      </c>
      <c r="I783" s="14" t="s">
        <v>134</v>
      </c>
      <c r="J783" s="14" t="s">
        <v>102</v>
      </c>
      <c r="K783" s="14">
        <v>4</v>
      </c>
      <c r="L783" s="14">
        <v>11813</v>
      </c>
      <c r="M783" s="14">
        <v>10</v>
      </c>
      <c r="N783" s="14">
        <v>4725.2</v>
      </c>
      <c r="O783" s="14">
        <v>7654.82</v>
      </c>
      <c r="P783" s="14">
        <v>205</v>
      </c>
      <c r="Q783" s="14">
        <f t="shared" si="12"/>
        <v>50181.62</v>
      </c>
      <c r="R783" s="14">
        <v>50386.62</v>
      </c>
      <c r="S783" s="14" t="s">
        <v>83</v>
      </c>
      <c r="T783" s="14" t="s">
        <v>63</v>
      </c>
      <c r="U783" s="14" t="s">
        <v>76</v>
      </c>
      <c r="V783" s="14" t="s">
        <v>77</v>
      </c>
      <c r="W783" s="14" t="s">
        <v>57</v>
      </c>
      <c r="X783" s="14">
        <v>9</v>
      </c>
      <c r="Y783" s="14" t="s">
        <v>38</v>
      </c>
      <c r="Z783" s="14">
        <v>2</v>
      </c>
      <c r="AA783" s="14" t="s">
        <v>47</v>
      </c>
    </row>
    <row r="784" spans="1:27" x14ac:dyDescent="0.35">
      <c r="A784" s="14" t="s">
        <v>1392</v>
      </c>
      <c r="B784" s="15">
        <v>45854</v>
      </c>
      <c r="C784" s="14" t="s">
        <v>1393</v>
      </c>
      <c r="D784" s="14" t="s">
        <v>108</v>
      </c>
      <c r="E784" s="14" t="s">
        <v>43</v>
      </c>
      <c r="F784" s="14">
        <v>32</v>
      </c>
      <c r="G784" s="14" t="s">
        <v>30</v>
      </c>
      <c r="H784" s="14" t="s">
        <v>31</v>
      </c>
      <c r="I784" s="14" t="s">
        <v>30</v>
      </c>
      <c r="J784" s="14" t="s">
        <v>62</v>
      </c>
      <c r="K784" s="14">
        <v>1</v>
      </c>
      <c r="L784" s="14">
        <v>8738</v>
      </c>
      <c r="M784" s="14">
        <v>5</v>
      </c>
      <c r="N784" s="14">
        <v>436.9</v>
      </c>
      <c r="O784" s="14">
        <v>1494.2</v>
      </c>
      <c r="P784" s="14">
        <v>184</v>
      </c>
      <c r="Q784" s="14">
        <f t="shared" si="12"/>
        <v>9795.2999999999993</v>
      </c>
      <c r="R784" s="14">
        <v>9979.2999999999993</v>
      </c>
      <c r="S784" s="14" t="s">
        <v>83</v>
      </c>
      <c r="T784" s="14" t="s">
        <v>63</v>
      </c>
      <c r="U784" s="14" t="s">
        <v>103</v>
      </c>
      <c r="V784" s="14" t="s">
        <v>103</v>
      </c>
      <c r="W784" s="14" t="s">
        <v>57</v>
      </c>
      <c r="X784" s="14">
        <v>7</v>
      </c>
      <c r="Y784" s="14" t="s">
        <v>38</v>
      </c>
      <c r="Z784" s="14">
        <v>4</v>
      </c>
      <c r="AA784" s="14" t="s">
        <v>91</v>
      </c>
    </row>
    <row r="785" spans="1:27" x14ac:dyDescent="0.35">
      <c r="A785" s="14" t="s">
        <v>1394</v>
      </c>
      <c r="B785" s="15">
        <v>45963</v>
      </c>
      <c r="C785" s="14" t="s">
        <v>324</v>
      </c>
      <c r="D785" s="14" t="s">
        <v>111</v>
      </c>
      <c r="E785" s="14" t="s">
        <v>43</v>
      </c>
      <c r="F785" s="14">
        <v>29</v>
      </c>
      <c r="G785" s="14" t="s">
        <v>30</v>
      </c>
      <c r="H785" s="14" t="s">
        <v>31</v>
      </c>
      <c r="I785" s="14" t="s">
        <v>30</v>
      </c>
      <c r="J785" s="14" t="s">
        <v>32</v>
      </c>
      <c r="K785" s="14">
        <v>4</v>
      </c>
      <c r="L785" s="14">
        <v>1489</v>
      </c>
      <c r="M785" s="14">
        <v>20</v>
      </c>
      <c r="N785" s="14">
        <v>1191.2</v>
      </c>
      <c r="O785" s="14">
        <v>857.66</v>
      </c>
      <c r="P785" s="14">
        <v>442</v>
      </c>
      <c r="Q785" s="14">
        <f t="shared" si="12"/>
        <v>5622.46</v>
      </c>
      <c r="R785" s="14">
        <v>6064.46</v>
      </c>
      <c r="S785" s="14" t="s">
        <v>45</v>
      </c>
      <c r="T785" s="14" t="s">
        <v>63</v>
      </c>
      <c r="U785" s="14" t="s">
        <v>76</v>
      </c>
      <c r="V785" s="14" t="s">
        <v>77</v>
      </c>
      <c r="W785" s="14" t="s">
        <v>57</v>
      </c>
      <c r="X785" s="14">
        <v>5</v>
      </c>
      <c r="Y785" s="14" t="s">
        <v>47</v>
      </c>
      <c r="Z785" s="14">
        <v>5</v>
      </c>
      <c r="AA785" s="14" t="s">
        <v>39</v>
      </c>
    </row>
    <row r="786" spans="1:27" x14ac:dyDescent="0.35">
      <c r="A786" s="14" t="s">
        <v>1395</v>
      </c>
      <c r="B786" s="15">
        <v>46083</v>
      </c>
      <c r="C786" s="14" t="s">
        <v>1064</v>
      </c>
      <c r="D786" s="14" t="s">
        <v>89</v>
      </c>
      <c r="E786" s="14" t="s">
        <v>43</v>
      </c>
      <c r="F786" s="14">
        <v>29</v>
      </c>
      <c r="G786" s="14" t="s">
        <v>99</v>
      </c>
      <c r="H786" s="14" t="s">
        <v>52</v>
      </c>
      <c r="I786" s="14" t="s">
        <v>99</v>
      </c>
      <c r="J786" s="14" t="s">
        <v>62</v>
      </c>
      <c r="K786" s="14">
        <v>1</v>
      </c>
      <c r="L786" s="14">
        <v>9101</v>
      </c>
      <c r="M786" s="14">
        <v>5</v>
      </c>
      <c r="N786" s="14">
        <v>455.05</v>
      </c>
      <c r="O786" s="14">
        <v>1556.27</v>
      </c>
      <c r="P786" s="14">
        <v>408</v>
      </c>
      <c r="Q786" s="14">
        <f t="shared" si="12"/>
        <v>10202.219999999999</v>
      </c>
      <c r="R786" s="14">
        <v>10610.22</v>
      </c>
      <c r="S786" s="14" t="s">
        <v>83</v>
      </c>
      <c r="T786" s="14" t="s">
        <v>63</v>
      </c>
      <c r="U786" s="14" t="s">
        <v>84</v>
      </c>
      <c r="V786" s="14" t="s">
        <v>85</v>
      </c>
      <c r="W786" s="14" t="s">
        <v>86</v>
      </c>
      <c r="X786" s="14">
        <v>2</v>
      </c>
      <c r="Y786" s="14" t="s">
        <v>47</v>
      </c>
      <c r="Z786" s="14">
        <v>3</v>
      </c>
      <c r="AA786" s="14" t="s">
        <v>91</v>
      </c>
    </row>
    <row r="787" spans="1:27" x14ac:dyDescent="0.35">
      <c r="A787" s="14" t="s">
        <v>1396</v>
      </c>
      <c r="B787" s="15">
        <v>46105</v>
      </c>
      <c r="C787" s="14" t="s">
        <v>522</v>
      </c>
      <c r="D787" s="14" t="s">
        <v>42</v>
      </c>
      <c r="E787" s="14" t="s">
        <v>43</v>
      </c>
      <c r="F787" s="14">
        <v>58</v>
      </c>
      <c r="G787" s="14" t="s">
        <v>51</v>
      </c>
      <c r="H787" s="14" t="s">
        <v>52</v>
      </c>
      <c r="I787" s="14" t="s">
        <v>51</v>
      </c>
      <c r="J787" s="14" t="s">
        <v>112</v>
      </c>
      <c r="K787" s="14">
        <v>3</v>
      </c>
      <c r="L787" s="14">
        <v>28364</v>
      </c>
      <c r="M787" s="14">
        <v>20</v>
      </c>
      <c r="N787" s="14">
        <v>17018.400000000001</v>
      </c>
      <c r="O787" s="14">
        <v>12253.25</v>
      </c>
      <c r="P787" s="14">
        <v>411</v>
      </c>
      <c r="Q787" s="14">
        <f t="shared" si="12"/>
        <v>80326.850000000006</v>
      </c>
      <c r="R787" s="14">
        <v>80737.850000000006</v>
      </c>
      <c r="S787" s="14" t="s">
        <v>83</v>
      </c>
      <c r="T787" s="14" t="s">
        <v>34</v>
      </c>
      <c r="U787" s="14" t="s">
        <v>76</v>
      </c>
      <c r="V787" s="14" t="s">
        <v>77</v>
      </c>
      <c r="W787" s="14" t="s">
        <v>57</v>
      </c>
      <c r="X787" s="14">
        <v>7</v>
      </c>
      <c r="Y787" s="14" t="s">
        <v>47</v>
      </c>
      <c r="Z787" s="14">
        <v>4</v>
      </c>
      <c r="AA787" s="14" t="s">
        <v>47</v>
      </c>
    </row>
    <row r="788" spans="1:27" x14ac:dyDescent="0.35">
      <c r="A788" s="14" t="s">
        <v>1397</v>
      </c>
      <c r="B788" s="15">
        <v>46029</v>
      </c>
      <c r="C788" s="14" t="s">
        <v>1398</v>
      </c>
      <c r="D788" s="14" t="s">
        <v>42</v>
      </c>
      <c r="E788" s="14" t="s">
        <v>43</v>
      </c>
      <c r="F788" s="14">
        <v>25</v>
      </c>
      <c r="G788" s="14" t="s">
        <v>74</v>
      </c>
      <c r="H788" s="14" t="s">
        <v>31</v>
      </c>
      <c r="I788" s="14" t="s">
        <v>74</v>
      </c>
      <c r="J788" s="14" t="s">
        <v>62</v>
      </c>
      <c r="K788" s="14">
        <v>3</v>
      </c>
      <c r="L788" s="14">
        <v>26567</v>
      </c>
      <c r="M788" s="14">
        <v>20</v>
      </c>
      <c r="N788" s="14">
        <v>15940.2</v>
      </c>
      <c r="O788" s="14">
        <v>11476.94</v>
      </c>
      <c r="P788" s="14">
        <v>289</v>
      </c>
      <c r="Q788" s="14">
        <f t="shared" si="12"/>
        <v>75237.740000000005</v>
      </c>
      <c r="R788" s="14">
        <v>75526.740000000005</v>
      </c>
      <c r="S788" s="14" t="s">
        <v>54</v>
      </c>
      <c r="T788" s="14" t="s">
        <v>63</v>
      </c>
      <c r="U788" s="14" t="s">
        <v>103</v>
      </c>
      <c r="V788" s="14" t="s">
        <v>103</v>
      </c>
      <c r="W788" s="14" t="s">
        <v>57</v>
      </c>
      <c r="X788" s="14">
        <v>8</v>
      </c>
      <c r="Y788" s="14" t="s">
        <v>47</v>
      </c>
      <c r="Z788" s="14">
        <v>2</v>
      </c>
      <c r="AA788" s="14" t="s">
        <v>47</v>
      </c>
    </row>
    <row r="789" spans="1:27" x14ac:dyDescent="0.35">
      <c r="A789" s="14" t="s">
        <v>1399</v>
      </c>
      <c r="B789" s="15">
        <v>46026</v>
      </c>
      <c r="C789" s="14" t="s">
        <v>1400</v>
      </c>
      <c r="D789" s="14" t="s">
        <v>50</v>
      </c>
      <c r="E789" s="14" t="s">
        <v>43</v>
      </c>
      <c r="F789" s="14">
        <v>40</v>
      </c>
      <c r="G789" s="14" t="s">
        <v>74</v>
      </c>
      <c r="H789" s="14" t="s">
        <v>31</v>
      </c>
      <c r="I789" s="14" t="s">
        <v>74</v>
      </c>
      <c r="J789" s="14" t="s">
        <v>32</v>
      </c>
      <c r="K789" s="14">
        <v>4</v>
      </c>
      <c r="L789" s="14">
        <v>36398</v>
      </c>
      <c r="M789" s="14">
        <v>20</v>
      </c>
      <c r="N789" s="14">
        <v>29118.400000000001</v>
      </c>
      <c r="O789" s="14">
        <v>20965.25</v>
      </c>
      <c r="P789" s="14">
        <v>62</v>
      </c>
      <c r="Q789" s="14">
        <f t="shared" si="12"/>
        <v>137438.85</v>
      </c>
      <c r="R789" s="14">
        <v>137500.85</v>
      </c>
      <c r="S789" s="14" t="s">
        <v>33</v>
      </c>
      <c r="T789" s="14" t="s">
        <v>63</v>
      </c>
      <c r="U789" s="14" t="s">
        <v>103</v>
      </c>
      <c r="V789" s="14" t="s">
        <v>103</v>
      </c>
      <c r="W789" s="14" t="s">
        <v>57</v>
      </c>
      <c r="X789" s="14">
        <v>8</v>
      </c>
      <c r="Y789" s="14" t="s">
        <v>38</v>
      </c>
      <c r="Z789" s="14">
        <v>2</v>
      </c>
      <c r="AA789" s="14" t="s">
        <v>47</v>
      </c>
    </row>
    <row r="790" spans="1:27" x14ac:dyDescent="0.35">
      <c r="A790" s="14" t="s">
        <v>1401</v>
      </c>
      <c r="B790" s="15">
        <v>45858</v>
      </c>
      <c r="C790" s="14" t="s">
        <v>1402</v>
      </c>
      <c r="D790" s="14" t="s">
        <v>42</v>
      </c>
      <c r="E790" s="14" t="s">
        <v>29</v>
      </c>
      <c r="F790" s="14">
        <v>26</v>
      </c>
      <c r="G790" s="14" t="s">
        <v>139</v>
      </c>
      <c r="H790" s="14" t="s">
        <v>31</v>
      </c>
      <c r="I790" s="14" t="s">
        <v>139</v>
      </c>
      <c r="J790" s="14" t="s">
        <v>125</v>
      </c>
      <c r="K790" s="14">
        <v>3</v>
      </c>
      <c r="L790" s="14">
        <v>5708</v>
      </c>
      <c r="M790" s="14">
        <v>10</v>
      </c>
      <c r="N790" s="14">
        <v>1712.4</v>
      </c>
      <c r="O790" s="14">
        <v>2774.09</v>
      </c>
      <c r="P790" s="14">
        <v>270</v>
      </c>
      <c r="Q790" s="14">
        <f t="shared" si="12"/>
        <v>18185.689999999999</v>
      </c>
      <c r="R790" s="14">
        <v>18455.689999999999</v>
      </c>
      <c r="S790" s="14" t="s">
        <v>83</v>
      </c>
      <c r="T790" s="14" t="s">
        <v>34</v>
      </c>
      <c r="U790" s="14" t="s">
        <v>55</v>
      </c>
      <c r="V790" s="14" t="s">
        <v>56</v>
      </c>
      <c r="W790" s="14" t="s">
        <v>57</v>
      </c>
      <c r="X790" s="14">
        <v>2</v>
      </c>
      <c r="Y790" s="14" t="s">
        <v>47</v>
      </c>
      <c r="Z790" s="14">
        <v>1</v>
      </c>
      <c r="AA790" s="14" t="s">
        <v>91</v>
      </c>
    </row>
    <row r="791" spans="1:27" x14ac:dyDescent="0.35">
      <c r="A791" s="14" t="s">
        <v>1403</v>
      </c>
      <c r="B791" s="15">
        <v>45757</v>
      </c>
      <c r="C791" s="14" t="s">
        <v>162</v>
      </c>
      <c r="D791" s="14" t="s">
        <v>50</v>
      </c>
      <c r="E791" s="14" t="s">
        <v>43</v>
      </c>
      <c r="F791" s="14">
        <v>34</v>
      </c>
      <c r="G791" s="14" t="s">
        <v>44</v>
      </c>
      <c r="H791" s="14" t="s">
        <v>31</v>
      </c>
      <c r="I791" s="14" t="s">
        <v>44</v>
      </c>
      <c r="J791" s="14" t="s">
        <v>112</v>
      </c>
      <c r="K791" s="14">
        <v>5</v>
      </c>
      <c r="L791" s="14">
        <v>41929</v>
      </c>
      <c r="M791" s="14">
        <v>10</v>
      </c>
      <c r="N791" s="14">
        <v>20964.5</v>
      </c>
      <c r="O791" s="14">
        <v>33962.49</v>
      </c>
      <c r="P791" s="14">
        <v>167</v>
      </c>
      <c r="Q791" s="14">
        <f t="shared" si="12"/>
        <v>222642.99</v>
      </c>
      <c r="R791" s="14">
        <v>222809.99</v>
      </c>
      <c r="S791" s="14" t="s">
        <v>45</v>
      </c>
      <c r="T791" s="14" t="s">
        <v>63</v>
      </c>
      <c r="U791" s="14" t="s">
        <v>95</v>
      </c>
      <c r="V791" s="14" t="s">
        <v>96</v>
      </c>
      <c r="W791" s="14" t="s">
        <v>57</v>
      </c>
      <c r="X791" s="14">
        <v>7</v>
      </c>
      <c r="Y791" s="14" t="s">
        <v>38</v>
      </c>
      <c r="Z791" s="14">
        <v>3</v>
      </c>
      <c r="AA791" s="14" t="s">
        <v>58</v>
      </c>
    </row>
    <row r="792" spans="1:27" x14ac:dyDescent="0.35">
      <c r="A792" s="14" t="s">
        <v>1404</v>
      </c>
      <c r="B792" s="15">
        <v>46081</v>
      </c>
      <c r="C792" s="14" t="s">
        <v>1405</v>
      </c>
      <c r="D792" s="14" t="s">
        <v>111</v>
      </c>
      <c r="E792" s="14" t="s">
        <v>43</v>
      </c>
      <c r="F792" s="14">
        <v>43</v>
      </c>
      <c r="G792" s="14" t="s">
        <v>139</v>
      </c>
      <c r="H792" s="14" t="s">
        <v>31</v>
      </c>
      <c r="I792" s="14" t="s">
        <v>139</v>
      </c>
      <c r="J792" s="14" t="s">
        <v>62</v>
      </c>
      <c r="K792" s="14">
        <v>4</v>
      </c>
      <c r="L792" s="14">
        <v>28575</v>
      </c>
      <c r="M792" s="14">
        <v>15</v>
      </c>
      <c r="N792" s="14">
        <v>17145</v>
      </c>
      <c r="O792" s="14">
        <v>17487.900000000001</v>
      </c>
      <c r="P792" s="14">
        <v>226</v>
      </c>
      <c r="Q792" s="14">
        <f t="shared" si="12"/>
        <v>114642.9</v>
      </c>
      <c r="R792" s="14">
        <v>114868.9</v>
      </c>
      <c r="S792" s="14" t="s">
        <v>45</v>
      </c>
      <c r="T792" s="14" t="s">
        <v>63</v>
      </c>
      <c r="U792" s="14" t="s">
        <v>76</v>
      </c>
      <c r="V792" s="14" t="s">
        <v>77</v>
      </c>
      <c r="W792" s="14" t="s">
        <v>57</v>
      </c>
      <c r="X792" s="14">
        <v>1</v>
      </c>
      <c r="Y792" s="14" t="s">
        <v>38</v>
      </c>
      <c r="Z792" s="14">
        <v>5</v>
      </c>
      <c r="AA792" s="14" t="s">
        <v>39</v>
      </c>
    </row>
    <row r="793" spans="1:27" x14ac:dyDescent="0.35">
      <c r="A793" s="14" t="s">
        <v>1406</v>
      </c>
      <c r="B793" s="15">
        <v>46052</v>
      </c>
      <c r="C793" s="14" t="s">
        <v>1337</v>
      </c>
      <c r="D793" s="14" t="s">
        <v>66</v>
      </c>
      <c r="E793" s="14" t="s">
        <v>43</v>
      </c>
      <c r="F793" s="14">
        <v>55</v>
      </c>
      <c r="G793" s="14" t="s">
        <v>44</v>
      </c>
      <c r="H793" s="14" t="s">
        <v>31</v>
      </c>
      <c r="I793" s="14" t="s">
        <v>44</v>
      </c>
      <c r="J793" s="14" t="s">
        <v>75</v>
      </c>
      <c r="K793" s="14">
        <v>3</v>
      </c>
      <c r="L793" s="14">
        <v>13660</v>
      </c>
      <c r="M793" s="14">
        <v>20</v>
      </c>
      <c r="N793" s="14">
        <v>8196</v>
      </c>
      <c r="O793" s="14">
        <v>5901.12</v>
      </c>
      <c r="P793" s="14">
        <v>12</v>
      </c>
      <c r="Q793" s="14">
        <f t="shared" si="12"/>
        <v>38685.120000000003</v>
      </c>
      <c r="R793" s="14">
        <v>38697.120000000003</v>
      </c>
      <c r="S793" s="14" t="s">
        <v>54</v>
      </c>
      <c r="T793" s="14" t="s">
        <v>63</v>
      </c>
      <c r="U793" s="14" t="s">
        <v>84</v>
      </c>
      <c r="V793" s="14" t="s">
        <v>85</v>
      </c>
      <c r="W793" s="14" t="s">
        <v>86</v>
      </c>
      <c r="X793" s="14">
        <v>6</v>
      </c>
      <c r="Y793" s="14" t="s">
        <v>47</v>
      </c>
      <c r="Z793" s="14">
        <v>1</v>
      </c>
      <c r="AA793" s="14" t="s">
        <v>47</v>
      </c>
    </row>
    <row r="794" spans="1:27" x14ac:dyDescent="0.35">
      <c r="A794" s="14" t="s">
        <v>1407</v>
      </c>
      <c r="B794" s="15">
        <v>45980</v>
      </c>
      <c r="C794" s="14" t="s">
        <v>1408</v>
      </c>
      <c r="D794" s="14" t="s">
        <v>50</v>
      </c>
      <c r="E794" s="14" t="s">
        <v>29</v>
      </c>
      <c r="F794" s="14">
        <v>23</v>
      </c>
      <c r="G794" s="14" t="s">
        <v>51</v>
      </c>
      <c r="H794" s="14" t="s">
        <v>52</v>
      </c>
      <c r="I794" s="14" t="s">
        <v>51</v>
      </c>
      <c r="J794" s="14" t="s">
        <v>112</v>
      </c>
      <c r="K794" s="14">
        <v>2</v>
      </c>
      <c r="L794" s="14">
        <v>24228</v>
      </c>
      <c r="M794" s="14">
        <v>10</v>
      </c>
      <c r="N794" s="14">
        <v>4845.6000000000004</v>
      </c>
      <c r="O794" s="14">
        <v>7849.87</v>
      </c>
      <c r="P794" s="14">
        <v>308</v>
      </c>
      <c r="Q794" s="14">
        <f t="shared" si="12"/>
        <v>51460.27</v>
      </c>
      <c r="R794" s="14">
        <v>51768.27</v>
      </c>
      <c r="S794" s="14" t="s">
        <v>45</v>
      </c>
      <c r="T794" s="14" t="s">
        <v>34</v>
      </c>
      <c r="U794" s="14" t="s">
        <v>84</v>
      </c>
      <c r="V794" s="14" t="s">
        <v>85</v>
      </c>
      <c r="W794" s="14" t="s">
        <v>86</v>
      </c>
      <c r="X794" s="14">
        <v>10</v>
      </c>
      <c r="Y794" s="14" t="s">
        <v>47</v>
      </c>
      <c r="Z794" s="14">
        <v>5</v>
      </c>
      <c r="AA794" s="14" t="s">
        <v>58</v>
      </c>
    </row>
    <row r="795" spans="1:27" x14ac:dyDescent="0.35">
      <c r="A795" s="14" t="s">
        <v>1409</v>
      </c>
      <c r="B795" s="15">
        <v>45772</v>
      </c>
      <c r="C795" s="14" t="s">
        <v>1156</v>
      </c>
      <c r="D795" s="14" t="s">
        <v>108</v>
      </c>
      <c r="E795" s="14" t="s">
        <v>29</v>
      </c>
      <c r="F795" s="14">
        <v>47</v>
      </c>
      <c r="G795" s="14" t="s">
        <v>44</v>
      </c>
      <c r="H795" s="14" t="s">
        <v>31</v>
      </c>
      <c r="I795" s="14" t="s">
        <v>44</v>
      </c>
      <c r="J795" s="14" t="s">
        <v>62</v>
      </c>
      <c r="K795" s="14">
        <v>3</v>
      </c>
      <c r="L795" s="14">
        <v>39349</v>
      </c>
      <c r="M795" s="14">
        <v>20</v>
      </c>
      <c r="N795" s="14">
        <v>23609.4</v>
      </c>
      <c r="O795" s="14">
        <v>16998.77</v>
      </c>
      <c r="P795" s="14">
        <v>228</v>
      </c>
      <c r="Q795" s="14">
        <f t="shared" si="12"/>
        <v>111436.37</v>
      </c>
      <c r="R795" s="14">
        <v>111664.37</v>
      </c>
      <c r="S795" s="14" t="s">
        <v>33</v>
      </c>
      <c r="T795" s="14" t="s">
        <v>34</v>
      </c>
      <c r="U795" s="14" t="s">
        <v>46</v>
      </c>
      <c r="V795" s="14" t="s">
        <v>36</v>
      </c>
      <c r="W795" s="14" t="s">
        <v>37</v>
      </c>
      <c r="X795" s="14">
        <v>2</v>
      </c>
      <c r="Y795" s="14" t="s">
        <v>47</v>
      </c>
      <c r="Z795" s="14">
        <v>2</v>
      </c>
      <c r="AA795" s="14" t="s">
        <v>91</v>
      </c>
    </row>
    <row r="796" spans="1:27" x14ac:dyDescent="0.35">
      <c r="A796" s="14" t="s">
        <v>1410</v>
      </c>
      <c r="B796" s="15">
        <v>45921</v>
      </c>
      <c r="C796" s="14" t="s">
        <v>250</v>
      </c>
      <c r="D796" s="14" t="s">
        <v>89</v>
      </c>
      <c r="E796" s="14" t="s">
        <v>29</v>
      </c>
      <c r="F796" s="14">
        <v>37</v>
      </c>
      <c r="G796" s="14" t="s">
        <v>139</v>
      </c>
      <c r="H796" s="14" t="s">
        <v>31</v>
      </c>
      <c r="I796" s="14" t="s">
        <v>139</v>
      </c>
      <c r="J796" s="14" t="s">
        <v>32</v>
      </c>
      <c r="K796" s="14">
        <v>5</v>
      </c>
      <c r="L796" s="14">
        <v>10892</v>
      </c>
      <c r="M796" s="14">
        <v>20</v>
      </c>
      <c r="N796" s="14">
        <v>10892</v>
      </c>
      <c r="O796" s="14">
        <v>7842.24</v>
      </c>
      <c r="P796" s="14">
        <v>420</v>
      </c>
      <c r="Q796" s="14">
        <f t="shared" si="12"/>
        <v>51410.239999999998</v>
      </c>
      <c r="R796" s="14">
        <v>51830.239999999998</v>
      </c>
      <c r="S796" s="14" t="s">
        <v>33</v>
      </c>
      <c r="T796" s="14" t="s">
        <v>63</v>
      </c>
      <c r="U796" s="14" t="s">
        <v>35</v>
      </c>
      <c r="V796" s="14" t="s">
        <v>36</v>
      </c>
      <c r="W796" s="14" t="s">
        <v>37</v>
      </c>
      <c r="X796" s="14">
        <v>7</v>
      </c>
      <c r="Y796" s="14" t="s">
        <v>38</v>
      </c>
      <c r="Z796" s="14">
        <v>1</v>
      </c>
      <c r="AA796" s="14" t="s">
        <v>58</v>
      </c>
    </row>
    <row r="797" spans="1:27" x14ac:dyDescent="0.35">
      <c r="A797" s="14" t="s">
        <v>1411</v>
      </c>
      <c r="B797" s="15">
        <v>45885</v>
      </c>
      <c r="C797" s="14" t="s">
        <v>1412</v>
      </c>
      <c r="D797" s="14" t="s">
        <v>61</v>
      </c>
      <c r="E797" s="14" t="s">
        <v>43</v>
      </c>
      <c r="F797" s="14">
        <v>37</v>
      </c>
      <c r="G797" s="14" t="s">
        <v>90</v>
      </c>
      <c r="H797" s="14" t="s">
        <v>31</v>
      </c>
      <c r="I797" s="14" t="s">
        <v>90</v>
      </c>
      <c r="J797" s="14" t="s">
        <v>32</v>
      </c>
      <c r="K797" s="14">
        <v>1</v>
      </c>
      <c r="L797" s="14">
        <v>22810</v>
      </c>
      <c r="M797" s="14">
        <v>10</v>
      </c>
      <c r="N797" s="14">
        <v>2281</v>
      </c>
      <c r="O797" s="14">
        <v>3695.22</v>
      </c>
      <c r="P797" s="14">
        <v>477</v>
      </c>
      <c r="Q797" s="14">
        <f t="shared" si="12"/>
        <v>24224.22</v>
      </c>
      <c r="R797" s="14">
        <v>24701.22</v>
      </c>
      <c r="S797" s="14" t="s">
        <v>54</v>
      </c>
      <c r="T797" s="14" t="s">
        <v>63</v>
      </c>
      <c r="U797" s="14" t="s">
        <v>95</v>
      </c>
      <c r="V797" s="14" t="s">
        <v>96</v>
      </c>
      <c r="W797" s="14" t="s">
        <v>57</v>
      </c>
      <c r="X797" s="14">
        <v>5</v>
      </c>
      <c r="Y797" s="14" t="s">
        <v>47</v>
      </c>
      <c r="Z797" s="14">
        <v>4</v>
      </c>
      <c r="AA797" s="14" t="s">
        <v>91</v>
      </c>
    </row>
    <row r="798" spans="1:27" x14ac:dyDescent="0.35">
      <c r="A798" s="14" t="s">
        <v>1413</v>
      </c>
      <c r="B798" s="15">
        <v>45829</v>
      </c>
      <c r="C798" s="14" t="s">
        <v>1414</v>
      </c>
      <c r="D798" s="14" t="s">
        <v>50</v>
      </c>
      <c r="E798" s="14" t="s">
        <v>29</v>
      </c>
      <c r="F798" s="14">
        <v>57</v>
      </c>
      <c r="G798" s="14" t="s">
        <v>74</v>
      </c>
      <c r="H798" s="14" t="s">
        <v>31</v>
      </c>
      <c r="I798" s="14" t="s">
        <v>74</v>
      </c>
      <c r="J798" s="14" t="s">
        <v>53</v>
      </c>
      <c r="K798" s="14">
        <v>2</v>
      </c>
      <c r="L798" s="14">
        <v>14573</v>
      </c>
      <c r="M798" s="14">
        <v>20</v>
      </c>
      <c r="N798" s="14">
        <v>5829.2</v>
      </c>
      <c r="O798" s="14">
        <v>4197.0200000000004</v>
      </c>
      <c r="P798" s="14">
        <v>237</v>
      </c>
      <c r="Q798" s="14">
        <f t="shared" si="12"/>
        <v>27513.82</v>
      </c>
      <c r="R798" s="14">
        <v>27750.82</v>
      </c>
      <c r="S798" s="14" t="s">
        <v>33</v>
      </c>
      <c r="T798" s="14" t="s">
        <v>63</v>
      </c>
      <c r="U798" s="14" t="s">
        <v>84</v>
      </c>
      <c r="V798" s="14" t="s">
        <v>85</v>
      </c>
      <c r="W798" s="14" t="s">
        <v>86</v>
      </c>
      <c r="X798" s="14">
        <v>4</v>
      </c>
      <c r="Y798" s="14" t="s">
        <v>47</v>
      </c>
      <c r="Z798" s="14">
        <v>2</v>
      </c>
      <c r="AA798" s="14" t="s">
        <v>58</v>
      </c>
    </row>
    <row r="799" spans="1:27" x14ac:dyDescent="0.35">
      <c r="A799" s="14" t="s">
        <v>1415</v>
      </c>
      <c r="B799" s="15">
        <v>46088</v>
      </c>
      <c r="C799" s="14" t="s">
        <v>902</v>
      </c>
      <c r="D799" s="14" t="s">
        <v>61</v>
      </c>
      <c r="E799" s="14" t="s">
        <v>43</v>
      </c>
      <c r="F799" s="14">
        <v>31</v>
      </c>
      <c r="G799" s="14" t="s">
        <v>67</v>
      </c>
      <c r="H799" s="14" t="s">
        <v>68</v>
      </c>
      <c r="I799" s="14" t="s">
        <v>67</v>
      </c>
      <c r="J799" s="14" t="s">
        <v>75</v>
      </c>
      <c r="K799" s="14">
        <v>5</v>
      </c>
      <c r="L799" s="14">
        <v>24050</v>
      </c>
      <c r="M799" s="14">
        <v>15</v>
      </c>
      <c r="N799" s="14">
        <v>18037.5</v>
      </c>
      <c r="O799" s="14">
        <v>18398.25</v>
      </c>
      <c r="P799" s="14">
        <v>437</v>
      </c>
      <c r="Q799" s="14">
        <f t="shared" si="12"/>
        <v>120610.75</v>
      </c>
      <c r="R799" s="14">
        <v>121047.75</v>
      </c>
      <c r="S799" s="14" t="s">
        <v>33</v>
      </c>
      <c r="T799" s="14" t="s">
        <v>63</v>
      </c>
      <c r="U799" s="14" t="s">
        <v>55</v>
      </c>
      <c r="V799" s="14" t="s">
        <v>56</v>
      </c>
      <c r="W799" s="14" t="s">
        <v>57</v>
      </c>
      <c r="X799" s="14">
        <v>4</v>
      </c>
      <c r="Y799" s="14" t="s">
        <v>38</v>
      </c>
      <c r="Z799" s="14">
        <v>4</v>
      </c>
      <c r="AA799" s="14" t="s">
        <v>47</v>
      </c>
    </row>
    <row r="800" spans="1:27" x14ac:dyDescent="0.35">
      <c r="A800" s="14" t="s">
        <v>1416</v>
      </c>
      <c r="B800" s="15">
        <v>46099</v>
      </c>
      <c r="C800" s="14" t="s">
        <v>1417</v>
      </c>
      <c r="D800" s="14" t="s">
        <v>89</v>
      </c>
      <c r="E800" s="14" t="s">
        <v>29</v>
      </c>
      <c r="F800" s="14">
        <v>47</v>
      </c>
      <c r="G800" s="14" t="s">
        <v>44</v>
      </c>
      <c r="H800" s="14" t="s">
        <v>31</v>
      </c>
      <c r="I800" s="14" t="s">
        <v>44</v>
      </c>
      <c r="J800" s="14" t="s">
        <v>112</v>
      </c>
      <c r="K800" s="14">
        <v>5</v>
      </c>
      <c r="L800" s="14">
        <v>48099</v>
      </c>
      <c r="M800" s="14">
        <v>5</v>
      </c>
      <c r="N800" s="14">
        <v>12024.75</v>
      </c>
      <c r="O800" s="14">
        <v>41124.639999999999</v>
      </c>
      <c r="P800" s="14">
        <v>491</v>
      </c>
      <c r="Q800" s="14">
        <f t="shared" si="12"/>
        <v>269594.90000000002</v>
      </c>
      <c r="R800" s="14">
        <v>270085.90000000002</v>
      </c>
      <c r="S800" s="14" t="s">
        <v>45</v>
      </c>
      <c r="T800" s="14" t="s">
        <v>63</v>
      </c>
      <c r="U800" s="14" t="s">
        <v>95</v>
      </c>
      <c r="V800" s="14" t="s">
        <v>96</v>
      </c>
      <c r="W800" s="14" t="s">
        <v>57</v>
      </c>
      <c r="X800" s="14">
        <v>2</v>
      </c>
      <c r="Y800" s="14" t="s">
        <v>47</v>
      </c>
      <c r="Z800" s="14">
        <v>5</v>
      </c>
      <c r="AA800" s="14" t="s">
        <v>58</v>
      </c>
    </row>
    <row r="801" spans="1:27" x14ac:dyDescent="0.35">
      <c r="A801" s="14" t="s">
        <v>1418</v>
      </c>
      <c r="B801" s="15">
        <v>45875</v>
      </c>
      <c r="C801" s="14" t="s">
        <v>1344</v>
      </c>
      <c r="D801" s="14" t="s">
        <v>80</v>
      </c>
      <c r="E801" s="14" t="s">
        <v>43</v>
      </c>
      <c r="F801" s="14">
        <v>18</v>
      </c>
      <c r="G801" s="14" t="s">
        <v>30</v>
      </c>
      <c r="H801" s="14" t="s">
        <v>31</v>
      </c>
      <c r="I801" s="14" t="s">
        <v>30</v>
      </c>
      <c r="J801" s="14" t="s">
        <v>112</v>
      </c>
      <c r="K801" s="14">
        <v>5</v>
      </c>
      <c r="L801" s="14">
        <v>37475</v>
      </c>
      <c r="M801" s="14">
        <v>10</v>
      </c>
      <c r="N801" s="14">
        <v>18737.5</v>
      </c>
      <c r="O801" s="14">
        <v>30354.75</v>
      </c>
      <c r="P801" s="14">
        <v>279</v>
      </c>
      <c r="Q801" s="14">
        <f t="shared" si="12"/>
        <v>198992.25</v>
      </c>
      <c r="R801" s="14">
        <v>199271.25</v>
      </c>
      <c r="S801" s="14" t="s">
        <v>83</v>
      </c>
      <c r="T801" s="14" t="s">
        <v>63</v>
      </c>
      <c r="U801" s="14" t="s">
        <v>70</v>
      </c>
      <c r="V801" s="14" t="s">
        <v>56</v>
      </c>
      <c r="W801" s="14" t="s">
        <v>57</v>
      </c>
      <c r="X801" s="14">
        <v>6</v>
      </c>
      <c r="Y801" s="14" t="s">
        <v>47</v>
      </c>
      <c r="Z801" s="14">
        <v>4</v>
      </c>
      <c r="AA801" s="14" t="s">
        <v>91</v>
      </c>
    </row>
    <row r="802" spans="1:27" x14ac:dyDescent="0.35">
      <c r="A802" s="14" t="s">
        <v>1419</v>
      </c>
      <c r="B802" s="15">
        <v>45840</v>
      </c>
      <c r="C802" s="14" t="s">
        <v>1088</v>
      </c>
      <c r="D802" s="14" t="s">
        <v>66</v>
      </c>
      <c r="E802" s="14" t="s">
        <v>29</v>
      </c>
      <c r="F802" s="14">
        <v>58</v>
      </c>
      <c r="G802" s="14" t="s">
        <v>90</v>
      </c>
      <c r="H802" s="14" t="s">
        <v>31</v>
      </c>
      <c r="I802" s="14" t="s">
        <v>90</v>
      </c>
      <c r="J802" s="14" t="s">
        <v>69</v>
      </c>
      <c r="K802" s="14">
        <v>2</v>
      </c>
      <c r="L802" s="14">
        <v>36204</v>
      </c>
      <c r="M802" s="14">
        <v>0</v>
      </c>
      <c r="N802" s="14">
        <v>0</v>
      </c>
      <c r="O802" s="14">
        <v>13033.44</v>
      </c>
      <c r="P802" s="14">
        <v>133</v>
      </c>
      <c r="Q802" s="14">
        <f t="shared" si="12"/>
        <v>85441.44</v>
      </c>
      <c r="R802" s="14">
        <v>85574.44</v>
      </c>
      <c r="S802" s="14" t="s">
        <v>45</v>
      </c>
      <c r="T802" s="14" t="s">
        <v>63</v>
      </c>
      <c r="U802" s="14" t="s">
        <v>46</v>
      </c>
      <c r="V802" s="14" t="s">
        <v>36</v>
      </c>
      <c r="W802" s="14" t="s">
        <v>37</v>
      </c>
      <c r="X802" s="14">
        <v>6</v>
      </c>
      <c r="Y802" s="14" t="s">
        <v>38</v>
      </c>
      <c r="Z802" s="14">
        <v>3</v>
      </c>
      <c r="AA802" s="14" t="s">
        <v>58</v>
      </c>
    </row>
    <row r="803" spans="1:27" x14ac:dyDescent="0.35">
      <c r="A803" s="14" t="s">
        <v>1420</v>
      </c>
      <c r="B803" s="15">
        <v>46008</v>
      </c>
      <c r="C803" s="14" t="s">
        <v>710</v>
      </c>
      <c r="D803" s="14" t="s">
        <v>73</v>
      </c>
      <c r="E803" s="14" t="s">
        <v>29</v>
      </c>
      <c r="F803" s="14">
        <v>26</v>
      </c>
      <c r="G803" s="14" t="s">
        <v>134</v>
      </c>
      <c r="H803" s="14" t="s">
        <v>31</v>
      </c>
      <c r="I803" s="14" t="s">
        <v>134</v>
      </c>
      <c r="J803" s="14" t="s">
        <v>53</v>
      </c>
      <c r="K803" s="14">
        <v>4</v>
      </c>
      <c r="L803" s="14">
        <v>38685</v>
      </c>
      <c r="M803" s="14">
        <v>0</v>
      </c>
      <c r="N803" s="14">
        <v>0</v>
      </c>
      <c r="O803" s="14">
        <v>27853.200000000001</v>
      </c>
      <c r="P803" s="14">
        <v>454</v>
      </c>
      <c r="Q803" s="14">
        <f t="shared" si="12"/>
        <v>182593.2</v>
      </c>
      <c r="R803" s="14">
        <v>183047.2</v>
      </c>
      <c r="S803" s="14" t="s">
        <v>33</v>
      </c>
      <c r="T803" s="14" t="s">
        <v>34</v>
      </c>
      <c r="U803" s="14" t="s">
        <v>55</v>
      </c>
      <c r="V803" s="14" t="s">
        <v>56</v>
      </c>
      <c r="W803" s="14" t="s">
        <v>57</v>
      </c>
      <c r="X803" s="14">
        <v>7</v>
      </c>
      <c r="Y803" s="14" t="s">
        <v>38</v>
      </c>
      <c r="Z803" s="14">
        <v>3</v>
      </c>
      <c r="AA803" s="14" t="s">
        <v>47</v>
      </c>
    </row>
    <row r="804" spans="1:27" x14ac:dyDescent="0.35">
      <c r="A804" s="14" t="s">
        <v>1421</v>
      </c>
      <c r="B804" s="15">
        <v>45888</v>
      </c>
      <c r="C804" s="14" t="s">
        <v>1422</v>
      </c>
      <c r="D804" s="14" t="s">
        <v>80</v>
      </c>
      <c r="E804" s="14" t="s">
        <v>29</v>
      </c>
      <c r="F804" s="14">
        <v>52</v>
      </c>
      <c r="G804" s="14" t="s">
        <v>74</v>
      </c>
      <c r="H804" s="14" t="s">
        <v>31</v>
      </c>
      <c r="I804" s="14" t="s">
        <v>74</v>
      </c>
      <c r="J804" s="14" t="s">
        <v>125</v>
      </c>
      <c r="K804" s="14">
        <v>3</v>
      </c>
      <c r="L804" s="14">
        <v>14708</v>
      </c>
      <c r="M804" s="14">
        <v>10</v>
      </c>
      <c r="N804" s="14">
        <v>4412.3999999999996</v>
      </c>
      <c r="O804" s="14">
        <v>7148.09</v>
      </c>
      <c r="P804" s="14">
        <v>196</v>
      </c>
      <c r="Q804" s="14">
        <f t="shared" si="12"/>
        <v>46859.69</v>
      </c>
      <c r="R804" s="14">
        <v>47055.69</v>
      </c>
      <c r="S804" s="14" t="s">
        <v>54</v>
      </c>
      <c r="T804" s="14" t="s">
        <v>34</v>
      </c>
      <c r="U804" s="14" t="s">
        <v>35</v>
      </c>
      <c r="V804" s="14" t="s">
        <v>36</v>
      </c>
      <c r="W804" s="14" t="s">
        <v>37</v>
      </c>
      <c r="X804" s="14">
        <v>8</v>
      </c>
      <c r="Y804" s="14" t="s">
        <v>47</v>
      </c>
      <c r="Z804" s="14">
        <v>3</v>
      </c>
      <c r="AA804" s="14" t="s">
        <v>47</v>
      </c>
    </row>
    <row r="805" spans="1:27" x14ac:dyDescent="0.35">
      <c r="A805" s="14" t="s">
        <v>1423</v>
      </c>
      <c r="B805" s="15">
        <v>45990</v>
      </c>
      <c r="C805" s="14" t="s">
        <v>182</v>
      </c>
      <c r="D805" s="14" t="s">
        <v>28</v>
      </c>
      <c r="E805" s="14" t="s">
        <v>43</v>
      </c>
      <c r="F805" s="14">
        <v>24</v>
      </c>
      <c r="G805" s="14" t="s">
        <v>99</v>
      </c>
      <c r="H805" s="14" t="s">
        <v>52</v>
      </c>
      <c r="I805" s="14" t="s">
        <v>99</v>
      </c>
      <c r="J805" s="14" t="s">
        <v>32</v>
      </c>
      <c r="K805" s="14">
        <v>3</v>
      </c>
      <c r="L805" s="14">
        <v>14838</v>
      </c>
      <c r="M805" s="14">
        <v>10</v>
      </c>
      <c r="N805" s="14">
        <v>4451.3999999999996</v>
      </c>
      <c r="O805" s="14">
        <v>7211.27</v>
      </c>
      <c r="P805" s="14">
        <v>147</v>
      </c>
      <c r="Q805" s="14">
        <f t="shared" si="12"/>
        <v>47273.87</v>
      </c>
      <c r="R805" s="14">
        <v>47420.87</v>
      </c>
      <c r="S805" s="14" t="s">
        <v>54</v>
      </c>
      <c r="T805" s="14" t="s">
        <v>34</v>
      </c>
      <c r="U805" s="14" t="s">
        <v>35</v>
      </c>
      <c r="V805" s="14" t="s">
        <v>36</v>
      </c>
      <c r="W805" s="14" t="s">
        <v>37</v>
      </c>
      <c r="X805" s="14">
        <v>10</v>
      </c>
      <c r="Y805" s="14" t="s">
        <v>47</v>
      </c>
      <c r="Z805" s="14">
        <v>2</v>
      </c>
      <c r="AA805" s="14" t="s">
        <v>47</v>
      </c>
    </row>
    <row r="806" spans="1:27" x14ac:dyDescent="0.35">
      <c r="A806" s="14" t="s">
        <v>1424</v>
      </c>
      <c r="B806" s="15">
        <v>45771</v>
      </c>
      <c r="C806" s="14" t="s">
        <v>817</v>
      </c>
      <c r="D806" s="14" t="s">
        <v>66</v>
      </c>
      <c r="E806" s="14" t="s">
        <v>29</v>
      </c>
      <c r="F806" s="14">
        <v>26</v>
      </c>
      <c r="G806" s="14" t="s">
        <v>30</v>
      </c>
      <c r="H806" s="14" t="s">
        <v>31</v>
      </c>
      <c r="I806" s="14" t="s">
        <v>30</v>
      </c>
      <c r="J806" s="14" t="s">
        <v>102</v>
      </c>
      <c r="K806" s="14">
        <v>4</v>
      </c>
      <c r="L806" s="14">
        <v>34698</v>
      </c>
      <c r="M806" s="14">
        <v>10</v>
      </c>
      <c r="N806" s="14">
        <v>13879.2</v>
      </c>
      <c r="O806" s="14">
        <v>22484.3</v>
      </c>
      <c r="P806" s="14">
        <v>304</v>
      </c>
      <c r="Q806" s="14">
        <f t="shared" si="12"/>
        <v>147397.1</v>
      </c>
      <c r="R806" s="14">
        <v>147701.1</v>
      </c>
      <c r="S806" s="14" t="s">
        <v>54</v>
      </c>
      <c r="T806" s="14" t="s">
        <v>34</v>
      </c>
      <c r="U806" s="14" t="s">
        <v>84</v>
      </c>
      <c r="V806" s="14" t="s">
        <v>85</v>
      </c>
      <c r="W806" s="14" t="s">
        <v>86</v>
      </c>
      <c r="X806" s="14">
        <v>1</v>
      </c>
      <c r="Y806" s="14" t="s">
        <v>47</v>
      </c>
      <c r="Z806" s="14">
        <v>2</v>
      </c>
      <c r="AA806" s="14" t="s">
        <v>58</v>
      </c>
    </row>
    <row r="807" spans="1:27" x14ac:dyDescent="0.35">
      <c r="A807" s="14" t="s">
        <v>1425</v>
      </c>
      <c r="B807" s="15">
        <v>45963</v>
      </c>
      <c r="C807" s="14" t="s">
        <v>720</v>
      </c>
      <c r="D807" s="14" t="s">
        <v>66</v>
      </c>
      <c r="E807" s="14" t="s">
        <v>29</v>
      </c>
      <c r="F807" s="14">
        <v>47</v>
      </c>
      <c r="G807" s="14" t="s">
        <v>74</v>
      </c>
      <c r="H807" s="14" t="s">
        <v>31</v>
      </c>
      <c r="I807" s="14" t="s">
        <v>74</v>
      </c>
      <c r="J807" s="14" t="s">
        <v>53</v>
      </c>
      <c r="K807" s="14">
        <v>5</v>
      </c>
      <c r="L807" s="14">
        <v>46766</v>
      </c>
      <c r="M807" s="14">
        <v>10</v>
      </c>
      <c r="N807" s="14">
        <v>23383</v>
      </c>
      <c r="O807" s="14">
        <v>37880.46</v>
      </c>
      <c r="P807" s="14">
        <v>163</v>
      </c>
      <c r="Q807" s="14">
        <f t="shared" si="12"/>
        <v>248327.46</v>
      </c>
      <c r="R807" s="14">
        <v>248490.46</v>
      </c>
      <c r="S807" s="14" t="s">
        <v>83</v>
      </c>
      <c r="T807" s="14" t="s">
        <v>34</v>
      </c>
      <c r="U807" s="14" t="s">
        <v>46</v>
      </c>
      <c r="V807" s="14" t="s">
        <v>36</v>
      </c>
      <c r="W807" s="14" t="s">
        <v>37</v>
      </c>
      <c r="X807" s="14">
        <v>4</v>
      </c>
      <c r="Y807" s="14" t="s">
        <v>38</v>
      </c>
      <c r="Z807" s="14">
        <v>3</v>
      </c>
      <c r="AA807" s="14" t="s">
        <v>47</v>
      </c>
    </row>
    <row r="808" spans="1:27" x14ac:dyDescent="0.35">
      <c r="A808" s="14" t="s">
        <v>1426</v>
      </c>
      <c r="B808" s="15">
        <v>45786</v>
      </c>
      <c r="C808" s="14" t="s">
        <v>1427</v>
      </c>
      <c r="D808" s="14" t="s">
        <v>42</v>
      </c>
      <c r="E808" s="14" t="s">
        <v>29</v>
      </c>
      <c r="F808" s="14">
        <v>30</v>
      </c>
      <c r="G808" s="14" t="s">
        <v>74</v>
      </c>
      <c r="H808" s="14" t="s">
        <v>31</v>
      </c>
      <c r="I808" s="14" t="s">
        <v>74</v>
      </c>
      <c r="J808" s="14" t="s">
        <v>102</v>
      </c>
      <c r="K808" s="14">
        <v>3</v>
      </c>
      <c r="L808" s="14">
        <v>644</v>
      </c>
      <c r="M808" s="14">
        <v>5</v>
      </c>
      <c r="N808" s="14">
        <v>96.6</v>
      </c>
      <c r="O808" s="14">
        <v>330.37</v>
      </c>
      <c r="P808" s="14">
        <v>253</v>
      </c>
      <c r="Q808" s="14">
        <f t="shared" si="12"/>
        <v>2165.77</v>
      </c>
      <c r="R808" s="14">
        <v>2418.77</v>
      </c>
      <c r="S808" s="14" t="s">
        <v>33</v>
      </c>
      <c r="T808" s="14" t="s">
        <v>63</v>
      </c>
      <c r="U808" s="14" t="s">
        <v>76</v>
      </c>
      <c r="V808" s="14" t="s">
        <v>77</v>
      </c>
      <c r="W808" s="14" t="s">
        <v>57</v>
      </c>
      <c r="X808" s="14">
        <v>10</v>
      </c>
      <c r="Y808" s="14" t="s">
        <v>38</v>
      </c>
      <c r="Z808" s="14">
        <v>1</v>
      </c>
      <c r="AA808" s="14" t="s">
        <v>58</v>
      </c>
    </row>
    <row r="809" spans="1:27" x14ac:dyDescent="0.35">
      <c r="A809" s="14" t="s">
        <v>1428</v>
      </c>
      <c r="B809" s="15">
        <v>45966</v>
      </c>
      <c r="C809" s="14" t="s">
        <v>1429</v>
      </c>
      <c r="D809" s="14" t="s">
        <v>42</v>
      </c>
      <c r="E809" s="14" t="s">
        <v>29</v>
      </c>
      <c r="F809" s="14">
        <v>49</v>
      </c>
      <c r="G809" s="14" t="s">
        <v>134</v>
      </c>
      <c r="H809" s="14" t="s">
        <v>31</v>
      </c>
      <c r="I809" s="14" t="s">
        <v>134</v>
      </c>
      <c r="J809" s="14" t="s">
        <v>102</v>
      </c>
      <c r="K809" s="14">
        <v>1</v>
      </c>
      <c r="L809" s="14">
        <v>7604</v>
      </c>
      <c r="M809" s="14">
        <v>10</v>
      </c>
      <c r="N809" s="14">
        <v>760.4</v>
      </c>
      <c r="O809" s="14">
        <v>1231.8499999999999</v>
      </c>
      <c r="P809" s="14">
        <v>405</v>
      </c>
      <c r="Q809" s="14">
        <f t="shared" si="12"/>
        <v>8075.4500000000007</v>
      </c>
      <c r="R809" s="14">
        <v>8480.4500000000007</v>
      </c>
      <c r="S809" s="14" t="s">
        <v>54</v>
      </c>
      <c r="T809" s="14" t="s">
        <v>63</v>
      </c>
      <c r="U809" s="14" t="s">
        <v>95</v>
      </c>
      <c r="V809" s="14" t="s">
        <v>96</v>
      </c>
      <c r="W809" s="14" t="s">
        <v>57</v>
      </c>
      <c r="X809" s="14">
        <v>8</v>
      </c>
      <c r="Y809" s="14" t="s">
        <v>38</v>
      </c>
      <c r="Z809" s="14">
        <v>2</v>
      </c>
      <c r="AA809" s="14" t="s">
        <v>58</v>
      </c>
    </row>
    <row r="810" spans="1:27" x14ac:dyDescent="0.35">
      <c r="A810" s="14" t="s">
        <v>1430</v>
      </c>
      <c r="B810" s="15">
        <v>45993</v>
      </c>
      <c r="C810" s="14" t="s">
        <v>276</v>
      </c>
      <c r="D810" s="14" t="s">
        <v>80</v>
      </c>
      <c r="E810" s="14" t="s">
        <v>29</v>
      </c>
      <c r="F810" s="14">
        <v>25</v>
      </c>
      <c r="G810" s="14" t="s">
        <v>99</v>
      </c>
      <c r="H810" s="14" t="s">
        <v>52</v>
      </c>
      <c r="I810" s="14" t="s">
        <v>99</v>
      </c>
      <c r="J810" s="14" t="s">
        <v>112</v>
      </c>
      <c r="K810" s="14">
        <v>5</v>
      </c>
      <c r="L810" s="14">
        <v>19653</v>
      </c>
      <c r="M810" s="14">
        <v>0</v>
      </c>
      <c r="N810" s="14">
        <v>0</v>
      </c>
      <c r="O810" s="14">
        <v>17687.7</v>
      </c>
      <c r="P810" s="14">
        <v>309</v>
      </c>
      <c r="Q810" s="14">
        <f t="shared" si="12"/>
        <v>115952.7</v>
      </c>
      <c r="R810" s="14">
        <v>116261.7</v>
      </c>
      <c r="S810" s="14" t="s">
        <v>45</v>
      </c>
      <c r="T810" s="14" t="s">
        <v>34</v>
      </c>
      <c r="U810" s="14" t="s">
        <v>46</v>
      </c>
      <c r="V810" s="14" t="s">
        <v>36</v>
      </c>
      <c r="W810" s="14" t="s">
        <v>37</v>
      </c>
      <c r="X810" s="14">
        <v>4</v>
      </c>
      <c r="Y810" s="14" t="s">
        <v>47</v>
      </c>
      <c r="Z810" s="14">
        <v>3</v>
      </c>
      <c r="AA810" s="14" t="s">
        <v>47</v>
      </c>
    </row>
    <row r="811" spans="1:27" x14ac:dyDescent="0.35">
      <c r="A811" s="14" t="s">
        <v>1431</v>
      </c>
      <c r="B811" s="15">
        <v>46035</v>
      </c>
      <c r="C811" s="14" t="s">
        <v>1432</v>
      </c>
      <c r="D811" s="14" t="s">
        <v>66</v>
      </c>
      <c r="E811" s="14" t="s">
        <v>29</v>
      </c>
      <c r="F811" s="14">
        <v>37</v>
      </c>
      <c r="G811" s="14" t="s">
        <v>74</v>
      </c>
      <c r="H811" s="14" t="s">
        <v>31</v>
      </c>
      <c r="I811" s="14" t="s">
        <v>74</v>
      </c>
      <c r="J811" s="14" t="s">
        <v>125</v>
      </c>
      <c r="K811" s="14">
        <v>2</v>
      </c>
      <c r="L811" s="14">
        <v>42230</v>
      </c>
      <c r="M811" s="14">
        <v>10</v>
      </c>
      <c r="N811" s="14">
        <v>8446</v>
      </c>
      <c r="O811" s="14">
        <v>13682.52</v>
      </c>
      <c r="P811" s="14">
        <v>156</v>
      </c>
      <c r="Q811" s="14">
        <f t="shared" si="12"/>
        <v>89696.52</v>
      </c>
      <c r="R811" s="14">
        <v>89852.52</v>
      </c>
      <c r="S811" s="14" t="s">
        <v>83</v>
      </c>
      <c r="T811" s="14" t="s">
        <v>63</v>
      </c>
      <c r="U811" s="14" t="s">
        <v>76</v>
      </c>
      <c r="V811" s="14" t="s">
        <v>77</v>
      </c>
      <c r="W811" s="14" t="s">
        <v>57</v>
      </c>
      <c r="X811" s="14">
        <v>1</v>
      </c>
      <c r="Y811" s="14" t="s">
        <v>47</v>
      </c>
      <c r="Z811" s="14">
        <v>2</v>
      </c>
      <c r="AA811" s="14" t="s">
        <v>39</v>
      </c>
    </row>
    <row r="812" spans="1:27" x14ac:dyDescent="0.35">
      <c r="A812" s="14" t="s">
        <v>1433</v>
      </c>
      <c r="B812" s="15">
        <v>45847</v>
      </c>
      <c r="C812" s="14" t="s">
        <v>1434</v>
      </c>
      <c r="D812" s="14" t="s">
        <v>50</v>
      </c>
      <c r="E812" s="14" t="s">
        <v>29</v>
      </c>
      <c r="F812" s="14">
        <v>23</v>
      </c>
      <c r="G812" s="14" t="s">
        <v>99</v>
      </c>
      <c r="H812" s="14" t="s">
        <v>52</v>
      </c>
      <c r="I812" s="14" t="s">
        <v>99</v>
      </c>
      <c r="J812" s="14" t="s">
        <v>53</v>
      </c>
      <c r="K812" s="14">
        <v>2</v>
      </c>
      <c r="L812" s="14">
        <v>29934</v>
      </c>
      <c r="M812" s="14">
        <v>20</v>
      </c>
      <c r="N812" s="14">
        <v>11973.6</v>
      </c>
      <c r="O812" s="14">
        <v>8620.99</v>
      </c>
      <c r="P812" s="14">
        <v>362</v>
      </c>
      <c r="Q812" s="14">
        <f t="shared" si="12"/>
        <v>56515.39</v>
      </c>
      <c r="R812" s="14">
        <v>56877.39</v>
      </c>
      <c r="S812" s="14" t="s">
        <v>33</v>
      </c>
      <c r="T812" s="14" t="s">
        <v>63</v>
      </c>
      <c r="U812" s="14" t="s">
        <v>35</v>
      </c>
      <c r="V812" s="14" t="s">
        <v>36</v>
      </c>
      <c r="W812" s="14" t="s">
        <v>37</v>
      </c>
      <c r="X812" s="14">
        <v>6</v>
      </c>
      <c r="Y812" s="14" t="s">
        <v>38</v>
      </c>
      <c r="Z812" s="14">
        <v>5</v>
      </c>
      <c r="AA812" s="14" t="s">
        <v>58</v>
      </c>
    </row>
    <row r="813" spans="1:27" x14ac:dyDescent="0.35">
      <c r="A813" s="14" t="s">
        <v>1435</v>
      </c>
      <c r="B813" s="15">
        <v>45817</v>
      </c>
      <c r="C813" s="14" t="s">
        <v>260</v>
      </c>
      <c r="D813" s="14" t="s">
        <v>111</v>
      </c>
      <c r="E813" s="14" t="s">
        <v>29</v>
      </c>
      <c r="F813" s="14">
        <v>27</v>
      </c>
      <c r="G813" s="14" t="s">
        <v>67</v>
      </c>
      <c r="H813" s="14" t="s">
        <v>68</v>
      </c>
      <c r="I813" s="14" t="s">
        <v>67</v>
      </c>
      <c r="J813" s="14" t="s">
        <v>62</v>
      </c>
      <c r="K813" s="14">
        <v>1</v>
      </c>
      <c r="L813" s="14">
        <v>28168</v>
      </c>
      <c r="M813" s="14">
        <v>10</v>
      </c>
      <c r="N813" s="14">
        <v>2816.8</v>
      </c>
      <c r="O813" s="14">
        <v>4563.22</v>
      </c>
      <c r="P813" s="14">
        <v>158</v>
      </c>
      <c r="Q813" s="14">
        <f t="shared" si="12"/>
        <v>29914.42</v>
      </c>
      <c r="R813" s="14">
        <v>30072.42</v>
      </c>
      <c r="S813" s="14" t="s">
        <v>33</v>
      </c>
      <c r="T813" s="14" t="s">
        <v>63</v>
      </c>
      <c r="U813" s="14" t="s">
        <v>95</v>
      </c>
      <c r="V813" s="14" t="s">
        <v>96</v>
      </c>
      <c r="W813" s="14" t="s">
        <v>57</v>
      </c>
      <c r="X813" s="14">
        <v>5</v>
      </c>
      <c r="Y813" s="14" t="s">
        <v>47</v>
      </c>
      <c r="Z813" s="14">
        <v>2</v>
      </c>
      <c r="AA813" s="14" t="s">
        <v>47</v>
      </c>
    </row>
    <row r="814" spans="1:27" x14ac:dyDescent="0.35">
      <c r="A814" s="14" t="s">
        <v>1436</v>
      </c>
      <c r="B814" s="15">
        <v>45977</v>
      </c>
      <c r="C814" s="14" t="s">
        <v>1437</v>
      </c>
      <c r="D814" s="14" t="s">
        <v>50</v>
      </c>
      <c r="E814" s="14" t="s">
        <v>43</v>
      </c>
      <c r="F814" s="14">
        <v>36</v>
      </c>
      <c r="G814" s="14" t="s">
        <v>30</v>
      </c>
      <c r="H814" s="14" t="s">
        <v>31</v>
      </c>
      <c r="I814" s="14" t="s">
        <v>30</v>
      </c>
      <c r="J814" s="14" t="s">
        <v>150</v>
      </c>
      <c r="K814" s="14">
        <v>4</v>
      </c>
      <c r="L814" s="14">
        <v>35314</v>
      </c>
      <c r="M814" s="14">
        <v>5</v>
      </c>
      <c r="N814" s="14">
        <v>7062.8</v>
      </c>
      <c r="O814" s="14">
        <v>24154.78</v>
      </c>
      <c r="P814" s="14">
        <v>456</v>
      </c>
      <c r="Q814" s="14">
        <f t="shared" si="12"/>
        <v>158347.98000000001</v>
      </c>
      <c r="R814" s="14">
        <v>158803.98000000001</v>
      </c>
      <c r="S814" s="14" t="s">
        <v>54</v>
      </c>
      <c r="T814" s="14" t="s">
        <v>34</v>
      </c>
      <c r="U814" s="14" t="s">
        <v>70</v>
      </c>
      <c r="V814" s="14" t="s">
        <v>56</v>
      </c>
      <c r="W814" s="14" t="s">
        <v>57</v>
      </c>
      <c r="X814" s="14">
        <v>2</v>
      </c>
      <c r="Y814" s="14" t="s">
        <v>38</v>
      </c>
      <c r="Z814" s="14">
        <v>5</v>
      </c>
      <c r="AA814" s="14" t="s">
        <v>91</v>
      </c>
    </row>
    <row r="815" spans="1:27" x14ac:dyDescent="0.35">
      <c r="A815" s="14" t="s">
        <v>1438</v>
      </c>
      <c r="B815" s="15">
        <v>45949</v>
      </c>
      <c r="C815" s="14" t="s">
        <v>160</v>
      </c>
      <c r="D815" s="14" t="s">
        <v>50</v>
      </c>
      <c r="E815" s="14" t="s">
        <v>43</v>
      </c>
      <c r="F815" s="14">
        <v>55</v>
      </c>
      <c r="G815" s="14" t="s">
        <v>94</v>
      </c>
      <c r="H815" s="14" t="s">
        <v>31</v>
      </c>
      <c r="I815" s="14" t="s">
        <v>94</v>
      </c>
      <c r="J815" s="14" t="s">
        <v>75</v>
      </c>
      <c r="K815" s="14">
        <v>1</v>
      </c>
      <c r="L815" s="14">
        <v>27249</v>
      </c>
      <c r="M815" s="14">
        <v>20</v>
      </c>
      <c r="N815" s="14">
        <v>5449.8</v>
      </c>
      <c r="O815" s="14">
        <v>3923.86</v>
      </c>
      <c r="P815" s="14">
        <v>475</v>
      </c>
      <c r="Q815" s="14">
        <f t="shared" si="12"/>
        <v>25723.06</v>
      </c>
      <c r="R815" s="14">
        <v>26198.06</v>
      </c>
      <c r="S815" s="14" t="s">
        <v>33</v>
      </c>
      <c r="T815" s="14" t="s">
        <v>63</v>
      </c>
      <c r="U815" s="14" t="s">
        <v>103</v>
      </c>
      <c r="V815" s="14" t="s">
        <v>103</v>
      </c>
      <c r="W815" s="14" t="s">
        <v>57</v>
      </c>
      <c r="X815" s="14">
        <v>5</v>
      </c>
      <c r="Y815" s="14" t="s">
        <v>38</v>
      </c>
      <c r="Z815" s="14">
        <v>1</v>
      </c>
      <c r="AA815" s="14" t="s">
        <v>39</v>
      </c>
    </row>
    <row r="816" spans="1:27" x14ac:dyDescent="0.35">
      <c r="A816" s="14" t="s">
        <v>1439</v>
      </c>
      <c r="B816" s="15">
        <v>45761</v>
      </c>
      <c r="C816" s="14" t="s">
        <v>331</v>
      </c>
      <c r="D816" s="14" t="s">
        <v>61</v>
      </c>
      <c r="E816" s="14" t="s">
        <v>43</v>
      </c>
      <c r="F816" s="14">
        <v>29</v>
      </c>
      <c r="G816" s="14" t="s">
        <v>51</v>
      </c>
      <c r="H816" s="14" t="s">
        <v>52</v>
      </c>
      <c r="I816" s="14" t="s">
        <v>51</v>
      </c>
      <c r="J816" s="14" t="s">
        <v>150</v>
      </c>
      <c r="K816" s="14">
        <v>3</v>
      </c>
      <c r="L816" s="14">
        <v>49236</v>
      </c>
      <c r="M816" s="14">
        <v>10</v>
      </c>
      <c r="N816" s="14">
        <v>14770.8</v>
      </c>
      <c r="O816" s="14">
        <v>23928.7</v>
      </c>
      <c r="P816" s="14">
        <v>256</v>
      </c>
      <c r="Q816" s="14">
        <f t="shared" si="12"/>
        <v>156865.9</v>
      </c>
      <c r="R816" s="14">
        <v>157121.9</v>
      </c>
      <c r="S816" s="14" t="s">
        <v>54</v>
      </c>
      <c r="T816" s="14" t="s">
        <v>34</v>
      </c>
      <c r="U816" s="14" t="s">
        <v>55</v>
      </c>
      <c r="V816" s="14" t="s">
        <v>56</v>
      </c>
      <c r="W816" s="14" t="s">
        <v>57</v>
      </c>
      <c r="X816" s="14">
        <v>3</v>
      </c>
      <c r="Y816" s="14" t="s">
        <v>38</v>
      </c>
      <c r="Z816" s="14">
        <v>3</v>
      </c>
      <c r="AA816" s="14" t="s">
        <v>91</v>
      </c>
    </row>
    <row r="817" spans="1:27" x14ac:dyDescent="0.35">
      <c r="A817" s="14" t="s">
        <v>1440</v>
      </c>
      <c r="B817" s="15">
        <v>46003</v>
      </c>
      <c r="C817" s="14" t="s">
        <v>787</v>
      </c>
      <c r="D817" s="14" t="s">
        <v>61</v>
      </c>
      <c r="E817" s="14" t="s">
        <v>43</v>
      </c>
      <c r="F817" s="14">
        <v>26</v>
      </c>
      <c r="G817" s="14" t="s">
        <v>67</v>
      </c>
      <c r="H817" s="14" t="s">
        <v>68</v>
      </c>
      <c r="I817" s="14" t="s">
        <v>67</v>
      </c>
      <c r="J817" s="14" t="s">
        <v>125</v>
      </c>
      <c r="K817" s="14">
        <v>1</v>
      </c>
      <c r="L817" s="14">
        <v>30859</v>
      </c>
      <c r="M817" s="14">
        <v>5</v>
      </c>
      <c r="N817" s="14">
        <v>1542.95</v>
      </c>
      <c r="O817" s="14">
        <v>5276.89</v>
      </c>
      <c r="P817" s="14">
        <v>480</v>
      </c>
      <c r="Q817" s="14">
        <f t="shared" si="12"/>
        <v>34592.94</v>
      </c>
      <c r="R817" s="14">
        <v>35072.94</v>
      </c>
      <c r="S817" s="14" t="s">
        <v>54</v>
      </c>
      <c r="T817" s="14" t="s">
        <v>63</v>
      </c>
      <c r="U817" s="14" t="s">
        <v>35</v>
      </c>
      <c r="V817" s="14" t="s">
        <v>36</v>
      </c>
      <c r="W817" s="14" t="s">
        <v>37</v>
      </c>
      <c r="X817" s="14">
        <v>4</v>
      </c>
      <c r="Y817" s="14" t="s">
        <v>38</v>
      </c>
      <c r="Z817" s="14">
        <v>4</v>
      </c>
      <c r="AA817" s="14" t="s">
        <v>58</v>
      </c>
    </row>
    <row r="818" spans="1:27" x14ac:dyDescent="0.35">
      <c r="A818" s="14" t="s">
        <v>1441</v>
      </c>
      <c r="B818" s="15">
        <v>45825</v>
      </c>
      <c r="C818" s="14" t="s">
        <v>922</v>
      </c>
      <c r="D818" s="14" t="s">
        <v>89</v>
      </c>
      <c r="E818" s="14" t="s">
        <v>43</v>
      </c>
      <c r="F818" s="14">
        <v>44</v>
      </c>
      <c r="G818" s="14" t="s">
        <v>99</v>
      </c>
      <c r="H818" s="14" t="s">
        <v>52</v>
      </c>
      <c r="I818" s="14" t="s">
        <v>99</v>
      </c>
      <c r="J818" s="14" t="s">
        <v>75</v>
      </c>
      <c r="K818" s="14">
        <v>4</v>
      </c>
      <c r="L818" s="14">
        <v>37642</v>
      </c>
      <c r="M818" s="14">
        <v>15</v>
      </c>
      <c r="N818" s="14">
        <v>22585.200000000001</v>
      </c>
      <c r="O818" s="14">
        <v>23036.9</v>
      </c>
      <c r="P818" s="14">
        <v>32</v>
      </c>
      <c r="Q818" s="14">
        <f t="shared" si="12"/>
        <v>151019.70000000001</v>
      </c>
      <c r="R818" s="14">
        <v>151051.70000000001</v>
      </c>
      <c r="S818" s="14" t="s">
        <v>45</v>
      </c>
      <c r="T818" s="14" t="s">
        <v>34</v>
      </c>
      <c r="U818" s="14" t="s">
        <v>70</v>
      </c>
      <c r="V818" s="14" t="s">
        <v>56</v>
      </c>
      <c r="W818" s="14" t="s">
        <v>57</v>
      </c>
      <c r="X818" s="14">
        <v>1</v>
      </c>
      <c r="Y818" s="14" t="s">
        <v>38</v>
      </c>
      <c r="Z818" s="14">
        <v>5</v>
      </c>
      <c r="AA818" s="14" t="s">
        <v>39</v>
      </c>
    </row>
    <row r="819" spans="1:27" x14ac:dyDescent="0.35">
      <c r="A819" s="14" t="s">
        <v>1442</v>
      </c>
      <c r="B819" s="15">
        <v>45857</v>
      </c>
      <c r="C819" s="14" t="s">
        <v>1443</v>
      </c>
      <c r="D819" s="14" t="s">
        <v>108</v>
      </c>
      <c r="E819" s="14" t="s">
        <v>29</v>
      </c>
      <c r="F819" s="14">
        <v>23</v>
      </c>
      <c r="G819" s="14" t="s">
        <v>94</v>
      </c>
      <c r="H819" s="14" t="s">
        <v>31</v>
      </c>
      <c r="I819" s="14" t="s">
        <v>94</v>
      </c>
      <c r="J819" s="14" t="s">
        <v>102</v>
      </c>
      <c r="K819" s="14">
        <v>5</v>
      </c>
      <c r="L819" s="14">
        <v>48628</v>
      </c>
      <c r="M819" s="14">
        <v>15</v>
      </c>
      <c r="N819" s="14">
        <v>36471</v>
      </c>
      <c r="O819" s="14">
        <v>37200.42</v>
      </c>
      <c r="P819" s="14">
        <v>224</v>
      </c>
      <c r="Q819" s="14">
        <f t="shared" si="12"/>
        <v>243869.42</v>
      </c>
      <c r="R819" s="14">
        <v>244093.42</v>
      </c>
      <c r="S819" s="14" t="s">
        <v>54</v>
      </c>
      <c r="T819" s="14" t="s">
        <v>34</v>
      </c>
      <c r="U819" s="14" t="s">
        <v>55</v>
      </c>
      <c r="V819" s="14" t="s">
        <v>56</v>
      </c>
      <c r="W819" s="14" t="s">
        <v>57</v>
      </c>
      <c r="X819" s="14">
        <v>9</v>
      </c>
      <c r="Y819" s="14" t="s">
        <v>47</v>
      </c>
      <c r="Z819" s="14">
        <v>2</v>
      </c>
      <c r="AA819" s="14" t="s">
        <v>39</v>
      </c>
    </row>
    <row r="820" spans="1:27" x14ac:dyDescent="0.35">
      <c r="A820" s="14" t="s">
        <v>1444</v>
      </c>
      <c r="B820" s="15">
        <v>45786</v>
      </c>
      <c r="C820" s="14" t="s">
        <v>426</v>
      </c>
      <c r="D820" s="14" t="s">
        <v>111</v>
      </c>
      <c r="E820" s="14" t="s">
        <v>29</v>
      </c>
      <c r="F820" s="14">
        <v>49</v>
      </c>
      <c r="G820" s="14" t="s">
        <v>139</v>
      </c>
      <c r="H820" s="14" t="s">
        <v>31</v>
      </c>
      <c r="I820" s="14" t="s">
        <v>139</v>
      </c>
      <c r="J820" s="14" t="s">
        <v>32</v>
      </c>
      <c r="K820" s="14">
        <v>5</v>
      </c>
      <c r="L820" s="14">
        <v>16368</v>
      </c>
      <c r="M820" s="14">
        <v>15</v>
      </c>
      <c r="N820" s="14">
        <v>12276</v>
      </c>
      <c r="O820" s="14">
        <v>12521.52</v>
      </c>
      <c r="P820" s="14">
        <v>443</v>
      </c>
      <c r="Q820" s="14">
        <f t="shared" si="12"/>
        <v>82085.52</v>
      </c>
      <c r="R820" s="14">
        <v>82528.52</v>
      </c>
      <c r="S820" s="14" t="s">
        <v>45</v>
      </c>
      <c r="T820" s="14" t="s">
        <v>63</v>
      </c>
      <c r="U820" s="14" t="s">
        <v>70</v>
      </c>
      <c r="V820" s="14" t="s">
        <v>56</v>
      </c>
      <c r="W820" s="14" t="s">
        <v>57</v>
      </c>
      <c r="X820" s="14">
        <v>8</v>
      </c>
      <c r="Y820" s="14" t="s">
        <v>47</v>
      </c>
      <c r="Z820" s="14">
        <v>2</v>
      </c>
      <c r="AA820" s="14" t="s">
        <v>47</v>
      </c>
    </row>
    <row r="821" spans="1:27" x14ac:dyDescent="0.35">
      <c r="A821" s="14" t="s">
        <v>1445</v>
      </c>
      <c r="B821" s="15">
        <v>45913</v>
      </c>
      <c r="C821" s="14" t="s">
        <v>1181</v>
      </c>
      <c r="D821" s="14" t="s">
        <v>28</v>
      </c>
      <c r="E821" s="14" t="s">
        <v>29</v>
      </c>
      <c r="F821" s="14">
        <v>37</v>
      </c>
      <c r="G821" s="14" t="s">
        <v>44</v>
      </c>
      <c r="H821" s="14" t="s">
        <v>31</v>
      </c>
      <c r="I821" s="14" t="s">
        <v>44</v>
      </c>
      <c r="J821" s="14" t="s">
        <v>112</v>
      </c>
      <c r="K821" s="14">
        <v>2</v>
      </c>
      <c r="L821" s="14">
        <v>31757</v>
      </c>
      <c r="M821" s="14">
        <v>0</v>
      </c>
      <c r="N821" s="14">
        <v>0</v>
      </c>
      <c r="O821" s="14">
        <v>11432.52</v>
      </c>
      <c r="P821" s="14">
        <v>191</v>
      </c>
      <c r="Q821" s="14">
        <f t="shared" si="12"/>
        <v>74946.52</v>
      </c>
      <c r="R821" s="14">
        <v>75137.52</v>
      </c>
      <c r="S821" s="14" t="s">
        <v>45</v>
      </c>
      <c r="T821" s="14" t="s">
        <v>34</v>
      </c>
      <c r="U821" s="14" t="s">
        <v>55</v>
      </c>
      <c r="V821" s="14" t="s">
        <v>56</v>
      </c>
      <c r="W821" s="14" t="s">
        <v>57</v>
      </c>
      <c r="X821" s="14">
        <v>3</v>
      </c>
      <c r="Y821" s="14" t="s">
        <v>38</v>
      </c>
      <c r="Z821" s="14">
        <v>3</v>
      </c>
      <c r="AA821" s="14" t="s">
        <v>47</v>
      </c>
    </row>
    <row r="822" spans="1:27" x14ac:dyDescent="0.35">
      <c r="A822" s="14" t="s">
        <v>1446</v>
      </c>
      <c r="B822" s="15">
        <v>45853</v>
      </c>
      <c r="C822" s="14" t="s">
        <v>1447</v>
      </c>
      <c r="D822" s="14" t="s">
        <v>73</v>
      </c>
      <c r="E822" s="14" t="s">
        <v>43</v>
      </c>
      <c r="F822" s="14">
        <v>29</v>
      </c>
      <c r="G822" s="14" t="s">
        <v>90</v>
      </c>
      <c r="H822" s="14" t="s">
        <v>31</v>
      </c>
      <c r="I822" s="14" t="s">
        <v>90</v>
      </c>
      <c r="J822" s="14" t="s">
        <v>75</v>
      </c>
      <c r="K822" s="14">
        <v>4</v>
      </c>
      <c r="L822" s="14">
        <v>37757</v>
      </c>
      <c r="M822" s="14">
        <v>10</v>
      </c>
      <c r="N822" s="14">
        <v>15102.8</v>
      </c>
      <c r="O822" s="14">
        <v>24466.54</v>
      </c>
      <c r="P822" s="14">
        <v>430</v>
      </c>
      <c r="Q822" s="14">
        <f t="shared" si="12"/>
        <v>160391.74</v>
      </c>
      <c r="R822" s="14">
        <v>160821.74</v>
      </c>
      <c r="S822" s="14" t="s">
        <v>83</v>
      </c>
      <c r="T822" s="14" t="s">
        <v>63</v>
      </c>
      <c r="U822" s="14" t="s">
        <v>70</v>
      </c>
      <c r="V822" s="14" t="s">
        <v>56</v>
      </c>
      <c r="W822" s="14" t="s">
        <v>57</v>
      </c>
      <c r="X822" s="14">
        <v>3</v>
      </c>
      <c r="Y822" s="14" t="s">
        <v>47</v>
      </c>
      <c r="Z822" s="14">
        <v>4</v>
      </c>
      <c r="AA822" s="14" t="s">
        <v>47</v>
      </c>
    </row>
    <row r="823" spans="1:27" x14ac:dyDescent="0.35">
      <c r="A823" s="14" t="s">
        <v>1448</v>
      </c>
      <c r="B823" s="15">
        <v>46020</v>
      </c>
      <c r="C823" s="14" t="s">
        <v>214</v>
      </c>
      <c r="D823" s="14" t="s">
        <v>50</v>
      </c>
      <c r="E823" s="14" t="s">
        <v>43</v>
      </c>
      <c r="F823" s="14">
        <v>55</v>
      </c>
      <c r="G823" s="14" t="s">
        <v>139</v>
      </c>
      <c r="H823" s="14" t="s">
        <v>31</v>
      </c>
      <c r="I823" s="14" t="s">
        <v>139</v>
      </c>
      <c r="J823" s="14" t="s">
        <v>150</v>
      </c>
      <c r="K823" s="14">
        <v>2</v>
      </c>
      <c r="L823" s="14">
        <v>42743</v>
      </c>
      <c r="M823" s="14">
        <v>5</v>
      </c>
      <c r="N823" s="14">
        <v>4274.3</v>
      </c>
      <c r="O823" s="14">
        <v>14618.11</v>
      </c>
      <c r="P823" s="14">
        <v>473</v>
      </c>
      <c r="Q823" s="14">
        <f t="shared" si="12"/>
        <v>95829.81</v>
      </c>
      <c r="R823" s="14">
        <v>96302.81</v>
      </c>
      <c r="S823" s="14" t="s">
        <v>54</v>
      </c>
      <c r="T823" s="14" t="s">
        <v>63</v>
      </c>
      <c r="U823" s="14" t="s">
        <v>70</v>
      </c>
      <c r="V823" s="14" t="s">
        <v>56</v>
      </c>
      <c r="W823" s="14" t="s">
        <v>57</v>
      </c>
      <c r="X823" s="14">
        <v>9</v>
      </c>
      <c r="Y823" s="14" t="s">
        <v>47</v>
      </c>
      <c r="Z823" s="14">
        <v>4</v>
      </c>
      <c r="AA823" s="14" t="s">
        <v>91</v>
      </c>
    </row>
    <row r="824" spans="1:27" x14ac:dyDescent="0.35">
      <c r="A824" s="14" t="s">
        <v>1449</v>
      </c>
      <c r="B824" s="15">
        <v>45849</v>
      </c>
      <c r="C824" s="14" t="s">
        <v>657</v>
      </c>
      <c r="D824" s="14" t="s">
        <v>61</v>
      </c>
      <c r="E824" s="14" t="s">
        <v>29</v>
      </c>
      <c r="F824" s="14">
        <v>58</v>
      </c>
      <c r="G824" s="14" t="s">
        <v>74</v>
      </c>
      <c r="H824" s="14" t="s">
        <v>31</v>
      </c>
      <c r="I824" s="14" t="s">
        <v>74</v>
      </c>
      <c r="J824" s="14" t="s">
        <v>102</v>
      </c>
      <c r="K824" s="14">
        <v>3</v>
      </c>
      <c r="L824" s="14">
        <v>20225</v>
      </c>
      <c r="M824" s="14">
        <v>10</v>
      </c>
      <c r="N824" s="14">
        <v>6067.5</v>
      </c>
      <c r="O824" s="14">
        <v>9829.35</v>
      </c>
      <c r="P824" s="14">
        <v>463</v>
      </c>
      <c r="Q824" s="14">
        <f t="shared" si="12"/>
        <v>64436.85</v>
      </c>
      <c r="R824" s="14">
        <v>64899.85</v>
      </c>
      <c r="S824" s="14" t="s">
        <v>45</v>
      </c>
      <c r="T824" s="14" t="s">
        <v>63</v>
      </c>
      <c r="U824" s="14" t="s">
        <v>70</v>
      </c>
      <c r="V824" s="14" t="s">
        <v>56</v>
      </c>
      <c r="W824" s="14" t="s">
        <v>57</v>
      </c>
      <c r="X824" s="14">
        <v>9</v>
      </c>
      <c r="Y824" s="14" t="s">
        <v>47</v>
      </c>
      <c r="Z824" s="14">
        <v>1</v>
      </c>
      <c r="AA824" s="14" t="s">
        <v>58</v>
      </c>
    </row>
    <row r="825" spans="1:27" x14ac:dyDescent="0.35">
      <c r="A825" s="14" t="s">
        <v>1450</v>
      </c>
      <c r="B825" s="15">
        <v>46063</v>
      </c>
      <c r="C825" s="14" t="s">
        <v>778</v>
      </c>
      <c r="D825" s="14" t="s">
        <v>28</v>
      </c>
      <c r="E825" s="14" t="s">
        <v>43</v>
      </c>
      <c r="F825" s="14">
        <v>49</v>
      </c>
      <c r="G825" s="14" t="s">
        <v>51</v>
      </c>
      <c r="H825" s="14" t="s">
        <v>52</v>
      </c>
      <c r="I825" s="14" t="s">
        <v>51</v>
      </c>
      <c r="J825" s="14" t="s">
        <v>112</v>
      </c>
      <c r="K825" s="14">
        <v>2</v>
      </c>
      <c r="L825" s="14">
        <v>8375</v>
      </c>
      <c r="M825" s="14">
        <v>15</v>
      </c>
      <c r="N825" s="14">
        <v>2512.5</v>
      </c>
      <c r="O825" s="14">
        <v>2562.75</v>
      </c>
      <c r="P825" s="14">
        <v>470</v>
      </c>
      <c r="Q825" s="14">
        <f t="shared" si="12"/>
        <v>16800.25</v>
      </c>
      <c r="R825" s="14">
        <v>17270.25</v>
      </c>
      <c r="S825" s="14" t="s">
        <v>45</v>
      </c>
      <c r="T825" s="14" t="s">
        <v>34</v>
      </c>
      <c r="U825" s="14" t="s">
        <v>84</v>
      </c>
      <c r="V825" s="14" t="s">
        <v>85</v>
      </c>
      <c r="W825" s="14" t="s">
        <v>86</v>
      </c>
      <c r="X825" s="14">
        <v>1</v>
      </c>
      <c r="Y825" s="14" t="s">
        <v>38</v>
      </c>
      <c r="Z825" s="14">
        <v>3</v>
      </c>
      <c r="AA825" s="14" t="s">
        <v>91</v>
      </c>
    </row>
    <row r="826" spans="1:27" x14ac:dyDescent="0.35">
      <c r="A826" s="14" t="s">
        <v>1451</v>
      </c>
      <c r="B826" s="15">
        <v>45803</v>
      </c>
      <c r="C826" s="14" t="s">
        <v>1452</v>
      </c>
      <c r="D826" s="14" t="s">
        <v>73</v>
      </c>
      <c r="E826" s="14" t="s">
        <v>43</v>
      </c>
      <c r="F826" s="14">
        <v>58</v>
      </c>
      <c r="G826" s="14" t="s">
        <v>90</v>
      </c>
      <c r="H826" s="14" t="s">
        <v>31</v>
      </c>
      <c r="I826" s="14" t="s">
        <v>90</v>
      </c>
      <c r="J826" s="14" t="s">
        <v>53</v>
      </c>
      <c r="K826" s="14">
        <v>1</v>
      </c>
      <c r="L826" s="14">
        <v>5347</v>
      </c>
      <c r="M826" s="14">
        <v>10</v>
      </c>
      <c r="N826" s="14">
        <v>534.70000000000005</v>
      </c>
      <c r="O826" s="14">
        <v>866.21</v>
      </c>
      <c r="P826" s="14">
        <v>428</v>
      </c>
      <c r="Q826" s="14">
        <f t="shared" si="12"/>
        <v>5678.51</v>
      </c>
      <c r="R826" s="14">
        <v>6106.51</v>
      </c>
      <c r="S826" s="14" t="s">
        <v>83</v>
      </c>
      <c r="T826" s="14" t="s">
        <v>63</v>
      </c>
      <c r="U826" s="14" t="s">
        <v>95</v>
      </c>
      <c r="V826" s="14" t="s">
        <v>96</v>
      </c>
      <c r="W826" s="14" t="s">
        <v>57</v>
      </c>
      <c r="X826" s="14">
        <v>2</v>
      </c>
      <c r="Y826" s="14" t="s">
        <v>38</v>
      </c>
      <c r="Z826" s="14">
        <v>4</v>
      </c>
      <c r="AA826" s="14" t="s">
        <v>91</v>
      </c>
    </row>
    <row r="827" spans="1:27" x14ac:dyDescent="0.35">
      <c r="A827" s="14" t="s">
        <v>1453</v>
      </c>
      <c r="B827" s="15">
        <v>46092</v>
      </c>
      <c r="C827" s="14" t="s">
        <v>1454</v>
      </c>
      <c r="D827" s="14" t="s">
        <v>73</v>
      </c>
      <c r="E827" s="14" t="s">
        <v>43</v>
      </c>
      <c r="F827" s="14">
        <v>19</v>
      </c>
      <c r="G827" s="14" t="s">
        <v>99</v>
      </c>
      <c r="H827" s="14" t="s">
        <v>52</v>
      </c>
      <c r="I827" s="14" t="s">
        <v>99</v>
      </c>
      <c r="J827" s="14" t="s">
        <v>102</v>
      </c>
      <c r="K827" s="14">
        <v>2</v>
      </c>
      <c r="L827" s="14">
        <v>24967</v>
      </c>
      <c r="M827" s="14">
        <v>10</v>
      </c>
      <c r="N827" s="14">
        <v>4993.3999999999996</v>
      </c>
      <c r="O827" s="14">
        <v>8089.31</v>
      </c>
      <c r="P827" s="14">
        <v>104</v>
      </c>
      <c r="Q827" s="14">
        <f t="shared" si="12"/>
        <v>53029.91</v>
      </c>
      <c r="R827" s="14">
        <v>53133.91</v>
      </c>
      <c r="S827" s="14" t="s">
        <v>54</v>
      </c>
      <c r="T827" s="14" t="s">
        <v>34</v>
      </c>
      <c r="U827" s="14" t="s">
        <v>76</v>
      </c>
      <c r="V827" s="14" t="s">
        <v>77</v>
      </c>
      <c r="W827" s="14" t="s">
        <v>57</v>
      </c>
      <c r="X827" s="14">
        <v>1</v>
      </c>
      <c r="Y827" s="14" t="s">
        <v>38</v>
      </c>
      <c r="Z827" s="14">
        <v>4</v>
      </c>
      <c r="AA827" s="14" t="s">
        <v>58</v>
      </c>
    </row>
    <row r="828" spans="1:27" x14ac:dyDescent="0.35">
      <c r="A828" s="14" t="s">
        <v>1455</v>
      </c>
      <c r="B828" s="15">
        <v>46043</v>
      </c>
      <c r="C828" s="14" t="s">
        <v>875</v>
      </c>
      <c r="D828" s="14" t="s">
        <v>80</v>
      </c>
      <c r="E828" s="14" t="s">
        <v>43</v>
      </c>
      <c r="F828" s="14">
        <v>38</v>
      </c>
      <c r="G828" s="14" t="s">
        <v>51</v>
      </c>
      <c r="H828" s="14" t="s">
        <v>52</v>
      </c>
      <c r="I828" s="14" t="s">
        <v>51</v>
      </c>
      <c r="J828" s="14" t="s">
        <v>53</v>
      </c>
      <c r="K828" s="14">
        <v>4</v>
      </c>
      <c r="L828" s="14">
        <v>33363</v>
      </c>
      <c r="M828" s="14">
        <v>0</v>
      </c>
      <c r="N828" s="14">
        <v>0</v>
      </c>
      <c r="O828" s="14">
        <v>24021.360000000001</v>
      </c>
      <c r="P828" s="14">
        <v>353</v>
      </c>
      <c r="Q828" s="14">
        <f t="shared" si="12"/>
        <v>157473.35999999999</v>
      </c>
      <c r="R828" s="14">
        <v>157826.35999999999</v>
      </c>
      <c r="S828" s="14" t="s">
        <v>83</v>
      </c>
      <c r="T828" s="14" t="s">
        <v>63</v>
      </c>
      <c r="U828" s="14" t="s">
        <v>70</v>
      </c>
      <c r="V828" s="14" t="s">
        <v>56</v>
      </c>
      <c r="W828" s="14" t="s">
        <v>57</v>
      </c>
      <c r="X828" s="14">
        <v>1</v>
      </c>
      <c r="Y828" s="14" t="s">
        <v>38</v>
      </c>
      <c r="Z828" s="14">
        <v>2</v>
      </c>
      <c r="AA828" s="14" t="s">
        <v>91</v>
      </c>
    </row>
    <row r="829" spans="1:27" x14ac:dyDescent="0.35">
      <c r="A829" s="14" t="s">
        <v>1456</v>
      </c>
      <c r="B829" s="15">
        <v>45887</v>
      </c>
      <c r="C829" s="14" t="s">
        <v>131</v>
      </c>
      <c r="D829" s="14" t="s">
        <v>42</v>
      </c>
      <c r="E829" s="14" t="s">
        <v>43</v>
      </c>
      <c r="F829" s="14">
        <v>38</v>
      </c>
      <c r="G829" s="14" t="s">
        <v>51</v>
      </c>
      <c r="H829" s="14" t="s">
        <v>52</v>
      </c>
      <c r="I829" s="14" t="s">
        <v>51</v>
      </c>
      <c r="J829" s="14" t="s">
        <v>202</v>
      </c>
      <c r="K829" s="14">
        <v>3</v>
      </c>
      <c r="L829" s="14">
        <v>11118</v>
      </c>
      <c r="M829" s="14">
        <v>15</v>
      </c>
      <c r="N829" s="14">
        <v>5003.1000000000004</v>
      </c>
      <c r="O829" s="14">
        <v>5103.16</v>
      </c>
      <c r="P829" s="14">
        <v>443</v>
      </c>
      <c r="Q829" s="14">
        <f t="shared" si="12"/>
        <v>33454.06</v>
      </c>
      <c r="R829" s="14">
        <v>33897.06</v>
      </c>
      <c r="S829" s="14" t="s">
        <v>83</v>
      </c>
      <c r="T829" s="14" t="s">
        <v>63</v>
      </c>
      <c r="U829" s="14" t="s">
        <v>84</v>
      </c>
      <c r="V829" s="14" t="s">
        <v>85</v>
      </c>
      <c r="W829" s="14" t="s">
        <v>86</v>
      </c>
      <c r="X829" s="14">
        <v>8</v>
      </c>
      <c r="Y829" s="14" t="s">
        <v>38</v>
      </c>
      <c r="Z829" s="14">
        <v>3</v>
      </c>
      <c r="AA829" s="14" t="s">
        <v>91</v>
      </c>
    </row>
    <row r="830" spans="1:27" x14ac:dyDescent="0.35">
      <c r="A830" s="14" t="s">
        <v>1457</v>
      </c>
      <c r="B830" s="15">
        <v>45763</v>
      </c>
      <c r="C830" s="14" t="s">
        <v>1458</v>
      </c>
      <c r="D830" s="14" t="s">
        <v>66</v>
      </c>
      <c r="E830" s="14" t="s">
        <v>43</v>
      </c>
      <c r="F830" s="14">
        <v>59</v>
      </c>
      <c r="G830" s="14" t="s">
        <v>99</v>
      </c>
      <c r="H830" s="14" t="s">
        <v>52</v>
      </c>
      <c r="I830" s="14" t="s">
        <v>99</v>
      </c>
      <c r="J830" s="14" t="s">
        <v>32</v>
      </c>
      <c r="K830" s="14">
        <v>1</v>
      </c>
      <c r="L830" s="14">
        <v>34518</v>
      </c>
      <c r="M830" s="14">
        <v>0</v>
      </c>
      <c r="N830" s="14">
        <v>0</v>
      </c>
      <c r="O830" s="14">
        <v>6213.24</v>
      </c>
      <c r="P830" s="14">
        <v>91</v>
      </c>
      <c r="Q830" s="14">
        <f t="shared" si="12"/>
        <v>40731.24</v>
      </c>
      <c r="R830" s="14">
        <v>40822.239999999998</v>
      </c>
      <c r="S830" s="14" t="s">
        <v>54</v>
      </c>
      <c r="T830" s="14" t="s">
        <v>63</v>
      </c>
      <c r="U830" s="14" t="s">
        <v>76</v>
      </c>
      <c r="V830" s="14" t="s">
        <v>77</v>
      </c>
      <c r="W830" s="14" t="s">
        <v>57</v>
      </c>
      <c r="X830" s="14">
        <v>8</v>
      </c>
      <c r="Y830" s="14" t="s">
        <v>47</v>
      </c>
      <c r="Z830" s="14">
        <v>5</v>
      </c>
      <c r="AA830" s="14" t="s">
        <v>91</v>
      </c>
    </row>
    <row r="831" spans="1:27" x14ac:dyDescent="0.35">
      <c r="A831" s="14" t="s">
        <v>1459</v>
      </c>
      <c r="B831" s="15">
        <v>45942</v>
      </c>
      <c r="C831" s="14" t="s">
        <v>232</v>
      </c>
      <c r="D831" s="14" t="s">
        <v>111</v>
      </c>
      <c r="E831" s="14" t="s">
        <v>29</v>
      </c>
      <c r="F831" s="14">
        <v>56</v>
      </c>
      <c r="G831" s="14" t="s">
        <v>30</v>
      </c>
      <c r="H831" s="14" t="s">
        <v>31</v>
      </c>
      <c r="I831" s="14" t="s">
        <v>30</v>
      </c>
      <c r="J831" s="14" t="s">
        <v>53</v>
      </c>
      <c r="K831" s="14">
        <v>3</v>
      </c>
      <c r="L831" s="14">
        <v>30273</v>
      </c>
      <c r="M831" s="14">
        <v>10</v>
      </c>
      <c r="N831" s="14">
        <v>9081.9</v>
      </c>
      <c r="O831" s="14">
        <v>14712.68</v>
      </c>
      <c r="P831" s="14">
        <v>294</v>
      </c>
      <c r="Q831" s="14">
        <f t="shared" si="12"/>
        <v>96449.78</v>
      </c>
      <c r="R831" s="14">
        <v>96743.78</v>
      </c>
      <c r="S831" s="14" t="s">
        <v>33</v>
      </c>
      <c r="T831" s="14" t="s">
        <v>63</v>
      </c>
      <c r="U831" s="14" t="s">
        <v>46</v>
      </c>
      <c r="V831" s="14" t="s">
        <v>36</v>
      </c>
      <c r="W831" s="14" t="s">
        <v>37</v>
      </c>
      <c r="X831" s="14">
        <v>8</v>
      </c>
      <c r="Y831" s="14" t="s">
        <v>47</v>
      </c>
      <c r="Z831" s="14">
        <v>5</v>
      </c>
      <c r="AA831" s="14" t="s">
        <v>47</v>
      </c>
    </row>
    <row r="832" spans="1:27" x14ac:dyDescent="0.35">
      <c r="A832" s="14" t="s">
        <v>1460</v>
      </c>
      <c r="B832" s="15">
        <v>46049</v>
      </c>
      <c r="C832" s="14" t="s">
        <v>712</v>
      </c>
      <c r="D832" s="14" t="s">
        <v>73</v>
      </c>
      <c r="E832" s="14" t="s">
        <v>29</v>
      </c>
      <c r="F832" s="14">
        <v>42</v>
      </c>
      <c r="G832" s="14" t="s">
        <v>74</v>
      </c>
      <c r="H832" s="14" t="s">
        <v>31</v>
      </c>
      <c r="I832" s="14" t="s">
        <v>74</v>
      </c>
      <c r="J832" s="14" t="s">
        <v>112</v>
      </c>
      <c r="K832" s="14">
        <v>2</v>
      </c>
      <c r="L832" s="14">
        <v>11342</v>
      </c>
      <c r="M832" s="14">
        <v>10</v>
      </c>
      <c r="N832" s="14">
        <v>2268.4</v>
      </c>
      <c r="O832" s="14">
        <v>3674.81</v>
      </c>
      <c r="P832" s="14">
        <v>459</v>
      </c>
      <c r="Q832" s="14">
        <f t="shared" si="12"/>
        <v>24090.41</v>
      </c>
      <c r="R832" s="14">
        <v>24549.41</v>
      </c>
      <c r="S832" s="14" t="s">
        <v>33</v>
      </c>
      <c r="T832" s="14" t="s">
        <v>34</v>
      </c>
      <c r="U832" s="14" t="s">
        <v>95</v>
      </c>
      <c r="V832" s="14" t="s">
        <v>96</v>
      </c>
      <c r="W832" s="14" t="s">
        <v>57</v>
      </c>
      <c r="X832" s="14">
        <v>7</v>
      </c>
      <c r="Y832" s="14" t="s">
        <v>38</v>
      </c>
      <c r="Z832" s="14">
        <v>1</v>
      </c>
      <c r="AA832" s="14" t="s">
        <v>58</v>
      </c>
    </row>
    <row r="833" spans="1:27" x14ac:dyDescent="0.35">
      <c r="A833" s="14" t="s">
        <v>1461</v>
      </c>
      <c r="B833" s="15">
        <v>45892</v>
      </c>
      <c r="C833" s="14" t="s">
        <v>882</v>
      </c>
      <c r="D833" s="14" t="s">
        <v>50</v>
      </c>
      <c r="E833" s="14" t="s">
        <v>43</v>
      </c>
      <c r="F833" s="14">
        <v>58</v>
      </c>
      <c r="G833" s="14" t="s">
        <v>94</v>
      </c>
      <c r="H833" s="14" t="s">
        <v>31</v>
      </c>
      <c r="I833" s="14" t="s">
        <v>94</v>
      </c>
      <c r="J833" s="14" t="s">
        <v>75</v>
      </c>
      <c r="K833" s="14">
        <v>1</v>
      </c>
      <c r="L833" s="14">
        <v>48064</v>
      </c>
      <c r="M833" s="14">
        <v>20</v>
      </c>
      <c r="N833" s="14">
        <v>9612.7999999999993</v>
      </c>
      <c r="O833" s="14">
        <v>6921.22</v>
      </c>
      <c r="P833" s="14">
        <v>115</v>
      </c>
      <c r="Q833" s="14">
        <f t="shared" si="12"/>
        <v>45372.42</v>
      </c>
      <c r="R833" s="14">
        <v>45487.42</v>
      </c>
      <c r="S833" s="14" t="s">
        <v>33</v>
      </c>
      <c r="T833" s="14" t="s">
        <v>34</v>
      </c>
      <c r="U833" s="14" t="s">
        <v>103</v>
      </c>
      <c r="V833" s="14" t="s">
        <v>103</v>
      </c>
      <c r="W833" s="14" t="s">
        <v>57</v>
      </c>
      <c r="X833" s="14">
        <v>1</v>
      </c>
      <c r="Y833" s="14" t="s">
        <v>47</v>
      </c>
      <c r="Z833" s="14">
        <v>3</v>
      </c>
      <c r="AA833" s="14" t="s">
        <v>39</v>
      </c>
    </row>
    <row r="834" spans="1:27" x14ac:dyDescent="0.35">
      <c r="A834" s="14" t="s">
        <v>1462</v>
      </c>
      <c r="B834" s="15">
        <v>46014</v>
      </c>
      <c r="C834" s="14" t="s">
        <v>127</v>
      </c>
      <c r="D834" s="14" t="s">
        <v>89</v>
      </c>
      <c r="E834" s="14" t="s">
        <v>43</v>
      </c>
      <c r="F834" s="14">
        <v>35</v>
      </c>
      <c r="G834" s="14" t="s">
        <v>90</v>
      </c>
      <c r="H834" s="14" t="s">
        <v>31</v>
      </c>
      <c r="I834" s="14" t="s">
        <v>90</v>
      </c>
      <c r="J834" s="14" t="s">
        <v>202</v>
      </c>
      <c r="K834" s="14">
        <v>5</v>
      </c>
      <c r="L834" s="14">
        <v>32836</v>
      </c>
      <c r="M834" s="14">
        <v>15</v>
      </c>
      <c r="N834" s="14">
        <v>24627</v>
      </c>
      <c r="O834" s="14">
        <v>25119.54</v>
      </c>
      <c r="P834" s="14">
        <v>464</v>
      </c>
      <c r="Q834" s="14">
        <f t="shared" si="12"/>
        <v>164672.54</v>
      </c>
      <c r="R834" s="14">
        <v>165136.54</v>
      </c>
      <c r="S834" s="14" t="s">
        <v>33</v>
      </c>
      <c r="T834" s="14" t="s">
        <v>63</v>
      </c>
      <c r="U834" s="14" t="s">
        <v>35</v>
      </c>
      <c r="V834" s="14" t="s">
        <v>36</v>
      </c>
      <c r="W834" s="14" t="s">
        <v>37</v>
      </c>
      <c r="X834" s="14">
        <v>3</v>
      </c>
      <c r="Y834" s="14" t="s">
        <v>38</v>
      </c>
      <c r="Z834" s="14">
        <v>2</v>
      </c>
      <c r="AA834" s="14" t="s">
        <v>47</v>
      </c>
    </row>
    <row r="835" spans="1:27" x14ac:dyDescent="0.35">
      <c r="A835" s="14" t="s">
        <v>1463</v>
      </c>
      <c r="B835" s="15">
        <v>46094</v>
      </c>
      <c r="C835" s="14" t="s">
        <v>524</v>
      </c>
      <c r="D835" s="14" t="s">
        <v>73</v>
      </c>
      <c r="E835" s="14" t="s">
        <v>43</v>
      </c>
      <c r="F835" s="14">
        <v>40</v>
      </c>
      <c r="G835" s="14" t="s">
        <v>44</v>
      </c>
      <c r="H835" s="14" t="s">
        <v>31</v>
      </c>
      <c r="I835" s="14" t="s">
        <v>44</v>
      </c>
      <c r="J835" s="14" t="s">
        <v>53</v>
      </c>
      <c r="K835" s="14">
        <v>5</v>
      </c>
      <c r="L835" s="14">
        <v>43163</v>
      </c>
      <c r="M835" s="14">
        <v>10</v>
      </c>
      <c r="N835" s="14">
        <v>21581.5</v>
      </c>
      <c r="O835" s="14">
        <v>34962.03</v>
      </c>
      <c r="P835" s="14">
        <v>202</v>
      </c>
      <c r="Q835" s="14">
        <f t="shared" ref="Q835:Q898" si="13">R835-P835</f>
        <v>229195.53</v>
      </c>
      <c r="R835" s="14">
        <v>229397.53</v>
      </c>
      <c r="S835" s="14" t="s">
        <v>54</v>
      </c>
      <c r="T835" s="14" t="s">
        <v>63</v>
      </c>
      <c r="U835" s="14" t="s">
        <v>46</v>
      </c>
      <c r="V835" s="14" t="s">
        <v>36</v>
      </c>
      <c r="W835" s="14" t="s">
        <v>37</v>
      </c>
      <c r="X835" s="14">
        <v>1</v>
      </c>
      <c r="Y835" s="14" t="s">
        <v>38</v>
      </c>
      <c r="Z835" s="14">
        <v>5</v>
      </c>
      <c r="AA835" s="14" t="s">
        <v>91</v>
      </c>
    </row>
    <row r="836" spans="1:27" x14ac:dyDescent="0.35">
      <c r="A836" s="14" t="s">
        <v>1464</v>
      </c>
      <c r="B836" s="15">
        <v>45792</v>
      </c>
      <c r="C836" s="14" t="s">
        <v>1465</v>
      </c>
      <c r="D836" s="14" t="s">
        <v>108</v>
      </c>
      <c r="E836" s="14" t="s">
        <v>29</v>
      </c>
      <c r="F836" s="14">
        <v>29</v>
      </c>
      <c r="G836" s="14" t="s">
        <v>94</v>
      </c>
      <c r="H836" s="14" t="s">
        <v>31</v>
      </c>
      <c r="I836" s="14" t="s">
        <v>94</v>
      </c>
      <c r="J836" s="14" t="s">
        <v>75</v>
      </c>
      <c r="K836" s="14">
        <v>1</v>
      </c>
      <c r="L836" s="14">
        <v>31573</v>
      </c>
      <c r="M836" s="14">
        <v>10</v>
      </c>
      <c r="N836" s="14">
        <v>3157.3</v>
      </c>
      <c r="O836" s="14">
        <v>5114.83</v>
      </c>
      <c r="P836" s="14">
        <v>152</v>
      </c>
      <c r="Q836" s="14">
        <f t="shared" si="13"/>
        <v>33530.53</v>
      </c>
      <c r="R836" s="14">
        <v>33682.53</v>
      </c>
      <c r="S836" s="14" t="s">
        <v>54</v>
      </c>
      <c r="T836" s="14" t="s">
        <v>34</v>
      </c>
      <c r="U836" s="14" t="s">
        <v>55</v>
      </c>
      <c r="V836" s="14" t="s">
        <v>56</v>
      </c>
      <c r="W836" s="14" t="s">
        <v>57</v>
      </c>
      <c r="X836" s="14">
        <v>4</v>
      </c>
      <c r="Y836" s="14" t="s">
        <v>47</v>
      </c>
      <c r="Z836" s="14">
        <v>1</v>
      </c>
      <c r="AA836" s="14" t="s">
        <v>39</v>
      </c>
    </row>
    <row r="837" spans="1:27" x14ac:dyDescent="0.35">
      <c r="A837" s="14" t="s">
        <v>1466</v>
      </c>
      <c r="B837" s="15">
        <v>45956</v>
      </c>
      <c r="C837" s="14" t="s">
        <v>1467</v>
      </c>
      <c r="D837" s="14" t="s">
        <v>89</v>
      </c>
      <c r="E837" s="14" t="s">
        <v>43</v>
      </c>
      <c r="F837" s="14">
        <v>29</v>
      </c>
      <c r="G837" s="14" t="s">
        <v>67</v>
      </c>
      <c r="H837" s="14" t="s">
        <v>68</v>
      </c>
      <c r="I837" s="14" t="s">
        <v>67</v>
      </c>
      <c r="J837" s="14" t="s">
        <v>150</v>
      </c>
      <c r="K837" s="14">
        <v>1</v>
      </c>
      <c r="L837" s="14">
        <v>48245</v>
      </c>
      <c r="M837" s="14">
        <v>20</v>
      </c>
      <c r="N837" s="14">
        <v>9649</v>
      </c>
      <c r="O837" s="14">
        <v>6947.28</v>
      </c>
      <c r="P837" s="14">
        <v>5</v>
      </c>
      <c r="Q837" s="14">
        <f t="shared" si="13"/>
        <v>45543.28</v>
      </c>
      <c r="R837" s="14">
        <v>45548.28</v>
      </c>
      <c r="S837" s="14" t="s">
        <v>45</v>
      </c>
      <c r="T837" s="14" t="s">
        <v>34</v>
      </c>
      <c r="U837" s="14" t="s">
        <v>70</v>
      </c>
      <c r="V837" s="14" t="s">
        <v>56</v>
      </c>
      <c r="W837" s="14" t="s">
        <v>57</v>
      </c>
      <c r="X837" s="14">
        <v>6</v>
      </c>
      <c r="Y837" s="14" t="s">
        <v>38</v>
      </c>
      <c r="Z837" s="14">
        <v>3</v>
      </c>
      <c r="AA837" s="14" t="s">
        <v>91</v>
      </c>
    </row>
    <row r="838" spans="1:27" x14ac:dyDescent="0.35">
      <c r="A838" s="14" t="s">
        <v>1468</v>
      </c>
      <c r="B838" s="15">
        <v>45968</v>
      </c>
      <c r="C838" s="14" t="s">
        <v>935</v>
      </c>
      <c r="D838" s="14" t="s">
        <v>66</v>
      </c>
      <c r="E838" s="14" t="s">
        <v>43</v>
      </c>
      <c r="F838" s="14">
        <v>27</v>
      </c>
      <c r="G838" s="14" t="s">
        <v>134</v>
      </c>
      <c r="H838" s="14" t="s">
        <v>31</v>
      </c>
      <c r="I838" s="14" t="s">
        <v>134</v>
      </c>
      <c r="J838" s="14" t="s">
        <v>69</v>
      </c>
      <c r="K838" s="14">
        <v>4</v>
      </c>
      <c r="L838" s="14">
        <v>47145</v>
      </c>
      <c r="M838" s="14">
        <v>20</v>
      </c>
      <c r="N838" s="14">
        <v>37716</v>
      </c>
      <c r="O838" s="14">
        <v>27155.52</v>
      </c>
      <c r="P838" s="14">
        <v>457</v>
      </c>
      <c r="Q838" s="14">
        <f t="shared" si="13"/>
        <v>178019.52</v>
      </c>
      <c r="R838" s="14">
        <v>178476.52</v>
      </c>
      <c r="S838" s="14" t="s">
        <v>54</v>
      </c>
      <c r="T838" s="14" t="s">
        <v>63</v>
      </c>
      <c r="U838" s="14" t="s">
        <v>103</v>
      </c>
      <c r="V838" s="14" t="s">
        <v>103</v>
      </c>
      <c r="W838" s="14" t="s">
        <v>57</v>
      </c>
      <c r="X838" s="14">
        <v>1</v>
      </c>
      <c r="Y838" s="14" t="s">
        <v>47</v>
      </c>
      <c r="Z838" s="14">
        <v>5</v>
      </c>
      <c r="AA838" s="14" t="s">
        <v>47</v>
      </c>
    </row>
    <row r="839" spans="1:27" x14ac:dyDescent="0.35">
      <c r="A839" s="14" t="s">
        <v>1469</v>
      </c>
      <c r="B839" s="15">
        <v>45982</v>
      </c>
      <c r="C839" s="14" t="s">
        <v>624</v>
      </c>
      <c r="D839" s="14" t="s">
        <v>66</v>
      </c>
      <c r="E839" s="14" t="s">
        <v>43</v>
      </c>
      <c r="F839" s="14">
        <v>56</v>
      </c>
      <c r="G839" s="14" t="s">
        <v>51</v>
      </c>
      <c r="H839" s="14" t="s">
        <v>52</v>
      </c>
      <c r="I839" s="14" t="s">
        <v>51</v>
      </c>
      <c r="J839" s="14" t="s">
        <v>125</v>
      </c>
      <c r="K839" s="14">
        <v>5</v>
      </c>
      <c r="L839" s="14">
        <v>25380</v>
      </c>
      <c r="M839" s="14">
        <v>0</v>
      </c>
      <c r="N839" s="14">
        <v>0</v>
      </c>
      <c r="O839" s="14">
        <v>22842</v>
      </c>
      <c r="P839" s="14">
        <v>309</v>
      </c>
      <c r="Q839" s="14">
        <f t="shared" si="13"/>
        <v>149742</v>
      </c>
      <c r="R839" s="14">
        <v>150051</v>
      </c>
      <c r="S839" s="14" t="s">
        <v>45</v>
      </c>
      <c r="T839" s="14" t="s">
        <v>34</v>
      </c>
      <c r="U839" s="14" t="s">
        <v>46</v>
      </c>
      <c r="V839" s="14" t="s">
        <v>36</v>
      </c>
      <c r="W839" s="14" t="s">
        <v>37</v>
      </c>
      <c r="X839" s="14">
        <v>1</v>
      </c>
      <c r="Y839" s="14" t="s">
        <v>47</v>
      </c>
      <c r="Z839" s="14">
        <v>2</v>
      </c>
      <c r="AA839" s="14" t="s">
        <v>58</v>
      </c>
    </row>
    <row r="840" spans="1:27" x14ac:dyDescent="0.35">
      <c r="A840" s="14" t="s">
        <v>1470</v>
      </c>
      <c r="B840" s="15">
        <v>45911</v>
      </c>
      <c r="C840" s="14" t="s">
        <v>966</v>
      </c>
      <c r="D840" s="14" t="s">
        <v>28</v>
      </c>
      <c r="E840" s="14" t="s">
        <v>29</v>
      </c>
      <c r="F840" s="14">
        <v>22</v>
      </c>
      <c r="G840" s="14" t="s">
        <v>134</v>
      </c>
      <c r="H840" s="14" t="s">
        <v>31</v>
      </c>
      <c r="I840" s="14" t="s">
        <v>134</v>
      </c>
      <c r="J840" s="14" t="s">
        <v>32</v>
      </c>
      <c r="K840" s="14">
        <v>1</v>
      </c>
      <c r="L840" s="14">
        <v>40566</v>
      </c>
      <c r="M840" s="14">
        <v>10</v>
      </c>
      <c r="N840" s="14">
        <v>4056.6</v>
      </c>
      <c r="O840" s="14">
        <v>6571.69</v>
      </c>
      <c r="P840" s="14">
        <v>112</v>
      </c>
      <c r="Q840" s="14">
        <f t="shared" si="13"/>
        <v>43081.09</v>
      </c>
      <c r="R840" s="14">
        <v>43193.09</v>
      </c>
      <c r="S840" s="14" t="s">
        <v>45</v>
      </c>
      <c r="T840" s="14" t="s">
        <v>63</v>
      </c>
      <c r="U840" s="14" t="s">
        <v>55</v>
      </c>
      <c r="V840" s="14" t="s">
        <v>56</v>
      </c>
      <c r="W840" s="14" t="s">
        <v>57</v>
      </c>
      <c r="X840" s="14">
        <v>8</v>
      </c>
      <c r="Y840" s="14" t="s">
        <v>47</v>
      </c>
      <c r="Z840" s="14">
        <v>2</v>
      </c>
      <c r="AA840" s="14" t="s">
        <v>47</v>
      </c>
    </row>
    <row r="841" spans="1:27" x14ac:dyDescent="0.35">
      <c r="A841" s="14" t="s">
        <v>1471</v>
      </c>
      <c r="B841" s="15">
        <v>45969</v>
      </c>
      <c r="C841" s="14" t="s">
        <v>415</v>
      </c>
      <c r="D841" s="14" t="s">
        <v>66</v>
      </c>
      <c r="E841" s="14" t="s">
        <v>43</v>
      </c>
      <c r="F841" s="14">
        <v>37</v>
      </c>
      <c r="G841" s="14" t="s">
        <v>30</v>
      </c>
      <c r="H841" s="14" t="s">
        <v>31</v>
      </c>
      <c r="I841" s="14" t="s">
        <v>30</v>
      </c>
      <c r="J841" s="14" t="s">
        <v>202</v>
      </c>
      <c r="K841" s="14">
        <v>1</v>
      </c>
      <c r="L841" s="14">
        <v>6815</v>
      </c>
      <c r="M841" s="14">
        <v>20</v>
      </c>
      <c r="N841" s="14">
        <v>1363</v>
      </c>
      <c r="O841" s="14">
        <v>981.36</v>
      </c>
      <c r="P841" s="14">
        <v>338</v>
      </c>
      <c r="Q841" s="14">
        <f t="shared" si="13"/>
        <v>6433.36</v>
      </c>
      <c r="R841" s="14">
        <v>6771.36</v>
      </c>
      <c r="S841" s="14" t="s">
        <v>33</v>
      </c>
      <c r="T841" s="14" t="s">
        <v>34</v>
      </c>
      <c r="U841" s="14" t="s">
        <v>95</v>
      </c>
      <c r="V841" s="14" t="s">
        <v>96</v>
      </c>
      <c r="W841" s="14" t="s">
        <v>57</v>
      </c>
      <c r="X841" s="14">
        <v>8</v>
      </c>
      <c r="Y841" s="14" t="s">
        <v>47</v>
      </c>
      <c r="Z841" s="14">
        <v>5</v>
      </c>
      <c r="AA841" s="14" t="s">
        <v>47</v>
      </c>
    </row>
    <row r="842" spans="1:27" x14ac:dyDescent="0.35">
      <c r="A842" s="14" t="s">
        <v>1472</v>
      </c>
      <c r="B842" s="15">
        <v>45931</v>
      </c>
      <c r="C842" s="14" t="s">
        <v>1473</v>
      </c>
      <c r="D842" s="14" t="s">
        <v>28</v>
      </c>
      <c r="E842" s="14" t="s">
        <v>29</v>
      </c>
      <c r="F842" s="14">
        <v>51</v>
      </c>
      <c r="G842" s="14" t="s">
        <v>30</v>
      </c>
      <c r="H842" s="14" t="s">
        <v>31</v>
      </c>
      <c r="I842" s="14" t="s">
        <v>30</v>
      </c>
      <c r="J842" s="14" t="s">
        <v>69</v>
      </c>
      <c r="K842" s="14">
        <v>3</v>
      </c>
      <c r="L842" s="14">
        <v>49678</v>
      </c>
      <c r="M842" s="14">
        <v>15</v>
      </c>
      <c r="N842" s="14">
        <v>22355.1</v>
      </c>
      <c r="O842" s="14">
        <v>22802.2</v>
      </c>
      <c r="P842" s="14">
        <v>277</v>
      </c>
      <c r="Q842" s="14">
        <f t="shared" si="13"/>
        <v>149481.1</v>
      </c>
      <c r="R842" s="14">
        <v>149758.1</v>
      </c>
      <c r="S842" s="14" t="s">
        <v>45</v>
      </c>
      <c r="T842" s="14" t="s">
        <v>34</v>
      </c>
      <c r="U842" s="14" t="s">
        <v>55</v>
      </c>
      <c r="V842" s="14" t="s">
        <v>56</v>
      </c>
      <c r="W842" s="14" t="s">
        <v>57</v>
      </c>
      <c r="X842" s="14">
        <v>8</v>
      </c>
      <c r="Y842" s="14" t="s">
        <v>38</v>
      </c>
      <c r="Z842" s="14">
        <v>5</v>
      </c>
      <c r="AA842" s="14" t="s">
        <v>47</v>
      </c>
    </row>
    <row r="843" spans="1:27" x14ac:dyDescent="0.35">
      <c r="A843" s="14" t="s">
        <v>1474</v>
      </c>
      <c r="B843" s="15">
        <v>45940</v>
      </c>
      <c r="C843" s="14" t="s">
        <v>1475</v>
      </c>
      <c r="D843" s="14" t="s">
        <v>108</v>
      </c>
      <c r="E843" s="14" t="s">
        <v>43</v>
      </c>
      <c r="F843" s="14">
        <v>46</v>
      </c>
      <c r="G843" s="14" t="s">
        <v>139</v>
      </c>
      <c r="H843" s="14" t="s">
        <v>31</v>
      </c>
      <c r="I843" s="14" t="s">
        <v>139</v>
      </c>
      <c r="J843" s="14" t="s">
        <v>62</v>
      </c>
      <c r="K843" s="14">
        <v>4</v>
      </c>
      <c r="L843" s="14">
        <v>21247</v>
      </c>
      <c r="M843" s="14">
        <v>5</v>
      </c>
      <c r="N843" s="14">
        <v>4249.3999999999996</v>
      </c>
      <c r="O843" s="14">
        <v>14532.95</v>
      </c>
      <c r="P843" s="14">
        <v>439</v>
      </c>
      <c r="Q843" s="14">
        <f t="shared" si="13"/>
        <v>95271.55</v>
      </c>
      <c r="R843" s="14">
        <v>95710.55</v>
      </c>
      <c r="S843" s="14" t="s">
        <v>83</v>
      </c>
      <c r="T843" s="14" t="s">
        <v>63</v>
      </c>
      <c r="U843" s="14" t="s">
        <v>70</v>
      </c>
      <c r="V843" s="14" t="s">
        <v>56</v>
      </c>
      <c r="W843" s="14" t="s">
        <v>57</v>
      </c>
      <c r="X843" s="14">
        <v>5</v>
      </c>
      <c r="Y843" s="14" t="s">
        <v>38</v>
      </c>
      <c r="Z843" s="14">
        <v>2</v>
      </c>
      <c r="AA843" s="14" t="s">
        <v>47</v>
      </c>
    </row>
    <row r="844" spans="1:27" x14ac:dyDescent="0.35">
      <c r="A844" s="14" t="s">
        <v>1476</v>
      </c>
      <c r="B844" s="15">
        <v>45897</v>
      </c>
      <c r="C844" s="14" t="s">
        <v>1367</v>
      </c>
      <c r="D844" s="14" t="s">
        <v>111</v>
      </c>
      <c r="E844" s="14" t="s">
        <v>43</v>
      </c>
      <c r="F844" s="14">
        <v>31</v>
      </c>
      <c r="G844" s="14" t="s">
        <v>51</v>
      </c>
      <c r="H844" s="14" t="s">
        <v>52</v>
      </c>
      <c r="I844" s="14" t="s">
        <v>51</v>
      </c>
      <c r="J844" s="14" t="s">
        <v>112</v>
      </c>
      <c r="K844" s="14">
        <v>2</v>
      </c>
      <c r="L844" s="14">
        <v>10921</v>
      </c>
      <c r="M844" s="14">
        <v>5</v>
      </c>
      <c r="N844" s="14">
        <v>1092.0999999999999</v>
      </c>
      <c r="O844" s="14">
        <v>3734.98</v>
      </c>
      <c r="P844" s="14">
        <v>395</v>
      </c>
      <c r="Q844" s="14">
        <f t="shared" si="13"/>
        <v>24484.880000000001</v>
      </c>
      <c r="R844" s="14">
        <v>24879.88</v>
      </c>
      <c r="S844" s="14" t="s">
        <v>83</v>
      </c>
      <c r="T844" s="14" t="s">
        <v>34</v>
      </c>
      <c r="U844" s="14" t="s">
        <v>70</v>
      </c>
      <c r="V844" s="14" t="s">
        <v>56</v>
      </c>
      <c r="W844" s="14" t="s">
        <v>57</v>
      </c>
      <c r="X844" s="14">
        <v>6</v>
      </c>
      <c r="Y844" s="14" t="s">
        <v>38</v>
      </c>
      <c r="Z844" s="14">
        <v>2</v>
      </c>
      <c r="AA844" s="14" t="s">
        <v>58</v>
      </c>
    </row>
    <row r="845" spans="1:27" x14ac:dyDescent="0.35">
      <c r="A845" s="14" t="s">
        <v>1477</v>
      </c>
      <c r="B845" s="15">
        <v>45879</v>
      </c>
      <c r="C845" s="14" t="s">
        <v>990</v>
      </c>
      <c r="D845" s="14" t="s">
        <v>50</v>
      </c>
      <c r="E845" s="14" t="s">
        <v>43</v>
      </c>
      <c r="F845" s="14">
        <v>20</v>
      </c>
      <c r="G845" s="14" t="s">
        <v>67</v>
      </c>
      <c r="H845" s="14" t="s">
        <v>68</v>
      </c>
      <c r="I845" s="14" t="s">
        <v>67</v>
      </c>
      <c r="J845" s="14" t="s">
        <v>32</v>
      </c>
      <c r="K845" s="14">
        <v>2</v>
      </c>
      <c r="L845" s="14">
        <v>41264</v>
      </c>
      <c r="M845" s="14">
        <v>5</v>
      </c>
      <c r="N845" s="14">
        <v>4126.3999999999996</v>
      </c>
      <c r="O845" s="14">
        <v>14112.29</v>
      </c>
      <c r="P845" s="14">
        <v>7</v>
      </c>
      <c r="Q845" s="14">
        <f t="shared" si="13"/>
        <v>92513.89</v>
      </c>
      <c r="R845" s="14">
        <v>92520.89</v>
      </c>
      <c r="S845" s="14" t="s">
        <v>54</v>
      </c>
      <c r="T845" s="14" t="s">
        <v>34</v>
      </c>
      <c r="U845" s="14" t="s">
        <v>103</v>
      </c>
      <c r="V845" s="14" t="s">
        <v>103</v>
      </c>
      <c r="W845" s="14" t="s">
        <v>57</v>
      </c>
      <c r="X845" s="14">
        <v>6</v>
      </c>
      <c r="Y845" s="14" t="s">
        <v>47</v>
      </c>
      <c r="Z845" s="14">
        <v>5</v>
      </c>
      <c r="AA845" s="14" t="s">
        <v>91</v>
      </c>
    </row>
    <row r="846" spans="1:27" x14ac:dyDescent="0.35">
      <c r="A846" s="14" t="s">
        <v>1478</v>
      </c>
      <c r="B846" s="15">
        <v>46006</v>
      </c>
      <c r="C846" s="14" t="s">
        <v>1479</v>
      </c>
      <c r="D846" s="14" t="s">
        <v>108</v>
      </c>
      <c r="E846" s="14" t="s">
        <v>43</v>
      </c>
      <c r="F846" s="14">
        <v>37</v>
      </c>
      <c r="G846" s="14" t="s">
        <v>139</v>
      </c>
      <c r="H846" s="14" t="s">
        <v>31</v>
      </c>
      <c r="I846" s="14" t="s">
        <v>139</v>
      </c>
      <c r="J846" s="14" t="s">
        <v>112</v>
      </c>
      <c r="K846" s="14">
        <v>5</v>
      </c>
      <c r="L846" s="14">
        <v>15722</v>
      </c>
      <c r="M846" s="14">
        <v>20</v>
      </c>
      <c r="N846" s="14">
        <v>15722</v>
      </c>
      <c r="O846" s="14">
        <v>11319.84</v>
      </c>
      <c r="P846" s="14">
        <v>333</v>
      </c>
      <c r="Q846" s="14">
        <f t="shared" si="13"/>
        <v>74207.839999999997</v>
      </c>
      <c r="R846" s="14">
        <v>74540.84</v>
      </c>
      <c r="S846" s="14" t="s">
        <v>83</v>
      </c>
      <c r="T846" s="14" t="s">
        <v>34</v>
      </c>
      <c r="U846" s="14" t="s">
        <v>84</v>
      </c>
      <c r="V846" s="14" t="s">
        <v>85</v>
      </c>
      <c r="W846" s="14" t="s">
        <v>86</v>
      </c>
      <c r="X846" s="14">
        <v>7</v>
      </c>
      <c r="Y846" s="14" t="s">
        <v>38</v>
      </c>
      <c r="Z846" s="14">
        <v>3</v>
      </c>
      <c r="AA846" s="14" t="s">
        <v>39</v>
      </c>
    </row>
    <row r="847" spans="1:27" x14ac:dyDescent="0.35">
      <c r="A847" s="14" t="s">
        <v>1480</v>
      </c>
      <c r="B847" s="15">
        <v>45819</v>
      </c>
      <c r="C847" s="14" t="s">
        <v>1481</v>
      </c>
      <c r="D847" s="14" t="s">
        <v>73</v>
      </c>
      <c r="E847" s="14" t="s">
        <v>29</v>
      </c>
      <c r="F847" s="14">
        <v>26</v>
      </c>
      <c r="G847" s="14" t="s">
        <v>30</v>
      </c>
      <c r="H847" s="14" t="s">
        <v>31</v>
      </c>
      <c r="I847" s="14" t="s">
        <v>30</v>
      </c>
      <c r="J847" s="14" t="s">
        <v>202</v>
      </c>
      <c r="K847" s="14">
        <v>4</v>
      </c>
      <c r="L847" s="14">
        <v>48345</v>
      </c>
      <c r="M847" s="14">
        <v>5</v>
      </c>
      <c r="N847" s="14">
        <v>9669</v>
      </c>
      <c r="O847" s="14">
        <v>33067.980000000003</v>
      </c>
      <c r="P847" s="14">
        <v>107</v>
      </c>
      <c r="Q847" s="14">
        <f t="shared" si="13"/>
        <v>216778.98</v>
      </c>
      <c r="R847" s="14">
        <v>216885.98</v>
      </c>
      <c r="S847" s="14" t="s">
        <v>45</v>
      </c>
      <c r="T847" s="14" t="s">
        <v>63</v>
      </c>
      <c r="U847" s="14" t="s">
        <v>35</v>
      </c>
      <c r="V847" s="14" t="s">
        <v>36</v>
      </c>
      <c r="W847" s="14" t="s">
        <v>37</v>
      </c>
      <c r="X847" s="14">
        <v>9</v>
      </c>
      <c r="Y847" s="14" t="s">
        <v>38</v>
      </c>
      <c r="Z847" s="14">
        <v>3</v>
      </c>
      <c r="AA847" s="14" t="s">
        <v>47</v>
      </c>
    </row>
    <row r="848" spans="1:27" x14ac:dyDescent="0.35">
      <c r="A848" s="14" t="s">
        <v>1482</v>
      </c>
      <c r="B848" s="15">
        <v>45891</v>
      </c>
      <c r="C848" s="14" t="s">
        <v>468</v>
      </c>
      <c r="D848" s="14" t="s">
        <v>80</v>
      </c>
      <c r="E848" s="14" t="s">
        <v>43</v>
      </c>
      <c r="F848" s="14">
        <v>59</v>
      </c>
      <c r="G848" s="14" t="s">
        <v>74</v>
      </c>
      <c r="H848" s="14" t="s">
        <v>31</v>
      </c>
      <c r="I848" s="14" t="s">
        <v>74</v>
      </c>
      <c r="J848" s="14" t="s">
        <v>202</v>
      </c>
      <c r="K848" s="14">
        <v>2</v>
      </c>
      <c r="L848" s="14">
        <v>32961</v>
      </c>
      <c r="M848" s="14">
        <v>0</v>
      </c>
      <c r="N848" s="14">
        <v>0</v>
      </c>
      <c r="O848" s="14">
        <v>11865.96</v>
      </c>
      <c r="P848" s="14">
        <v>103</v>
      </c>
      <c r="Q848" s="14">
        <f t="shared" si="13"/>
        <v>77787.960000000006</v>
      </c>
      <c r="R848" s="14">
        <v>77890.960000000006</v>
      </c>
      <c r="S848" s="14" t="s">
        <v>83</v>
      </c>
      <c r="T848" s="14" t="s">
        <v>34</v>
      </c>
      <c r="U848" s="14" t="s">
        <v>103</v>
      </c>
      <c r="V848" s="14" t="s">
        <v>103</v>
      </c>
      <c r="W848" s="14" t="s">
        <v>57</v>
      </c>
      <c r="X848" s="14">
        <v>8</v>
      </c>
      <c r="Y848" s="14" t="s">
        <v>38</v>
      </c>
      <c r="Z848" s="14">
        <v>1</v>
      </c>
      <c r="AA848" s="14" t="s">
        <v>47</v>
      </c>
    </row>
    <row r="849" spans="1:27" x14ac:dyDescent="0.35">
      <c r="A849" s="14" t="s">
        <v>1483</v>
      </c>
      <c r="B849" s="15">
        <v>45965</v>
      </c>
      <c r="C849" s="14" t="s">
        <v>1484</v>
      </c>
      <c r="D849" s="14" t="s">
        <v>50</v>
      </c>
      <c r="E849" s="14" t="s">
        <v>43</v>
      </c>
      <c r="F849" s="14">
        <v>36</v>
      </c>
      <c r="G849" s="14" t="s">
        <v>99</v>
      </c>
      <c r="H849" s="14" t="s">
        <v>52</v>
      </c>
      <c r="I849" s="14" t="s">
        <v>99</v>
      </c>
      <c r="J849" s="14" t="s">
        <v>32</v>
      </c>
      <c r="K849" s="14">
        <v>3</v>
      </c>
      <c r="L849" s="14">
        <v>20711</v>
      </c>
      <c r="M849" s="14">
        <v>20</v>
      </c>
      <c r="N849" s="14">
        <v>12426.6</v>
      </c>
      <c r="O849" s="14">
        <v>8947.15</v>
      </c>
      <c r="P849" s="14">
        <v>216</v>
      </c>
      <c r="Q849" s="14">
        <f t="shared" si="13"/>
        <v>58653.55</v>
      </c>
      <c r="R849" s="14">
        <v>58869.55</v>
      </c>
      <c r="S849" s="14" t="s">
        <v>33</v>
      </c>
      <c r="T849" s="14" t="s">
        <v>63</v>
      </c>
      <c r="U849" s="14" t="s">
        <v>35</v>
      </c>
      <c r="V849" s="14" t="s">
        <v>36</v>
      </c>
      <c r="W849" s="14" t="s">
        <v>37</v>
      </c>
      <c r="X849" s="14">
        <v>5</v>
      </c>
      <c r="Y849" s="14" t="s">
        <v>47</v>
      </c>
      <c r="Z849" s="14">
        <v>5</v>
      </c>
      <c r="AA849" s="14" t="s">
        <v>91</v>
      </c>
    </row>
    <row r="850" spans="1:27" x14ac:dyDescent="0.35">
      <c r="A850" s="14" t="s">
        <v>1485</v>
      </c>
      <c r="B850" s="15">
        <v>45965</v>
      </c>
      <c r="C850" s="14" t="s">
        <v>1486</v>
      </c>
      <c r="D850" s="14" t="s">
        <v>61</v>
      </c>
      <c r="E850" s="14" t="s">
        <v>29</v>
      </c>
      <c r="F850" s="14">
        <v>49</v>
      </c>
      <c r="G850" s="14" t="s">
        <v>134</v>
      </c>
      <c r="H850" s="14" t="s">
        <v>31</v>
      </c>
      <c r="I850" s="14" t="s">
        <v>134</v>
      </c>
      <c r="J850" s="14" t="s">
        <v>62</v>
      </c>
      <c r="K850" s="14">
        <v>5</v>
      </c>
      <c r="L850" s="14">
        <v>19707</v>
      </c>
      <c r="M850" s="14">
        <v>10</v>
      </c>
      <c r="N850" s="14">
        <v>9853.5</v>
      </c>
      <c r="O850" s="14">
        <v>15962.67</v>
      </c>
      <c r="P850" s="14">
        <v>346</v>
      </c>
      <c r="Q850" s="14">
        <f t="shared" si="13"/>
        <v>104644.17</v>
      </c>
      <c r="R850" s="14">
        <v>104990.17</v>
      </c>
      <c r="S850" s="14" t="s">
        <v>83</v>
      </c>
      <c r="T850" s="14" t="s">
        <v>63</v>
      </c>
      <c r="U850" s="14" t="s">
        <v>76</v>
      </c>
      <c r="V850" s="14" t="s">
        <v>77</v>
      </c>
      <c r="W850" s="14" t="s">
        <v>57</v>
      </c>
      <c r="X850" s="14">
        <v>4</v>
      </c>
      <c r="Y850" s="14" t="s">
        <v>47</v>
      </c>
      <c r="Z850" s="14">
        <v>1</v>
      </c>
      <c r="AA850" s="14" t="s">
        <v>47</v>
      </c>
    </row>
    <row r="851" spans="1:27" x14ac:dyDescent="0.35">
      <c r="A851" s="14" t="s">
        <v>1487</v>
      </c>
      <c r="B851" s="15">
        <v>46029</v>
      </c>
      <c r="C851" s="14" t="s">
        <v>322</v>
      </c>
      <c r="D851" s="14" t="s">
        <v>73</v>
      </c>
      <c r="E851" s="14" t="s">
        <v>43</v>
      </c>
      <c r="F851" s="14">
        <v>45</v>
      </c>
      <c r="G851" s="14" t="s">
        <v>67</v>
      </c>
      <c r="H851" s="14" t="s">
        <v>68</v>
      </c>
      <c r="I851" s="14" t="s">
        <v>67</v>
      </c>
      <c r="J851" s="14" t="s">
        <v>202</v>
      </c>
      <c r="K851" s="14">
        <v>1</v>
      </c>
      <c r="L851" s="14">
        <v>37289</v>
      </c>
      <c r="M851" s="14">
        <v>20</v>
      </c>
      <c r="N851" s="14">
        <v>7457.8</v>
      </c>
      <c r="O851" s="14">
        <v>5369.62</v>
      </c>
      <c r="P851" s="14">
        <v>297</v>
      </c>
      <c r="Q851" s="14">
        <f t="shared" si="13"/>
        <v>35200.82</v>
      </c>
      <c r="R851" s="14">
        <v>35497.82</v>
      </c>
      <c r="S851" s="14" t="s">
        <v>45</v>
      </c>
      <c r="T851" s="14" t="s">
        <v>63</v>
      </c>
      <c r="U851" s="14" t="s">
        <v>84</v>
      </c>
      <c r="V851" s="14" t="s">
        <v>85</v>
      </c>
      <c r="W851" s="14" t="s">
        <v>86</v>
      </c>
      <c r="X851" s="14">
        <v>6</v>
      </c>
      <c r="Y851" s="14" t="s">
        <v>38</v>
      </c>
      <c r="Z851" s="14">
        <v>2</v>
      </c>
      <c r="AA851" s="14" t="s">
        <v>39</v>
      </c>
    </row>
    <row r="852" spans="1:27" x14ac:dyDescent="0.35">
      <c r="A852" s="14" t="s">
        <v>1488</v>
      </c>
      <c r="B852" s="15">
        <v>46066</v>
      </c>
      <c r="C852" s="14" t="s">
        <v>761</v>
      </c>
      <c r="D852" s="14" t="s">
        <v>28</v>
      </c>
      <c r="E852" s="14" t="s">
        <v>29</v>
      </c>
      <c r="F852" s="14">
        <v>53</v>
      </c>
      <c r="G852" s="14" t="s">
        <v>67</v>
      </c>
      <c r="H852" s="14" t="s">
        <v>68</v>
      </c>
      <c r="I852" s="14" t="s">
        <v>67</v>
      </c>
      <c r="J852" s="14" t="s">
        <v>202</v>
      </c>
      <c r="K852" s="14">
        <v>5</v>
      </c>
      <c r="L852" s="14">
        <v>35009</v>
      </c>
      <c r="M852" s="14">
        <v>0</v>
      </c>
      <c r="N852" s="14">
        <v>0</v>
      </c>
      <c r="O852" s="14">
        <v>31508.1</v>
      </c>
      <c r="P852" s="14">
        <v>316</v>
      </c>
      <c r="Q852" s="14">
        <f t="shared" si="13"/>
        <v>206553.1</v>
      </c>
      <c r="R852" s="14">
        <v>206869.1</v>
      </c>
      <c r="S852" s="14" t="s">
        <v>45</v>
      </c>
      <c r="T852" s="14" t="s">
        <v>34</v>
      </c>
      <c r="U852" s="14" t="s">
        <v>46</v>
      </c>
      <c r="V852" s="14" t="s">
        <v>36</v>
      </c>
      <c r="W852" s="14" t="s">
        <v>37</v>
      </c>
      <c r="X852" s="14">
        <v>1</v>
      </c>
      <c r="Y852" s="14" t="s">
        <v>47</v>
      </c>
      <c r="Z852" s="14">
        <v>3</v>
      </c>
      <c r="AA852" s="14" t="s">
        <v>58</v>
      </c>
    </row>
    <row r="853" spans="1:27" x14ac:dyDescent="0.35">
      <c r="A853" s="14" t="s">
        <v>1489</v>
      </c>
      <c r="B853" s="15">
        <v>45894</v>
      </c>
      <c r="C853" s="14" t="s">
        <v>1490</v>
      </c>
      <c r="D853" s="14" t="s">
        <v>80</v>
      </c>
      <c r="E853" s="14" t="s">
        <v>29</v>
      </c>
      <c r="F853" s="14">
        <v>30</v>
      </c>
      <c r="G853" s="14" t="s">
        <v>134</v>
      </c>
      <c r="H853" s="14" t="s">
        <v>31</v>
      </c>
      <c r="I853" s="14" t="s">
        <v>134</v>
      </c>
      <c r="J853" s="14" t="s">
        <v>150</v>
      </c>
      <c r="K853" s="14">
        <v>3</v>
      </c>
      <c r="L853" s="14">
        <v>26210</v>
      </c>
      <c r="M853" s="14">
        <v>20</v>
      </c>
      <c r="N853" s="14">
        <v>15726</v>
      </c>
      <c r="O853" s="14">
        <v>11322.72</v>
      </c>
      <c r="P853" s="14">
        <v>459</v>
      </c>
      <c r="Q853" s="14">
        <f t="shared" si="13"/>
        <v>74226.720000000001</v>
      </c>
      <c r="R853" s="14">
        <v>74685.72</v>
      </c>
      <c r="S853" s="14" t="s">
        <v>83</v>
      </c>
      <c r="T853" s="14" t="s">
        <v>34</v>
      </c>
      <c r="U853" s="14" t="s">
        <v>35</v>
      </c>
      <c r="V853" s="14" t="s">
        <v>36</v>
      </c>
      <c r="W853" s="14" t="s">
        <v>37</v>
      </c>
      <c r="X853" s="14">
        <v>2</v>
      </c>
      <c r="Y853" s="14" t="s">
        <v>38</v>
      </c>
      <c r="Z853" s="14">
        <v>1</v>
      </c>
      <c r="AA853" s="14" t="s">
        <v>47</v>
      </c>
    </row>
    <row r="854" spans="1:27" x14ac:dyDescent="0.35">
      <c r="A854" s="14" t="s">
        <v>1491</v>
      </c>
      <c r="B854" s="15">
        <v>45877</v>
      </c>
      <c r="C854" s="14" t="s">
        <v>1186</v>
      </c>
      <c r="D854" s="14" t="s">
        <v>66</v>
      </c>
      <c r="E854" s="14" t="s">
        <v>29</v>
      </c>
      <c r="F854" s="14">
        <v>49</v>
      </c>
      <c r="G854" s="14" t="s">
        <v>51</v>
      </c>
      <c r="H854" s="14" t="s">
        <v>52</v>
      </c>
      <c r="I854" s="14" t="s">
        <v>51</v>
      </c>
      <c r="J854" s="14" t="s">
        <v>32</v>
      </c>
      <c r="K854" s="14">
        <v>4</v>
      </c>
      <c r="L854" s="14">
        <v>13804</v>
      </c>
      <c r="M854" s="14">
        <v>5</v>
      </c>
      <c r="N854" s="14">
        <v>2760.8</v>
      </c>
      <c r="O854" s="14">
        <v>9441.94</v>
      </c>
      <c r="P854" s="14">
        <v>349</v>
      </c>
      <c r="Q854" s="14">
        <f t="shared" si="13"/>
        <v>61897.14</v>
      </c>
      <c r="R854" s="14">
        <v>62246.14</v>
      </c>
      <c r="S854" s="14" t="s">
        <v>33</v>
      </c>
      <c r="T854" s="14" t="s">
        <v>34</v>
      </c>
      <c r="U854" s="14" t="s">
        <v>70</v>
      </c>
      <c r="V854" s="14" t="s">
        <v>56</v>
      </c>
      <c r="W854" s="14" t="s">
        <v>57</v>
      </c>
      <c r="X854" s="14">
        <v>7</v>
      </c>
      <c r="Y854" s="14" t="s">
        <v>47</v>
      </c>
      <c r="Z854" s="14">
        <v>5</v>
      </c>
      <c r="AA854" s="14" t="s">
        <v>47</v>
      </c>
    </row>
    <row r="855" spans="1:27" x14ac:dyDescent="0.35">
      <c r="A855" s="14" t="s">
        <v>1492</v>
      </c>
      <c r="B855" s="15">
        <v>45958</v>
      </c>
      <c r="C855" s="14" t="s">
        <v>413</v>
      </c>
      <c r="D855" s="14" t="s">
        <v>89</v>
      </c>
      <c r="E855" s="14" t="s">
        <v>43</v>
      </c>
      <c r="F855" s="14">
        <v>59</v>
      </c>
      <c r="G855" s="14" t="s">
        <v>44</v>
      </c>
      <c r="H855" s="14" t="s">
        <v>31</v>
      </c>
      <c r="I855" s="14" t="s">
        <v>44</v>
      </c>
      <c r="J855" s="14" t="s">
        <v>112</v>
      </c>
      <c r="K855" s="14">
        <v>2</v>
      </c>
      <c r="L855" s="14">
        <v>20640</v>
      </c>
      <c r="M855" s="14">
        <v>0</v>
      </c>
      <c r="N855" s="14">
        <v>0</v>
      </c>
      <c r="O855" s="14">
        <v>7430.4</v>
      </c>
      <c r="P855" s="14">
        <v>97</v>
      </c>
      <c r="Q855" s="14">
        <f t="shared" si="13"/>
        <v>48710.400000000001</v>
      </c>
      <c r="R855" s="14">
        <v>48807.4</v>
      </c>
      <c r="S855" s="14" t="s">
        <v>45</v>
      </c>
      <c r="T855" s="14" t="s">
        <v>34</v>
      </c>
      <c r="U855" s="14" t="s">
        <v>35</v>
      </c>
      <c r="V855" s="14" t="s">
        <v>36</v>
      </c>
      <c r="W855" s="14" t="s">
        <v>37</v>
      </c>
      <c r="X855" s="14">
        <v>6</v>
      </c>
      <c r="Y855" s="14" t="s">
        <v>47</v>
      </c>
      <c r="Z855" s="14">
        <v>1</v>
      </c>
      <c r="AA855" s="14" t="s">
        <v>47</v>
      </c>
    </row>
    <row r="856" spans="1:27" x14ac:dyDescent="0.35">
      <c r="A856" s="14" t="s">
        <v>1493</v>
      </c>
      <c r="B856" s="15">
        <v>46085</v>
      </c>
      <c r="C856" s="14" t="s">
        <v>1494</v>
      </c>
      <c r="D856" s="14" t="s">
        <v>28</v>
      </c>
      <c r="E856" s="14" t="s">
        <v>43</v>
      </c>
      <c r="F856" s="14">
        <v>47</v>
      </c>
      <c r="G856" s="14" t="s">
        <v>67</v>
      </c>
      <c r="H856" s="14" t="s">
        <v>68</v>
      </c>
      <c r="I856" s="14" t="s">
        <v>67</v>
      </c>
      <c r="J856" s="14" t="s">
        <v>32</v>
      </c>
      <c r="K856" s="14">
        <v>4</v>
      </c>
      <c r="L856" s="14">
        <v>32637</v>
      </c>
      <c r="M856" s="14">
        <v>15</v>
      </c>
      <c r="N856" s="14">
        <v>19582.2</v>
      </c>
      <c r="O856" s="14">
        <v>19973.84</v>
      </c>
      <c r="P856" s="14">
        <v>162</v>
      </c>
      <c r="Q856" s="14">
        <f t="shared" si="13"/>
        <v>130939.64000000001</v>
      </c>
      <c r="R856" s="14">
        <v>131101.64000000001</v>
      </c>
      <c r="S856" s="14" t="s">
        <v>45</v>
      </c>
      <c r="T856" s="14" t="s">
        <v>63</v>
      </c>
      <c r="U856" s="14" t="s">
        <v>70</v>
      </c>
      <c r="V856" s="14" t="s">
        <v>56</v>
      </c>
      <c r="W856" s="14" t="s">
        <v>57</v>
      </c>
      <c r="X856" s="14">
        <v>3</v>
      </c>
      <c r="Y856" s="14" t="s">
        <v>38</v>
      </c>
      <c r="Z856" s="14">
        <v>4</v>
      </c>
      <c r="AA856" s="14" t="s">
        <v>91</v>
      </c>
    </row>
    <row r="857" spans="1:27" x14ac:dyDescent="0.35">
      <c r="A857" s="14" t="s">
        <v>1495</v>
      </c>
      <c r="B857" s="15">
        <v>46105</v>
      </c>
      <c r="C857" s="14" t="s">
        <v>1496</v>
      </c>
      <c r="D857" s="14" t="s">
        <v>108</v>
      </c>
      <c r="E857" s="14" t="s">
        <v>29</v>
      </c>
      <c r="F857" s="14">
        <v>18</v>
      </c>
      <c r="G857" s="14" t="s">
        <v>67</v>
      </c>
      <c r="H857" s="14" t="s">
        <v>68</v>
      </c>
      <c r="I857" s="14" t="s">
        <v>67</v>
      </c>
      <c r="J857" s="14" t="s">
        <v>75</v>
      </c>
      <c r="K857" s="14">
        <v>5</v>
      </c>
      <c r="L857" s="14">
        <v>30196</v>
      </c>
      <c r="M857" s="14">
        <v>5</v>
      </c>
      <c r="N857" s="14">
        <v>7549</v>
      </c>
      <c r="O857" s="14">
        <v>25817.58</v>
      </c>
      <c r="P857" s="14">
        <v>472</v>
      </c>
      <c r="Q857" s="14">
        <f t="shared" si="13"/>
        <v>169248.58</v>
      </c>
      <c r="R857" s="14">
        <v>169720.58</v>
      </c>
      <c r="S857" s="14" t="s">
        <v>54</v>
      </c>
      <c r="T857" s="14" t="s">
        <v>63</v>
      </c>
      <c r="U857" s="14" t="s">
        <v>70</v>
      </c>
      <c r="V857" s="14" t="s">
        <v>56</v>
      </c>
      <c r="W857" s="14" t="s">
        <v>57</v>
      </c>
      <c r="X857" s="14">
        <v>6</v>
      </c>
      <c r="Y857" s="14" t="s">
        <v>38</v>
      </c>
      <c r="Z857" s="14">
        <v>1</v>
      </c>
      <c r="AA857" s="14" t="s">
        <v>47</v>
      </c>
    </row>
    <row r="858" spans="1:27" x14ac:dyDescent="0.35">
      <c r="A858" s="14" t="s">
        <v>1497</v>
      </c>
      <c r="B858" s="15">
        <v>45844</v>
      </c>
      <c r="C858" s="14" t="s">
        <v>1498</v>
      </c>
      <c r="D858" s="14" t="s">
        <v>108</v>
      </c>
      <c r="E858" s="14" t="s">
        <v>43</v>
      </c>
      <c r="F858" s="14">
        <v>21</v>
      </c>
      <c r="G858" s="14" t="s">
        <v>94</v>
      </c>
      <c r="H858" s="14" t="s">
        <v>31</v>
      </c>
      <c r="I858" s="14" t="s">
        <v>94</v>
      </c>
      <c r="J858" s="14" t="s">
        <v>150</v>
      </c>
      <c r="K858" s="14">
        <v>2</v>
      </c>
      <c r="L858" s="14">
        <v>22407</v>
      </c>
      <c r="M858" s="14">
        <v>5</v>
      </c>
      <c r="N858" s="14">
        <v>2240.6999999999998</v>
      </c>
      <c r="O858" s="14">
        <v>7663.19</v>
      </c>
      <c r="P858" s="14">
        <v>46</v>
      </c>
      <c r="Q858" s="14">
        <f t="shared" si="13"/>
        <v>50236.49</v>
      </c>
      <c r="R858" s="14">
        <v>50282.49</v>
      </c>
      <c r="S858" s="14" t="s">
        <v>54</v>
      </c>
      <c r="T858" s="14" t="s">
        <v>34</v>
      </c>
      <c r="U858" s="14" t="s">
        <v>95</v>
      </c>
      <c r="V858" s="14" t="s">
        <v>96</v>
      </c>
      <c r="W858" s="14" t="s">
        <v>57</v>
      </c>
      <c r="X858" s="14">
        <v>4</v>
      </c>
      <c r="Y858" s="14" t="s">
        <v>38</v>
      </c>
      <c r="Z858" s="14">
        <v>1</v>
      </c>
      <c r="AA858" s="14" t="s">
        <v>47</v>
      </c>
    </row>
    <row r="859" spans="1:27" x14ac:dyDescent="0.35">
      <c r="A859" s="14" t="s">
        <v>1499</v>
      </c>
      <c r="B859" s="15">
        <v>45767</v>
      </c>
      <c r="C859" s="14" t="s">
        <v>1500</v>
      </c>
      <c r="D859" s="14" t="s">
        <v>28</v>
      </c>
      <c r="E859" s="14" t="s">
        <v>43</v>
      </c>
      <c r="F859" s="14">
        <v>25</v>
      </c>
      <c r="G859" s="14" t="s">
        <v>134</v>
      </c>
      <c r="H859" s="14" t="s">
        <v>31</v>
      </c>
      <c r="I859" s="14" t="s">
        <v>134</v>
      </c>
      <c r="J859" s="14" t="s">
        <v>125</v>
      </c>
      <c r="K859" s="14">
        <v>4</v>
      </c>
      <c r="L859" s="14">
        <v>21850</v>
      </c>
      <c r="M859" s="14">
        <v>15</v>
      </c>
      <c r="N859" s="14">
        <v>13110</v>
      </c>
      <c r="O859" s="14">
        <v>13372.2</v>
      </c>
      <c r="P859" s="14">
        <v>303</v>
      </c>
      <c r="Q859" s="14">
        <f t="shared" si="13"/>
        <v>87662.2</v>
      </c>
      <c r="R859" s="14">
        <v>87965.2</v>
      </c>
      <c r="S859" s="14" t="s">
        <v>45</v>
      </c>
      <c r="T859" s="14" t="s">
        <v>34</v>
      </c>
      <c r="U859" s="14" t="s">
        <v>95</v>
      </c>
      <c r="V859" s="14" t="s">
        <v>96</v>
      </c>
      <c r="W859" s="14" t="s">
        <v>57</v>
      </c>
      <c r="X859" s="14">
        <v>9</v>
      </c>
      <c r="Y859" s="14" t="s">
        <v>47</v>
      </c>
      <c r="Z859" s="14">
        <v>3</v>
      </c>
      <c r="AA859" s="14" t="s">
        <v>91</v>
      </c>
    </row>
    <row r="860" spans="1:27" x14ac:dyDescent="0.35">
      <c r="A860" s="14" t="s">
        <v>1501</v>
      </c>
      <c r="B860" s="15">
        <v>45927</v>
      </c>
      <c r="C860" s="14" t="s">
        <v>1502</v>
      </c>
      <c r="D860" s="14" t="s">
        <v>111</v>
      </c>
      <c r="E860" s="14" t="s">
        <v>29</v>
      </c>
      <c r="F860" s="14">
        <v>31</v>
      </c>
      <c r="G860" s="14" t="s">
        <v>90</v>
      </c>
      <c r="H860" s="14" t="s">
        <v>31</v>
      </c>
      <c r="I860" s="14" t="s">
        <v>90</v>
      </c>
      <c r="J860" s="14" t="s">
        <v>69</v>
      </c>
      <c r="K860" s="14">
        <v>1</v>
      </c>
      <c r="L860" s="14">
        <v>24965</v>
      </c>
      <c r="M860" s="14">
        <v>20</v>
      </c>
      <c r="N860" s="14">
        <v>4993</v>
      </c>
      <c r="O860" s="14">
        <v>3594.96</v>
      </c>
      <c r="P860" s="14">
        <v>431</v>
      </c>
      <c r="Q860" s="14">
        <f t="shared" si="13"/>
        <v>23566.959999999999</v>
      </c>
      <c r="R860" s="14">
        <v>23997.96</v>
      </c>
      <c r="S860" s="14" t="s">
        <v>33</v>
      </c>
      <c r="T860" s="14" t="s">
        <v>34</v>
      </c>
      <c r="U860" s="14" t="s">
        <v>70</v>
      </c>
      <c r="V860" s="14" t="s">
        <v>56</v>
      </c>
      <c r="W860" s="14" t="s">
        <v>57</v>
      </c>
      <c r="X860" s="14">
        <v>1</v>
      </c>
      <c r="Y860" s="14" t="s">
        <v>47</v>
      </c>
      <c r="Z860" s="14">
        <v>1</v>
      </c>
      <c r="AA860" s="14" t="s">
        <v>39</v>
      </c>
    </row>
    <row r="861" spans="1:27" x14ac:dyDescent="0.35">
      <c r="A861" s="14" t="s">
        <v>1503</v>
      </c>
      <c r="B861" s="15">
        <v>45993</v>
      </c>
      <c r="C861" s="14" t="s">
        <v>554</v>
      </c>
      <c r="D861" s="14" t="s">
        <v>73</v>
      </c>
      <c r="E861" s="14" t="s">
        <v>43</v>
      </c>
      <c r="F861" s="14">
        <v>24</v>
      </c>
      <c r="G861" s="14" t="s">
        <v>134</v>
      </c>
      <c r="H861" s="14" t="s">
        <v>31</v>
      </c>
      <c r="I861" s="14" t="s">
        <v>134</v>
      </c>
      <c r="J861" s="14" t="s">
        <v>150</v>
      </c>
      <c r="K861" s="14">
        <v>2</v>
      </c>
      <c r="L861" s="14">
        <v>44956</v>
      </c>
      <c r="M861" s="14">
        <v>15</v>
      </c>
      <c r="N861" s="14">
        <v>13486.8</v>
      </c>
      <c r="O861" s="14">
        <v>13756.54</v>
      </c>
      <c r="P861" s="14">
        <v>136</v>
      </c>
      <c r="Q861" s="14">
        <f t="shared" si="13"/>
        <v>90181.74</v>
      </c>
      <c r="R861" s="14">
        <v>90317.74</v>
      </c>
      <c r="S861" s="14" t="s">
        <v>54</v>
      </c>
      <c r="T861" s="14" t="s">
        <v>63</v>
      </c>
      <c r="U861" s="14" t="s">
        <v>35</v>
      </c>
      <c r="V861" s="14" t="s">
        <v>36</v>
      </c>
      <c r="W861" s="14" t="s">
        <v>37</v>
      </c>
      <c r="X861" s="14">
        <v>1</v>
      </c>
      <c r="Y861" s="14" t="s">
        <v>38</v>
      </c>
      <c r="Z861" s="14">
        <v>2</v>
      </c>
      <c r="AA861" s="14" t="s">
        <v>39</v>
      </c>
    </row>
    <row r="862" spans="1:27" x14ac:dyDescent="0.35">
      <c r="A862" s="14" t="s">
        <v>1504</v>
      </c>
      <c r="B862" s="15">
        <v>45792</v>
      </c>
      <c r="C862" s="14" t="s">
        <v>1505</v>
      </c>
      <c r="D862" s="14" t="s">
        <v>111</v>
      </c>
      <c r="E862" s="14" t="s">
        <v>29</v>
      </c>
      <c r="F862" s="14">
        <v>57</v>
      </c>
      <c r="G862" s="14" t="s">
        <v>90</v>
      </c>
      <c r="H862" s="14" t="s">
        <v>31</v>
      </c>
      <c r="I862" s="14" t="s">
        <v>90</v>
      </c>
      <c r="J862" s="14" t="s">
        <v>32</v>
      </c>
      <c r="K862" s="14">
        <v>3</v>
      </c>
      <c r="L862" s="14">
        <v>42360</v>
      </c>
      <c r="M862" s="14">
        <v>15</v>
      </c>
      <c r="N862" s="14">
        <v>19062</v>
      </c>
      <c r="O862" s="14">
        <v>19443.240000000002</v>
      </c>
      <c r="P862" s="14">
        <v>46</v>
      </c>
      <c r="Q862" s="14">
        <f t="shared" si="13"/>
        <v>127461.24</v>
      </c>
      <c r="R862" s="14">
        <v>127507.24</v>
      </c>
      <c r="S862" s="14" t="s">
        <v>45</v>
      </c>
      <c r="T862" s="14" t="s">
        <v>34</v>
      </c>
      <c r="U862" s="14" t="s">
        <v>70</v>
      </c>
      <c r="V862" s="14" t="s">
        <v>56</v>
      </c>
      <c r="W862" s="14" t="s">
        <v>57</v>
      </c>
      <c r="X862" s="14">
        <v>6</v>
      </c>
      <c r="Y862" s="14" t="s">
        <v>47</v>
      </c>
      <c r="Z862" s="14">
        <v>1</v>
      </c>
      <c r="AA862" s="14" t="s">
        <v>91</v>
      </c>
    </row>
    <row r="863" spans="1:27" x14ac:dyDescent="0.35">
      <c r="A863" s="14" t="s">
        <v>1506</v>
      </c>
      <c r="B863" s="15">
        <v>46065</v>
      </c>
      <c r="C863" s="14" t="s">
        <v>1078</v>
      </c>
      <c r="D863" s="14" t="s">
        <v>61</v>
      </c>
      <c r="E863" s="14" t="s">
        <v>43</v>
      </c>
      <c r="F863" s="14">
        <v>39</v>
      </c>
      <c r="G863" s="14" t="s">
        <v>99</v>
      </c>
      <c r="H863" s="14" t="s">
        <v>52</v>
      </c>
      <c r="I863" s="14" t="s">
        <v>99</v>
      </c>
      <c r="J863" s="14" t="s">
        <v>62</v>
      </c>
      <c r="K863" s="14">
        <v>2</v>
      </c>
      <c r="L863" s="14">
        <v>26834</v>
      </c>
      <c r="M863" s="14">
        <v>20</v>
      </c>
      <c r="N863" s="14">
        <v>10733.6</v>
      </c>
      <c r="O863" s="14">
        <v>7728.19</v>
      </c>
      <c r="P863" s="14">
        <v>488</v>
      </c>
      <c r="Q863" s="14">
        <f t="shared" si="13"/>
        <v>50662.59</v>
      </c>
      <c r="R863" s="14">
        <v>51150.59</v>
      </c>
      <c r="S863" s="14" t="s">
        <v>54</v>
      </c>
      <c r="T863" s="14" t="s">
        <v>34</v>
      </c>
      <c r="U863" s="14" t="s">
        <v>35</v>
      </c>
      <c r="V863" s="14" t="s">
        <v>36</v>
      </c>
      <c r="W863" s="14" t="s">
        <v>37</v>
      </c>
      <c r="X863" s="14">
        <v>8</v>
      </c>
      <c r="Y863" s="14" t="s">
        <v>47</v>
      </c>
      <c r="Z863" s="14">
        <v>4</v>
      </c>
      <c r="AA863" s="14" t="s">
        <v>91</v>
      </c>
    </row>
    <row r="864" spans="1:27" x14ac:dyDescent="0.35">
      <c r="A864" s="14" t="s">
        <v>1507</v>
      </c>
      <c r="B864" s="15">
        <v>45801</v>
      </c>
      <c r="C864" s="14" t="s">
        <v>376</v>
      </c>
      <c r="D864" s="14" t="s">
        <v>111</v>
      </c>
      <c r="E864" s="14" t="s">
        <v>43</v>
      </c>
      <c r="F864" s="14">
        <v>52</v>
      </c>
      <c r="G864" s="14" t="s">
        <v>44</v>
      </c>
      <c r="H864" s="14" t="s">
        <v>31</v>
      </c>
      <c r="I864" s="14" t="s">
        <v>44</v>
      </c>
      <c r="J864" s="14" t="s">
        <v>32</v>
      </c>
      <c r="K864" s="14">
        <v>4</v>
      </c>
      <c r="L864" s="14">
        <v>43417</v>
      </c>
      <c r="M864" s="14">
        <v>20</v>
      </c>
      <c r="N864" s="14">
        <v>34733.599999999999</v>
      </c>
      <c r="O864" s="14">
        <v>25008.19</v>
      </c>
      <c r="P864" s="14">
        <v>360</v>
      </c>
      <c r="Q864" s="14">
        <f t="shared" si="13"/>
        <v>163942.59</v>
      </c>
      <c r="R864" s="14">
        <v>164302.59</v>
      </c>
      <c r="S864" s="14" t="s">
        <v>33</v>
      </c>
      <c r="T864" s="14" t="s">
        <v>63</v>
      </c>
      <c r="U864" s="14" t="s">
        <v>35</v>
      </c>
      <c r="V864" s="14" t="s">
        <v>36</v>
      </c>
      <c r="W864" s="14" t="s">
        <v>37</v>
      </c>
      <c r="X864" s="14">
        <v>5</v>
      </c>
      <c r="Y864" s="14" t="s">
        <v>38</v>
      </c>
      <c r="Z864" s="14">
        <v>1</v>
      </c>
      <c r="AA864" s="14" t="s">
        <v>91</v>
      </c>
    </row>
    <row r="865" spans="1:27" x14ac:dyDescent="0.35">
      <c r="A865" s="14" t="s">
        <v>1508</v>
      </c>
      <c r="B865" s="15">
        <v>46078</v>
      </c>
      <c r="C865" s="14" t="s">
        <v>1509</v>
      </c>
      <c r="D865" s="14" t="s">
        <v>108</v>
      </c>
      <c r="E865" s="14" t="s">
        <v>29</v>
      </c>
      <c r="F865" s="14">
        <v>33</v>
      </c>
      <c r="G865" s="14" t="s">
        <v>67</v>
      </c>
      <c r="H865" s="14" t="s">
        <v>68</v>
      </c>
      <c r="I865" s="14" t="s">
        <v>67</v>
      </c>
      <c r="J865" s="14" t="s">
        <v>75</v>
      </c>
      <c r="K865" s="14">
        <v>5</v>
      </c>
      <c r="L865" s="14">
        <v>36728</v>
      </c>
      <c r="M865" s="14">
        <v>10</v>
      </c>
      <c r="N865" s="14">
        <v>18364</v>
      </c>
      <c r="O865" s="14">
        <v>29749.68</v>
      </c>
      <c r="P865" s="14">
        <v>119</v>
      </c>
      <c r="Q865" s="14">
        <f t="shared" si="13"/>
        <v>195025.68</v>
      </c>
      <c r="R865" s="14">
        <v>195144.68</v>
      </c>
      <c r="S865" s="14" t="s">
        <v>54</v>
      </c>
      <c r="T865" s="14" t="s">
        <v>63</v>
      </c>
      <c r="U865" s="14" t="s">
        <v>103</v>
      </c>
      <c r="V865" s="14" t="s">
        <v>103</v>
      </c>
      <c r="W865" s="14" t="s">
        <v>57</v>
      </c>
      <c r="X865" s="14">
        <v>1</v>
      </c>
      <c r="Y865" s="14" t="s">
        <v>47</v>
      </c>
      <c r="Z865" s="14">
        <v>4</v>
      </c>
      <c r="AA865" s="14" t="s">
        <v>39</v>
      </c>
    </row>
    <row r="866" spans="1:27" x14ac:dyDescent="0.35">
      <c r="A866" s="14" t="s">
        <v>1510</v>
      </c>
      <c r="B866" s="15">
        <v>45792</v>
      </c>
      <c r="C866" s="14" t="s">
        <v>1292</v>
      </c>
      <c r="D866" s="14" t="s">
        <v>108</v>
      </c>
      <c r="E866" s="14" t="s">
        <v>29</v>
      </c>
      <c r="F866" s="14">
        <v>25</v>
      </c>
      <c r="G866" s="14" t="s">
        <v>94</v>
      </c>
      <c r="H866" s="14" t="s">
        <v>31</v>
      </c>
      <c r="I866" s="14" t="s">
        <v>94</v>
      </c>
      <c r="J866" s="14" t="s">
        <v>125</v>
      </c>
      <c r="K866" s="14">
        <v>1</v>
      </c>
      <c r="L866" s="14">
        <v>41533</v>
      </c>
      <c r="M866" s="14">
        <v>0</v>
      </c>
      <c r="N866" s="14">
        <v>0</v>
      </c>
      <c r="O866" s="14">
        <v>7475.94</v>
      </c>
      <c r="P866" s="14">
        <v>229</v>
      </c>
      <c r="Q866" s="14">
        <f t="shared" si="13"/>
        <v>49008.94</v>
      </c>
      <c r="R866" s="14">
        <v>49237.94</v>
      </c>
      <c r="S866" s="14" t="s">
        <v>83</v>
      </c>
      <c r="T866" s="14" t="s">
        <v>34</v>
      </c>
      <c r="U866" s="14" t="s">
        <v>46</v>
      </c>
      <c r="V866" s="14" t="s">
        <v>36</v>
      </c>
      <c r="W866" s="14" t="s">
        <v>37</v>
      </c>
      <c r="X866" s="14">
        <v>2</v>
      </c>
      <c r="Y866" s="14" t="s">
        <v>47</v>
      </c>
      <c r="Z866" s="14">
        <v>5</v>
      </c>
      <c r="AA866" s="14" t="s">
        <v>91</v>
      </c>
    </row>
    <row r="867" spans="1:27" x14ac:dyDescent="0.35">
      <c r="A867" s="14" t="s">
        <v>1511</v>
      </c>
      <c r="B867" s="15">
        <v>46116</v>
      </c>
      <c r="C867" s="14" t="s">
        <v>1512</v>
      </c>
      <c r="D867" s="14" t="s">
        <v>28</v>
      </c>
      <c r="E867" s="14" t="s">
        <v>29</v>
      </c>
      <c r="F867" s="14">
        <v>55</v>
      </c>
      <c r="G867" s="14" t="s">
        <v>90</v>
      </c>
      <c r="H867" s="14" t="s">
        <v>31</v>
      </c>
      <c r="I867" s="14" t="s">
        <v>90</v>
      </c>
      <c r="J867" s="14" t="s">
        <v>112</v>
      </c>
      <c r="K867" s="14">
        <v>5</v>
      </c>
      <c r="L867" s="14">
        <v>30419</v>
      </c>
      <c r="M867" s="14">
        <v>10</v>
      </c>
      <c r="N867" s="14">
        <v>15209.5</v>
      </c>
      <c r="O867" s="14">
        <v>24639.39</v>
      </c>
      <c r="P867" s="14">
        <v>45</v>
      </c>
      <c r="Q867" s="14">
        <f t="shared" si="13"/>
        <v>161524.89000000001</v>
      </c>
      <c r="R867" s="14">
        <v>161569.89000000001</v>
      </c>
      <c r="S867" s="14" t="s">
        <v>45</v>
      </c>
      <c r="T867" s="14" t="s">
        <v>34</v>
      </c>
      <c r="U867" s="14" t="s">
        <v>46</v>
      </c>
      <c r="V867" s="14" t="s">
        <v>36</v>
      </c>
      <c r="W867" s="14" t="s">
        <v>37</v>
      </c>
      <c r="X867" s="14">
        <v>3</v>
      </c>
      <c r="Y867" s="14" t="s">
        <v>38</v>
      </c>
      <c r="Z867" s="14">
        <v>4</v>
      </c>
      <c r="AA867" s="14" t="s">
        <v>91</v>
      </c>
    </row>
    <row r="868" spans="1:27" x14ac:dyDescent="0.35">
      <c r="A868" s="14" t="s">
        <v>1513</v>
      </c>
      <c r="B868" s="15">
        <v>45774</v>
      </c>
      <c r="C868" s="14" t="s">
        <v>1514</v>
      </c>
      <c r="D868" s="14" t="s">
        <v>73</v>
      </c>
      <c r="E868" s="14" t="s">
        <v>43</v>
      </c>
      <c r="F868" s="14">
        <v>24</v>
      </c>
      <c r="G868" s="14" t="s">
        <v>74</v>
      </c>
      <c r="H868" s="14" t="s">
        <v>31</v>
      </c>
      <c r="I868" s="14" t="s">
        <v>74</v>
      </c>
      <c r="J868" s="14" t="s">
        <v>102</v>
      </c>
      <c r="K868" s="14">
        <v>3</v>
      </c>
      <c r="L868" s="14">
        <v>41505</v>
      </c>
      <c r="M868" s="14">
        <v>20</v>
      </c>
      <c r="N868" s="14">
        <v>24903</v>
      </c>
      <c r="O868" s="14">
        <v>17930.16</v>
      </c>
      <c r="P868" s="14">
        <v>297</v>
      </c>
      <c r="Q868" s="14">
        <f t="shared" si="13"/>
        <v>117542.16</v>
      </c>
      <c r="R868" s="14">
        <v>117839.16</v>
      </c>
      <c r="S868" s="14" t="s">
        <v>33</v>
      </c>
      <c r="T868" s="14" t="s">
        <v>63</v>
      </c>
      <c r="U868" s="14" t="s">
        <v>35</v>
      </c>
      <c r="V868" s="14" t="s">
        <v>36</v>
      </c>
      <c r="W868" s="14" t="s">
        <v>37</v>
      </c>
      <c r="X868" s="14">
        <v>1</v>
      </c>
      <c r="Y868" s="14" t="s">
        <v>38</v>
      </c>
      <c r="Z868" s="14">
        <v>3</v>
      </c>
      <c r="AA868" s="14" t="s">
        <v>39</v>
      </c>
    </row>
    <row r="869" spans="1:27" x14ac:dyDescent="0.35">
      <c r="A869" s="14" t="s">
        <v>1515</v>
      </c>
      <c r="B869" s="15">
        <v>45759</v>
      </c>
      <c r="C869" s="14" t="s">
        <v>1516</v>
      </c>
      <c r="D869" s="14" t="s">
        <v>42</v>
      </c>
      <c r="E869" s="14" t="s">
        <v>29</v>
      </c>
      <c r="F869" s="14">
        <v>49</v>
      </c>
      <c r="G869" s="14" t="s">
        <v>51</v>
      </c>
      <c r="H869" s="14" t="s">
        <v>52</v>
      </c>
      <c r="I869" s="14" t="s">
        <v>51</v>
      </c>
      <c r="J869" s="14" t="s">
        <v>32</v>
      </c>
      <c r="K869" s="14">
        <v>3</v>
      </c>
      <c r="L869" s="14">
        <v>5310</v>
      </c>
      <c r="M869" s="14">
        <v>10</v>
      </c>
      <c r="N869" s="14">
        <v>1593</v>
      </c>
      <c r="O869" s="14">
        <v>2580.66</v>
      </c>
      <c r="P869" s="14">
        <v>400</v>
      </c>
      <c r="Q869" s="14">
        <f t="shared" si="13"/>
        <v>16917.66</v>
      </c>
      <c r="R869" s="14">
        <v>17317.66</v>
      </c>
      <c r="S869" s="14" t="s">
        <v>33</v>
      </c>
      <c r="T869" s="14" t="s">
        <v>63</v>
      </c>
      <c r="U869" s="14" t="s">
        <v>103</v>
      </c>
      <c r="V869" s="14" t="s">
        <v>103</v>
      </c>
      <c r="W869" s="14" t="s">
        <v>57</v>
      </c>
      <c r="X869" s="14">
        <v>6</v>
      </c>
      <c r="Y869" s="14" t="s">
        <v>38</v>
      </c>
      <c r="Z869" s="14">
        <v>5</v>
      </c>
      <c r="AA869" s="14" t="s">
        <v>47</v>
      </c>
    </row>
    <row r="870" spans="1:27" x14ac:dyDescent="0.35">
      <c r="A870" s="14" t="s">
        <v>1517</v>
      </c>
      <c r="B870" s="15">
        <v>46012</v>
      </c>
      <c r="C870" s="14" t="s">
        <v>240</v>
      </c>
      <c r="D870" s="14" t="s">
        <v>108</v>
      </c>
      <c r="E870" s="14" t="s">
        <v>43</v>
      </c>
      <c r="F870" s="14">
        <v>32</v>
      </c>
      <c r="G870" s="14" t="s">
        <v>134</v>
      </c>
      <c r="H870" s="14" t="s">
        <v>31</v>
      </c>
      <c r="I870" s="14" t="s">
        <v>134</v>
      </c>
      <c r="J870" s="14" t="s">
        <v>150</v>
      </c>
      <c r="K870" s="14">
        <v>4</v>
      </c>
      <c r="L870" s="14">
        <v>14528</v>
      </c>
      <c r="M870" s="14">
        <v>20</v>
      </c>
      <c r="N870" s="14">
        <v>11622.4</v>
      </c>
      <c r="O870" s="14">
        <v>8368.1299999999992</v>
      </c>
      <c r="P870" s="14">
        <v>121</v>
      </c>
      <c r="Q870" s="14">
        <f t="shared" si="13"/>
        <v>54857.73</v>
      </c>
      <c r="R870" s="14">
        <v>54978.73</v>
      </c>
      <c r="S870" s="14" t="s">
        <v>45</v>
      </c>
      <c r="T870" s="14" t="s">
        <v>34</v>
      </c>
      <c r="U870" s="14" t="s">
        <v>55</v>
      </c>
      <c r="V870" s="14" t="s">
        <v>56</v>
      </c>
      <c r="W870" s="14" t="s">
        <v>57</v>
      </c>
      <c r="X870" s="14">
        <v>7</v>
      </c>
      <c r="Y870" s="14" t="s">
        <v>38</v>
      </c>
      <c r="Z870" s="14">
        <v>5</v>
      </c>
      <c r="AA870" s="14" t="s">
        <v>58</v>
      </c>
    </row>
    <row r="871" spans="1:27" x14ac:dyDescent="0.35">
      <c r="A871" s="14" t="s">
        <v>1518</v>
      </c>
      <c r="B871" s="15">
        <v>45890</v>
      </c>
      <c r="C871" s="14" t="s">
        <v>1519</v>
      </c>
      <c r="D871" s="14" t="s">
        <v>61</v>
      </c>
      <c r="E871" s="14" t="s">
        <v>43</v>
      </c>
      <c r="F871" s="14">
        <v>34</v>
      </c>
      <c r="G871" s="14" t="s">
        <v>99</v>
      </c>
      <c r="H871" s="14" t="s">
        <v>52</v>
      </c>
      <c r="I871" s="14" t="s">
        <v>99</v>
      </c>
      <c r="J871" s="14" t="s">
        <v>150</v>
      </c>
      <c r="K871" s="14">
        <v>4</v>
      </c>
      <c r="L871" s="14">
        <v>29992</v>
      </c>
      <c r="M871" s="14">
        <v>5</v>
      </c>
      <c r="N871" s="14">
        <v>5998.4</v>
      </c>
      <c r="O871" s="14">
        <v>20514.53</v>
      </c>
      <c r="P871" s="14">
        <v>338</v>
      </c>
      <c r="Q871" s="14">
        <f t="shared" si="13"/>
        <v>134484.13</v>
      </c>
      <c r="R871" s="14">
        <v>134822.13</v>
      </c>
      <c r="S871" s="14" t="s">
        <v>83</v>
      </c>
      <c r="T871" s="14" t="s">
        <v>63</v>
      </c>
      <c r="U871" s="14" t="s">
        <v>70</v>
      </c>
      <c r="V871" s="14" t="s">
        <v>56</v>
      </c>
      <c r="W871" s="14" t="s">
        <v>57</v>
      </c>
      <c r="X871" s="14">
        <v>4</v>
      </c>
      <c r="Y871" s="14" t="s">
        <v>47</v>
      </c>
      <c r="Z871" s="14">
        <v>2</v>
      </c>
      <c r="AA871" s="14" t="s">
        <v>58</v>
      </c>
    </row>
    <row r="872" spans="1:27" x14ac:dyDescent="0.35">
      <c r="A872" s="14" t="s">
        <v>1520</v>
      </c>
      <c r="B872" s="15">
        <v>46009</v>
      </c>
      <c r="C872" s="14" t="s">
        <v>446</v>
      </c>
      <c r="D872" s="14" t="s">
        <v>50</v>
      </c>
      <c r="E872" s="14" t="s">
        <v>29</v>
      </c>
      <c r="F872" s="14">
        <v>28</v>
      </c>
      <c r="G872" s="14" t="s">
        <v>44</v>
      </c>
      <c r="H872" s="14" t="s">
        <v>31</v>
      </c>
      <c r="I872" s="14" t="s">
        <v>44</v>
      </c>
      <c r="J872" s="14" t="s">
        <v>150</v>
      </c>
      <c r="K872" s="14">
        <v>4</v>
      </c>
      <c r="L872" s="14">
        <v>29117</v>
      </c>
      <c r="M872" s="14">
        <v>15</v>
      </c>
      <c r="N872" s="14">
        <v>17470.2</v>
      </c>
      <c r="O872" s="14">
        <v>17819.599999999999</v>
      </c>
      <c r="P872" s="14">
        <v>300</v>
      </c>
      <c r="Q872" s="14">
        <f t="shared" si="13"/>
        <v>116817.4</v>
      </c>
      <c r="R872" s="14">
        <v>117117.4</v>
      </c>
      <c r="S872" s="14" t="s">
        <v>45</v>
      </c>
      <c r="T872" s="14" t="s">
        <v>34</v>
      </c>
      <c r="U872" s="14" t="s">
        <v>46</v>
      </c>
      <c r="V872" s="14" t="s">
        <v>36</v>
      </c>
      <c r="W872" s="14" t="s">
        <v>37</v>
      </c>
      <c r="X872" s="14">
        <v>9</v>
      </c>
      <c r="Y872" s="14" t="s">
        <v>38</v>
      </c>
      <c r="Z872" s="14">
        <v>5</v>
      </c>
      <c r="AA872" s="14" t="s">
        <v>58</v>
      </c>
    </row>
    <row r="873" spans="1:27" x14ac:dyDescent="0.35">
      <c r="A873" s="14" t="s">
        <v>1521</v>
      </c>
      <c r="B873" s="15">
        <v>45983</v>
      </c>
      <c r="C873" s="14" t="s">
        <v>1522</v>
      </c>
      <c r="D873" s="14" t="s">
        <v>28</v>
      </c>
      <c r="E873" s="14" t="s">
        <v>29</v>
      </c>
      <c r="F873" s="14">
        <v>32</v>
      </c>
      <c r="G873" s="14" t="s">
        <v>44</v>
      </c>
      <c r="H873" s="14" t="s">
        <v>31</v>
      </c>
      <c r="I873" s="14" t="s">
        <v>44</v>
      </c>
      <c r="J873" s="14" t="s">
        <v>32</v>
      </c>
      <c r="K873" s="14">
        <v>1</v>
      </c>
      <c r="L873" s="14">
        <v>6441</v>
      </c>
      <c r="M873" s="14">
        <v>20</v>
      </c>
      <c r="N873" s="14">
        <v>1288.2</v>
      </c>
      <c r="O873" s="14">
        <v>927.5</v>
      </c>
      <c r="P873" s="14">
        <v>124</v>
      </c>
      <c r="Q873" s="14">
        <f t="shared" si="13"/>
        <v>6080.3</v>
      </c>
      <c r="R873" s="14">
        <v>6204.3</v>
      </c>
      <c r="S873" s="14" t="s">
        <v>45</v>
      </c>
      <c r="T873" s="14" t="s">
        <v>34</v>
      </c>
      <c r="U873" s="14" t="s">
        <v>76</v>
      </c>
      <c r="V873" s="14" t="s">
        <v>77</v>
      </c>
      <c r="W873" s="14" t="s">
        <v>57</v>
      </c>
      <c r="X873" s="14">
        <v>7</v>
      </c>
      <c r="Y873" s="14" t="s">
        <v>38</v>
      </c>
      <c r="Z873" s="14">
        <v>3</v>
      </c>
      <c r="AA873" s="14" t="s">
        <v>91</v>
      </c>
    </row>
    <row r="874" spans="1:27" x14ac:dyDescent="0.35">
      <c r="A874" s="14" t="s">
        <v>1523</v>
      </c>
      <c r="B874" s="15">
        <v>45844</v>
      </c>
      <c r="C874" s="14" t="s">
        <v>1125</v>
      </c>
      <c r="D874" s="14" t="s">
        <v>66</v>
      </c>
      <c r="E874" s="14" t="s">
        <v>29</v>
      </c>
      <c r="F874" s="14">
        <v>25</v>
      </c>
      <c r="G874" s="14" t="s">
        <v>67</v>
      </c>
      <c r="H874" s="14" t="s">
        <v>68</v>
      </c>
      <c r="I874" s="14" t="s">
        <v>67</v>
      </c>
      <c r="J874" s="14" t="s">
        <v>112</v>
      </c>
      <c r="K874" s="14">
        <v>3</v>
      </c>
      <c r="L874" s="14">
        <v>23228</v>
      </c>
      <c r="M874" s="14">
        <v>15</v>
      </c>
      <c r="N874" s="14">
        <v>10452.6</v>
      </c>
      <c r="O874" s="14">
        <v>10661.65</v>
      </c>
      <c r="P874" s="14">
        <v>74</v>
      </c>
      <c r="Q874" s="14">
        <f t="shared" si="13"/>
        <v>69893.05</v>
      </c>
      <c r="R874" s="14">
        <v>69967.05</v>
      </c>
      <c r="S874" s="14" t="s">
        <v>54</v>
      </c>
      <c r="T874" s="14" t="s">
        <v>63</v>
      </c>
      <c r="U874" s="14" t="s">
        <v>84</v>
      </c>
      <c r="V874" s="14" t="s">
        <v>85</v>
      </c>
      <c r="W874" s="14" t="s">
        <v>86</v>
      </c>
      <c r="X874" s="14">
        <v>4</v>
      </c>
      <c r="Y874" s="14" t="s">
        <v>47</v>
      </c>
      <c r="Z874" s="14">
        <v>2</v>
      </c>
      <c r="AA874" s="14" t="s">
        <v>47</v>
      </c>
    </row>
    <row r="875" spans="1:27" x14ac:dyDescent="0.35">
      <c r="A875" s="14" t="s">
        <v>1524</v>
      </c>
      <c r="B875" s="15">
        <v>46090</v>
      </c>
      <c r="C875" s="14" t="s">
        <v>516</v>
      </c>
      <c r="D875" s="14" t="s">
        <v>89</v>
      </c>
      <c r="E875" s="14" t="s">
        <v>29</v>
      </c>
      <c r="F875" s="14">
        <v>53</v>
      </c>
      <c r="G875" s="14" t="s">
        <v>30</v>
      </c>
      <c r="H875" s="14" t="s">
        <v>31</v>
      </c>
      <c r="I875" s="14" t="s">
        <v>30</v>
      </c>
      <c r="J875" s="14" t="s">
        <v>62</v>
      </c>
      <c r="K875" s="14">
        <v>5</v>
      </c>
      <c r="L875" s="14">
        <v>13705</v>
      </c>
      <c r="M875" s="14">
        <v>20</v>
      </c>
      <c r="N875" s="14">
        <v>13705</v>
      </c>
      <c r="O875" s="14">
        <v>9867.6</v>
      </c>
      <c r="P875" s="14">
        <v>26</v>
      </c>
      <c r="Q875" s="14">
        <f t="shared" si="13"/>
        <v>64687.6</v>
      </c>
      <c r="R875" s="14">
        <v>64713.599999999999</v>
      </c>
      <c r="S875" s="14" t="s">
        <v>33</v>
      </c>
      <c r="T875" s="14" t="s">
        <v>34</v>
      </c>
      <c r="U875" s="14" t="s">
        <v>76</v>
      </c>
      <c r="V875" s="14" t="s">
        <v>77</v>
      </c>
      <c r="W875" s="14" t="s">
        <v>57</v>
      </c>
      <c r="X875" s="14">
        <v>4</v>
      </c>
      <c r="Y875" s="14" t="s">
        <v>47</v>
      </c>
      <c r="Z875" s="14">
        <v>3</v>
      </c>
      <c r="AA875" s="14" t="s">
        <v>91</v>
      </c>
    </row>
    <row r="876" spans="1:27" x14ac:dyDescent="0.35">
      <c r="A876" s="14" t="s">
        <v>1525</v>
      </c>
      <c r="B876" s="15">
        <v>46055</v>
      </c>
      <c r="C876" s="14" t="s">
        <v>670</v>
      </c>
      <c r="D876" s="14" t="s">
        <v>42</v>
      </c>
      <c r="E876" s="14" t="s">
        <v>29</v>
      </c>
      <c r="F876" s="14">
        <v>38</v>
      </c>
      <c r="G876" s="14" t="s">
        <v>67</v>
      </c>
      <c r="H876" s="14" t="s">
        <v>68</v>
      </c>
      <c r="I876" s="14" t="s">
        <v>67</v>
      </c>
      <c r="J876" s="14" t="s">
        <v>62</v>
      </c>
      <c r="K876" s="14">
        <v>2</v>
      </c>
      <c r="L876" s="14">
        <v>48561</v>
      </c>
      <c r="M876" s="14">
        <v>20</v>
      </c>
      <c r="N876" s="14">
        <v>19424.400000000001</v>
      </c>
      <c r="O876" s="14">
        <v>13985.57</v>
      </c>
      <c r="P876" s="14">
        <v>179</v>
      </c>
      <c r="Q876" s="14">
        <f t="shared" si="13"/>
        <v>91683.17</v>
      </c>
      <c r="R876" s="14">
        <v>91862.17</v>
      </c>
      <c r="S876" s="14" t="s">
        <v>45</v>
      </c>
      <c r="T876" s="14" t="s">
        <v>34</v>
      </c>
      <c r="U876" s="14" t="s">
        <v>84</v>
      </c>
      <c r="V876" s="14" t="s">
        <v>85</v>
      </c>
      <c r="W876" s="14" t="s">
        <v>86</v>
      </c>
      <c r="X876" s="14">
        <v>1</v>
      </c>
      <c r="Y876" s="14" t="s">
        <v>47</v>
      </c>
      <c r="Z876" s="14">
        <v>2</v>
      </c>
      <c r="AA876" s="14" t="s">
        <v>58</v>
      </c>
    </row>
    <row r="877" spans="1:27" x14ac:dyDescent="0.35">
      <c r="A877" s="14" t="s">
        <v>1526</v>
      </c>
      <c r="B877" s="15">
        <v>45839</v>
      </c>
      <c r="C877" s="14" t="s">
        <v>1527</v>
      </c>
      <c r="D877" s="14" t="s">
        <v>108</v>
      </c>
      <c r="E877" s="14" t="s">
        <v>43</v>
      </c>
      <c r="F877" s="14">
        <v>28</v>
      </c>
      <c r="G877" s="14" t="s">
        <v>51</v>
      </c>
      <c r="H877" s="14" t="s">
        <v>52</v>
      </c>
      <c r="I877" s="14" t="s">
        <v>51</v>
      </c>
      <c r="J877" s="14" t="s">
        <v>125</v>
      </c>
      <c r="K877" s="14">
        <v>2</v>
      </c>
      <c r="L877" s="14">
        <v>17048</v>
      </c>
      <c r="M877" s="14">
        <v>10</v>
      </c>
      <c r="N877" s="14">
        <v>3409.6</v>
      </c>
      <c r="O877" s="14">
        <v>5523.55</v>
      </c>
      <c r="P877" s="14">
        <v>126</v>
      </c>
      <c r="Q877" s="14">
        <f t="shared" si="13"/>
        <v>36209.949999999997</v>
      </c>
      <c r="R877" s="14">
        <v>36335.949999999997</v>
      </c>
      <c r="S877" s="14" t="s">
        <v>33</v>
      </c>
      <c r="T877" s="14" t="s">
        <v>63</v>
      </c>
      <c r="U877" s="14" t="s">
        <v>76</v>
      </c>
      <c r="V877" s="14" t="s">
        <v>77</v>
      </c>
      <c r="W877" s="14" t="s">
        <v>57</v>
      </c>
      <c r="X877" s="14">
        <v>6</v>
      </c>
      <c r="Y877" s="14" t="s">
        <v>38</v>
      </c>
      <c r="Z877" s="14">
        <v>2</v>
      </c>
      <c r="AA877" s="14" t="s">
        <v>39</v>
      </c>
    </row>
    <row r="878" spans="1:27" x14ac:dyDescent="0.35">
      <c r="A878" s="14" t="s">
        <v>1528</v>
      </c>
      <c r="B878" s="15">
        <v>46092</v>
      </c>
      <c r="C878" s="14" t="s">
        <v>1529</v>
      </c>
      <c r="D878" s="14" t="s">
        <v>61</v>
      </c>
      <c r="E878" s="14" t="s">
        <v>29</v>
      </c>
      <c r="F878" s="14">
        <v>55</v>
      </c>
      <c r="G878" s="14" t="s">
        <v>44</v>
      </c>
      <c r="H878" s="14" t="s">
        <v>31</v>
      </c>
      <c r="I878" s="14" t="s">
        <v>44</v>
      </c>
      <c r="J878" s="14" t="s">
        <v>125</v>
      </c>
      <c r="K878" s="14">
        <v>2</v>
      </c>
      <c r="L878" s="14">
        <v>46981</v>
      </c>
      <c r="M878" s="14">
        <v>0</v>
      </c>
      <c r="N878" s="14">
        <v>0</v>
      </c>
      <c r="O878" s="14">
        <v>16913.16</v>
      </c>
      <c r="P878" s="14">
        <v>252</v>
      </c>
      <c r="Q878" s="14">
        <f t="shared" si="13"/>
        <v>110875.16</v>
      </c>
      <c r="R878" s="14">
        <v>111127.16</v>
      </c>
      <c r="S878" s="14" t="s">
        <v>83</v>
      </c>
      <c r="T878" s="14" t="s">
        <v>34</v>
      </c>
      <c r="U878" s="14" t="s">
        <v>35</v>
      </c>
      <c r="V878" s="14" t="s">
        <v>36</v>
      </c>
      <c r="W878" s="14" t="s">
        <v>37</v>
      </c>
      <c r="X878" s="14">
        <v>4</v>
      </c>
      <c r="Y878" s="14" t="s">
        <v>47</v>
      </c>
      <c r="Z878" s="14">
        <v>1</v>
      </c>
      <c r="AA878" s="14" t="s">
        <v>39</v>
      </c>
    </row>
    <row r="879" spans="1:27" x14ac:dyDescent="0.35">
      <c r="A879" s="14" t="s">
        <v>1530</v>
      </c>
      <c r="B879" s="15">
        <v>45892</v>
      </c>
      <c r="C879" s="14" t="s">
        <v>160</v>
      </c>
      <c r="D879" s="14" t="s">
        <v>73</v>
      </c>
      <c r="E879" s="14" t="s">
        <v>29</v>
      </c>
      <c r="F879" s="14">
        <v>59</v>
      </c>
      <c r="G879" s="14" t="s">
        <v>74</v>
      </c>
      <c r="H879" s="14" t="s">
        <v>31</v>
      </c>
      <c r="I879" s="14" t="s">
        <v>74</v>
      </c>
      <c r="J879" s="14" t="s">
        <v>125</v>
      </c>
      <c r="K879" s="14">
        <v>3</v>
      </c>
      <c r="L879" s="14">
        <v>42665</v>
      </c>
      <c r="M879" s="14">
        <v>10</v>
      </c>
      <c r="N879" s="14">
        <v>12799.5</v>
      </c>
      <c r="O879" s="14">
        <v>20735.189999999999</v>
      </c>
      <c r="P879" s="14">
        <v>452</v>
      </c>
      <c r="Q879" s="14">
        <f t="shared" si="13"/>
        <v>135930.69</v>
      </c>
      <c r="R879" s="14">
        <v>136382.69</v>
      </c>
      <c r="S879" s="14" t="s">
        <v>33</v>
      </c>
      <c r="T879" s="14" t="s">
        <v>63</v>
      </c>
      <c r="U879" s="14" t="s">
        <v>103</v>
      </c>
      <c r="V879" s="14" t="s">
        <v>103</v>
      </c>
      <c r="W879" s="14" t="s">
        <v>57</v>
      </c>
      <c r="X879" s="14">
        <v>1</v>
      </c>
      <c r="Y879" s="14" t="s">
        <v>38</v>
      </c>
      <c r="Z879" s="14">
        <v>3</v>
      </c>
      <c r="AA879" s="14" t="s">
        <v>58</v>
      </c>
    </row>
    <row r="880" spans="1:27" x14ac:dyDescent="0.35">
      <c r="A880" s="14" t="s">
        <v>1531</v>
      </c>
      <c r="B880" s="15">
        <v>46045</v>
      </c>
      <c r="C880" s="14" t="s">
        <v>1532</v>
      </c>
      <c r="D880" s="14" t="s">
        <v>73</v>
      </c>
      <c r="E880" s="14" t="s">
        <v>29</v>
      </c>
      <c r="F880" s="14">
        <v>42</v>
      </c>
      <c r="G880" s="14" t="s">
        <v>74</v>
      </c>
      <c r="H880" s="14" t="s">
        <v>31</v>
      </c>
      <c r="I880" s="14" t="s">
        <v>74</v>
      </c>
      <c r="J880" s="14" t="s">
        <v>150</v>
      </c>
      <c r="K880" s="14">
        <v>3</v>
      </c>
      <c r="L880" s="14">
        <v>33362</v>
      </c>
      <c r="M880" s="14">
        <v>0</v>
      </c>
      <c r="N880" s="14">
        <v>0</v>
      </c>
      <c r="O880" s="14">
        <v>18015.48</v>
      </c>
      <c r="P880" s="14">
        <v>429</v>
      </c>
      <c r="Q880" s="14">
        <f t="shared" si="13"/>
        <v>118101.48</v>
      </c>
      <c r="R880" s="14">
        <v>118530.48</v>
      </c>
      <c r="S880" s="14" t="s">
        <v>33</v>
      </c>
      <c r="T880" s="14" t="s">
        <v>63</v>
      </c>
      <c r="U880" s="14" t="s">
        <v>95</v>
      </c>
      <c r="V880" s="14" t="s">
        <v>96</v>
      </c>
      <c r="W880" s="14" t="s">
        <v>57</v>
      </c>
      <c r="X880" s="14">
        <v>1</v>
      </c>
      <c r="Y880" s="14" t="s">
        <v>38</v>
      </c>
      <c r="Z880" s="14">
        <v>2</v>
      </c>
      <c r="AA880" s="14" t="s">
        <v>47</v>
      </c>
    </row>
    <row r="881" spans="1:27" x14ac:dyDescent="0.35">
      <c r="A881" s="14" t="s">
        <v>1533</v>
      </c>
      <c r="B881" s="15">
        <v>45893</v>
      </c>
      <c r="C881" s="14" t="s">
        <v>478</v>
      </c>
      <c r="D881" s="14" t="s">
        <v>111</v>
      </c>
      <c r="E881" s="14" t="s">
        <v>29</v>
      </c>
      <c r="F881" s="14">
        <v>45</v>
      </c>
      <c r="G881" s="14" t="s">
        <v>134</v>
      </c>
      <c r="H881" s="14" t="s">
        <v>31</v>
      </c>
      <c r="I881" s="14" t="s">
        <v>134</v>
      </c>
      <c r="J881" s="14" t="s">
        <v>75</v>
      </c>
      <c r="K881" s="14">
        <v>1</v>
      </c>
      <c r="L881" s="14">
        <v>4860</v>
      </c>
      <c r="M881" s="14">
        <v>10</v>
      </c>
      <c r="N881" s="14">
        <v>486</v>
      </c>
      <c r="O881" s="14">
        <v>787.32</v>
      </c>
      <c r="P881" s="14">
        <v>245</v>
      </c>
      <c r="Q881" s="14">
        <f t="shared" si="13"/>
        <v>5161.32</v>
      </c>
      <c r="R881" s="14">
        <v>5406.32</v>
      </c>
      <c r="S881" s="14" t="s">
        <v>33</v>
      </c>
      <c r="T881" s="14" t="s">
        <v>63</v>
      </c>
      <c r="U881" s="14" t="s">
        <v>103</v>
      </c>
      <c r="V881" s="14" t="s">
        <v>103</v>
      </c>
      <c r="W881" s="14" t="s">
        <v>57</v>
      </c>
      <c r="X881" s="14">
        <v>9</v>
      </c>
      <c r="Y881" s="14" t="s">
        <v>47</v>
      </c>
      <c r="Z881" s="14">
        <v>5</v>
      </c>
      <c r="AA881" s="14" t="s">
        <v>58</v>
      </c>
    </row>
    <row r="882" spans="1:27" x14ac:dyDescent="0.35">
      <c r="A882" s="14" t="s">
        <v>1534</v>
      </c>
      <c r="B882" s="15">
        <v>45791</v>
      </c>
      <c r="C882" s="14" t="s">
        <v>226</v>
      </c>
      <c r="D882" s="14" t="s">
        <v>28</v>
      </c>
      <c r="E882" s="14" t="s">
        <v>43</v>
      </c>
      <c r="F882" s="14">
        <v>34</v>
      </c>
      <c r="G882" s="14" t="s">
        <v>30</v>
      </c>
      <c r="H882" s="14" t="s">
        <v>31</v>
      </c>
      <c r="I882" s="14" t="s">
        <v>30</v>
      </c>
      <c r="J882" s="14" t="s">
        <v>202</v>
      </c>
      <c r="K882" s="14">
        <v>3</v>
      </c>
      <c r="L882" s="14">
        <v>39078</v>
      </c>
      <c r="M882" s="14">
        <v>15</v>
      </c>
      <c r="N882" s="14">
        <v>17585.099999999999</v>
      </c>
      <c r="O882" s="14">
        <v>17936.8</v>
      </c>
      <c r="P882" s="14">
        <v>64</v>
      </c>
      <c r="Q882" s="14">
        <f t="shared" si="13"/>
        <v>117585.7</v>
      </c>
      <c r="R882" s="14">
        <v>117649.7</v>
      </c>
      <c r="S882" s="14" t="s">
        <v>54</v>
      </c>
      <c r="T882" s="14" t="s">
        <v>63</v>
      </c>
      <c r="U882" s="14" t="s">
        <v>46</v>
      </c>
      <c r="V882" s="14" t="s">
        <v>36</v>
      </c>
      <c r="W882" s="14" t="s">
        <v>37</v>
      </c>
      <c r="X882" s="14">
        <v>7</v>
      </c>
      <c r="Y882" s="14" t="s">
        <v>38</v>
      </c>
      <c r="Z882" s="14">
        <v>1</v>
      </c>
      <c r="AA882" s="14" t="s">
        <v>91</v>
      </c>
    </row>
    <row r="883" spans="1:27" x14ac:dyDescent="0.35">
      <c r="A883" s="14" t="s">
        <v>1535</v>
      </c>
      <c r="B883" s="15">
        <v>46105</v>
      </c>
      <c r="C883" s="14" t="s">
        <v>811</v>
      </c>
      <c r="D883" s="14" t="s">
        <v>42</v>
      </c>
      <c r="E883" s="14" t="s">
        <v>43</v>
      </c>
      <c r="F883" s="14">
        <v>47</v>
      </c>
      <c r="G883" s="14" t="s">
        <v>99</v>
      </c>
      <c r="H883" s="14" t="s">
        <v>52</v>
      </c>
      <c r="I883" s="14" t="s">
        <v>99</v>
      </c>
      <c r="J883" s="14" t="s">
        <v>53</v>
      </c>
      <c r="K883" s="14">
        <v>5</v>
      </c>
      <c r="L883" s="14">
        <v>5258</v>
      </c>
      <c r="M883" s="14">
        <v>15</v>
      </c>
      <c r="N883" s="14">
        <v>3943.5</v>
      </c>
      <c r="O883" s="14">
        <v>4022.37</v>
      </c>
      <c r="P883" s="14">
        <v>359</v>
      </c>
      <c r="Q883" s="14">
        <f t="shared" si="13"/>
        <v>26368.87</v>
      </c>
      <c r="R883" s="14">
        <v>26727.87</v>
      </c>
      <c r="S883" s="14" t="s">
        <v>33</v>
      </c>
      <c r="T883" s="14" t="s">
        <v>63</v>
      </c>
      <c r="U883" s="14" t="s">
        <v>70</v>
      </c>
      <c r="V883" s="14" t="s">
        <v>56</v>
      </c>
      <c r="W883" s="14" t="s">
        <v>57</v>
      </c>
      <c r="X883" s="14">
        <v>10</v>
      </c>
      <c r="Y883" s="14" t="s">
        <v>38</v>
      </c>
      <c r="Z883" s="14">
        <v>2</v>
      </c>
      <c r="AA883" s="14" t="s">
        <v>58</v>
      </c>
    </row>
    <row r="884" spans="1:27" x14ac:dyDescent="0.35">
      <c r="A884" s="14" t="s">
        <v>1536</v>
      </c>
      <c r="B884" s="15">
        <v>45782</v>
      </c>
      <c r="C884" s="14" t="s">
        <v>1537</v>
      </c>
      <c r="D884" s="14" t="s">
        <v>61</v>
      </c>
      <c r="E884" s="14" t="s">
        <v>29</v>
      </c>
      <c r="F884" s="14">
        <v>31</v>
      </c>
      <c r="G884" s="14" t="s">
        <v>44</v>
      </c>
      <c r="H884" s="14" t="s">
        <v>31</v>
      </c>
      <c r="I884" s="14" t="s">
        <v>44</v>
      </c>
      <c r="J884" s="14" t="s">
        <v>32</v>
      </c>
      <c r="K884" s="14">
        <v>5</v>
      </c>
      <c r="L884" s="14">
        <v>13845</v>
      </c>
      <c r="M884" s="14">
        <v>15</v>
      </c>
      <c r="N884" s="14">
        <v>10383.75</v>
      </c>
      <c r="O884" s="14">
        <v>10591.42</v>
      </c>
      <c r="P884" s="14">
        <v>169</v>
      </c>
      <c r="Q884" s="14">
        <f t="shared" si="13"/>
        <v>69432.679999999993</v>
      </c>
      <c r="R884" s="14">
        <v>69601.679999999993</v>
      </c>
      <c r="S884" s="14" t="s">
        <v>54</v>
      </c>
      <c r="T884" s="14" t="s">
        <v>63</v>
      </c>
      <c r="U884" s="14" t="s">
        <v>46</v>
      </c>
      <c r="V884" s="14" t="s">
        <v>36</v>
      </c>
      <c r="W884" s="14" t="s">
        <v>37</v>
      </c>
      <c r="X884" s="14">
        <v>10</v>
      </c>
      <c r="Y884" s="14" t="s">
        <v>38</v>
      </c>
      <c r="Z884" s="14">
        <v>5</v>
      </c>
      <c r="AA884" s="14" t="s">
        <v>47</v>
      </c>
    </row>
    <row r="885" spans="1:27" x14ac:dyDescent="0.35">
      <c r="A885" s="14" t="s">
        <v>1538</v>
      </c>
      <c r="B885" s="15">
        <v>46034</v>
      </c>
      <c r="C885" s="14" t="s">
        <v>1539</v>
      </c>
      <c r="D885" s="14" t="s">
        <v>89</v>
      </c>
      <c r="E885" s="14" t="s">
        <v>29</v>
      </c>
      <c r="F885" s="14">
        <v>19</v>
      </c>
      <c r="G885" s="14" t="s">
        <v>30</v>
      </c>
      <c r="H885" s="14" t="s">
        <v>31</v>
      </c>
      <c r="I885" s="14" t="s">
        <v>30</v>
      </c>
      <c r="J885" s="14" t="s">
        <v>112</v>
      </c>
      <c r="K885" s="14">
        <v>3</v>
      </c>
      <c r="L885" s="14">
        <v>39216</v>
      </c>
      <c r="M885" s="14">
        <v>20</v>
      </c>
      <c r="N885" s="14">
        <v>23529.599999999999</v>
      </c>
      <c r="O885" s="14">
        <v>16941.310000000001</v>
      </c>
      <c r="P885" s="14">
        <v>13</v>
      </c>
      <c r="Q885" s="14">
        <f t="shared" si="13"/>
        <v>111059.71</v>
      </c>
      <c r="R885" s="14">
        <v>111072.71</v>
      </c>
      <c r="S885" s="14" t="s">
        <v>33</v>
      </c>
      <c r="T885" s="14" t="s">
        <v>63</v>
      </c>
      <c r="U885" s="14" t="s">
        <v>103</v>
      </c>
      <c r="V885" s="14" t="s">
        <v>103</v>
      </c>
      <c r="W885" s="14" t="s">
        <v>57</v>
      </c>
      <c r="X885" s="14">
        <v>1</v>
      </c>
      <c r="Y885" s="14" t="s">
        <v>47</v>
      </c>
      <c r="Z885" s="14">
        <v>4</v>
      </c>
      <c r="AA885" s="14" t="s">
        <v>39</v>
      </c>
    </row>
    <row r="886" spans="1:27" x14ac:dyDescent="0.35">
      <c r="A886" s="14" t="s">
        <v>1540</v>
      </c>
      <c r="B886" s="15">
        <v>46101</v>
      </c>
      <c r="C886" s="14" t="s">
        <v>1541</v>
      </c>
      <c r="D886" s="14" t="s">
        <v>42</v>
      </c>
      <c r="E886" s="14" t="s">
        <v>43</v>
      </c>
      <c r="F886" s="14">
        <v>40</v>
      </c>
      <c r="G886" s="14" t="s">
        <v>51</v>
      </c>
      <c r="H886" s="14" t="s">
        <v>52</v>
      </c>
      <c r="I886" s="14" t="s">
        <v>51</v>
      </c>
      <c r="J886" s="14" t="s">
        <v>69</v>
      </c>
      <c r="K886" s="14">
        <v>5</v>
      </c>
      <c r="L886" s="14">
        <v>21764</v>
      </c>
      <c r="M886" s="14">
        <v>20</v>
      </c>
      <c r="N886" s="14">
        <v>21764</v>
      </c>
      <c r="O886" s="14">
        <v>15670.08</v>
      </c>
      <c r="P886" s="14">
        <v>260</v>
      </c>
      <c r="Q886" s="14">
        <f t="shared" si="13"/>
        <v>102726.08</v>
      </c>
      <c r="R886" s="14">
        <v>102986.08</v>
      </c>
      <c r="S886" s="14" t="s">
        <v>54</v>
      </c>
      <c r="T886" s="14" t="s">
        <v>34</v>
      </c>
      <c r="U886" s="14" t="s">
        <v>70</v>
      </c>
      <c r="V886" s="14" t="s">
        <v>56</v>
      </c>
      <c r="W886" s="14" t="s">
        <v>57</v>
      </c>
      <c r="X886" s="14">
        <v>2</v>
      </c>
      <c r="Y886" s="14" t="s">
        <v>47</v>
      </c>
      <c r="Z886" s="14">
        <v>4</v>
      </c>
      <c r="AA886" s="14" t="s">
        <v>39</v>
      </c>
    </row>
    <row r="887" spans="1:27" x14ac:dyDescent="0.35">
      <c r="A887" s="14" t="s">
        <v>1542</v>
      </c>
      <c r="B887" s="15">
        <v>45765</v>
      </c>
      <c r="C887" s="14" t="s">
        <v>577</v>
      </c>
      <c r="D887" s="14" t="s">
        <v>61</v>
      </c>
      <c r="E887" s="14" t="s">
        <v>29</v>
      </c>
      <c r="F887" s="14">
        <v>21</v>
      </c>
      <c r="G887" s="14" t="s">
        <v>139</v>
      </c>
      <c r="H887" s="14" t="s">
        <v>31</v>
      </c>
      <c r="I887" s="14" t="s">
        <v>139</v>
      </c>
      <c r="J887" s="14" t="s">
        <v>62</v>
      </c>
      <c r="K887" s="14">
        <v>1</v>
      </c>
      <c r="L887" s="14">
        <v>35662</v>
      </c>
      <c r="M887" s="14">
        <v>20</v>
      </c>
      <c r="N887" s="14">
        <v>7132.4</v>
      </c>
      <c r="O887" s="14">
        <v>5135.33</v>
      </c>
      <c r="P887" s="14">
        <v>390</v>
      </c>
      <c r="Q887" s="14">
        <f t="shared" si="13"/>
        <v>33664.93</v>
      </c>
      <c r="R887" s="14">
        <v>34054.93</v>
      </c>
      <c r="S887" s="14" t="s">
        <v>33</v>
      </c>
      <c r="T887" s="14" t="s">
        <v>63</v>
      </c>
      <c r="U887" s="14" t="s">
        <v>95</v>
      </c>
      <c r="V887" s="14" t="s">
        <v>96</v>
      </c>
      <c r="W887" s="14" t="s">
        <v>57</v>
      </c>
      <c r="X887" s="14">
        <v>5</v>
      </c>
      <c r="Y887" s="14" t="s">
        <v>47</v>
      </c>
      <c r="Z887" s="14">
        <v>3</v>
      </c>
      <c r="AA887" s="14" t="s">
        <v>47</v>
      </c>
    </row>
    <row r="888" spans="1:27" x14ac:dyDescent="0.35">
      <c r="A888" s="14" t="s">
        <v>1543</v>
      </c>
      <c r="B888" s="15">
        <v>46079</v>
      </c>
      <c r="C888" s="14" t="s">
        <v>1544</v>
      </c>
      <c r="D888" s="14" t="s">
        <v>108</v>
      </c>
      <c r="E888" s="14" t="s">
        <v>29</v>
      </c>
      <c r="F888" s="14">
        <v>26</v>
      </c>
      <c r="G888" s="14" t="s">
        <v>139</v>
      </c>
      <c r="H888" s="14" t="s">
        <v>31</v>
      </c>
      <c r="I888" s="14" t="s">
        <v>139</v>
      </c>
      <c r="J888" s="14" t="s">
        <v>125</v>
      </c>
      <c r="K888" s="14">
        <v>2</v>
      </c>
      <c r="L888" s="14">
        <v>32832</v>
      </c>
      <c r="M888" s="14">
        <v>10</v>
      </c>
      <c r="N888" s="14">
        <v>6566.4</v>
      </c>
      <c r="O888" s="14">
        <v>10637.57</v>
      </c>
      <c r="P888" s="14">
        <v>492</v>
      </c>
      <c r="Q888" s="14">
        <f t="shared" si="13"/>
        <v>69735.17</v>
      </c>
      <c r="R888" s="14">
        <v>70227.17</v>
      </c>
      <c r="S888" s="14" t="s">
        <v>45</v>
      </c>
      <c r="T888" s="14" t="s">
        <v>63</v>
      </c>
      <c r="U888" s="14" t="s">
        <v>103</v>
      </c>
      <c r="V888" s="14" t="s">
        <v>103</v>
      </c>
      <c r="W888" s="14" t="s">
        <v>57</v>
      </c>
      <c r="X888" s="14">
        <v>3</v>
      </c>
      <c r="Y888" s="14" t="s">
        <v>47</v>
      </c>
      <c r="Z888" s="14">
        <v>4</v>
      </c>
      <c r="AA888" s="14" t="s">
        <v>39</v>
      </c>
    </row>
    <row r="889" spans="1:27" x14ac:dyDescent="0.35">
      <c r="A889" s="14" t="s">
        <v>1545</v>
      </c>
      <c r="B889" s="15">
        <v>46043</v>
      </c>
      <c r="C889" s="14" t="s">
        <v>922</v>
      </c>
      <c r="D889" s="14" t="s">
        <v>108</v>
      </c>
      <c r="E889" s="14" t="s">
        <v>43</v>
      </c>
      <c r="F889" s="14">
        <v>51</v>
      </c>
      <c r="G889" s="14" t="s">
        <v>139</v>
      </c>
      <c r="H889" s="14" t="s">
        <v>31</v>
      </c>
      <c r="I889" s="14" t="s">
        <v>139</v>
      </c>
      <c r="J889" s="14" t="s">
        <v>62</v>
      </c>
      <c r="K889" s="14">
        <v>5</v>
      </c>
      <c r="L889" s="14">
        <v>42505</v>
      </c>
      <c r="M889" s="14">
        <v>15</v>
      </c>
      <c r="N889" s="14">
        <v>31878.75</v>
      </c>
      <c r="O889" s="14">
        <v>32516.32</v>
      </c>
      <c r="P889" s="14">
        <v>414</v>
      </c>
      <c r="Q889" s="14">
        <f t="shared" si="13"/>
        <v>213162.58</v>
      </c>
      <c r="R889" s="14">
        <v>213576.58</v>
      </c>
      <c r="S889" s="14" t="s">
        <v>45</v>
      </c>
      <c r="T889" s="14" t="s">
        <v>34</v>
      </c>
      <c r="U889" s="14" t="s">
        <v>35</v>
      </c>
      <c r="V889" s="14" t="s">
        <v>36</v>
      </c>
      <c r="W889" s="14" t="s">
        <v>37</v>
      </c>
      <c r="X889" s="14">
        <v>7</v>
      </c>
      <c r="Y889" s="14" t="s">
        <v>38</v>
      </c>
      <c r="Z889" s="14">
        <v>2</v>
      </c>
      <c r="AA889" s="14" t="s">
        <v>47</v>
      </c>
    </row>
    <row r="890" spans="1:27" x14ac:dyDescent="0.35">
      <c r="A890" s="14" t="s">
        <v>1546</v>
      </c>
      <c r="B890" s="15">
        <v>45814</v>
      </c>
      <c r="C890" s="14" t="s">
        <v>1088</v>
      </c>
      <c r="D890" s="14" t="s">
        <v>42</v>
      </c>
      <c r="E890" s="14" t="s">
        <v>29</v>
      </c>
      <c r="F890" s="14">
        <v>60</v>
      </c>
      <c r="G890" s="14" t="s">
        <v>30</v>
      </c>
      <c r="H890" s="14" t="s">
        <v>31</v>
      </c>
      <c r="I890" s="14" t="s">
        <v>30</v>
      </c>
      <c r="J890" s="14" t="s">
        <v>102</v>
      </c>
      <c r="K890" s="14">
        <v>4</v>
      </c>
      <c r="L890" s="14">
        <v>42685</v>
      </c>
      <c r="M890" s="14">
        <v>20</v>
      </c>
      <c r="N890" s="14">
        <v>34148</v>
      </c>
      <c r="O890" s="14">
        <v>24586.560000000001</v>
      </c>
      <c r="P890" s="14">
        <v>281</v>
      </c>
      <c r="Q890" s="14">
        <f t="shared" si="13"/>
        <v>161178.56</v>
      </c>
      <c r="R890" s="14">
        <v>161459.56</v>
      </c>
      <c r="S890" s="14" t="s">
        <v>54</v>
      </c>
      <c r="T890" s="14" t="s">
        <v>34</v>
      </c>
      <c r="U890" s="14" t="s">
        <v>70</v>
      </c>
      <c r="V890" s="14" t="s">
        <v>56</v>
      </c>
      <c r="W890" s="14" t="s">
        <v>57</v>
      </c>
      <c r="X890" s="14">
        <v>4</v>
      </c>
      <c r="Y890" s="14" t="s">
        <v>47</v>
      </c>
      <c r="Z890" s="14">
        <v>4</v>
      </c>
      <c r="AA890" s="14" t="s">
        <v>39</v>
      </c>
    </row>
    <row r="891" spans="1:27" x14ac:dyDescent="0.35">
      <c r="A891" s="14" t="s">
        <v>1547</v>
      </c>
      <c r="B891" s="15">
        <v>45969</v>
      </c>
      <c r="C891" s="14" t="s">
        <v>1548</v>
      </c>
      <c r="D891" s="14" t="s">
        <v>28</v>
      </c>
      <c r="E891" s="14" t="s">
        <v>29</v>
      </c>
      <c r="F891" s="14">
        <v>42</v>
      </c>
      <c r="G891" s="14" t="s">
        <v>94</v>
      </c>
      <c r="H891" s="14" t="s">
        <v>31</v>
      </c>
      <c r="I891" s="14" t="s">
        <v>94</v>
      </c>
      <c r="J891" s="14" t="s">
        <v>150</v>
      </c>
      <c r="K891" s="14">
        <v>4</v>
      </c>
      <c r="L891" s="14">
        <v>38588</v>
      </c>
      <c r="M891" s="14">
        <v>5</v>
      </c>
      <c r="N891" s="14">
        <v>7717.6</v>
      </c>
      <c r="O891" s="14">
        <v>26394.19</v>
      </c>
      <c r="P891" s="14">
        <v>304</v>
      </c>
      <c r="Q891" s="14">
        <f t="shared" si="13"/>
        <v>173028.59</v>
      </c>
      <c r="R891" s="14">
        <v>173332.59</v>
      </c>
      <c r="S891" s="14" t="s">
        <v>45</v>
      </c>
      <c r="T891" s="14" t="s">
        <v>34</v>
      </c>
      <c r="U891" s="14" t="s">
        <v>76</v>
      </c>
      <c r="V891" s="14" t="s">
        <v>77</v>
      </c>
      <c r="W891" s="14" t="s">
        <v>57</v>
      </c>
      <c r="X891" s="14">
        <v>10</v>
      </c>
      <c r="Y891" s="14" t="s">
        <v>47</v>
      </c>
      <c r="Z891" s="14">
        <v>3</v>
      </c>
      <c r="AA891" s="14" t="s">
        <v>58</v>
      </c>
    </row>
    <row r="892" spans="1:27" x14ac:dyDescent="0.35">
      <c r="A892" s="14" t="s">
        <v>1549</v>
      </c>
      <c r="B892" s="15">
        <v>45888</v>
      </c>
      <c r="C892" s="14" t="s">
        <v>141</v>
      </c>
      <c r="D892" s="14" t="s">
        <v>61</v>
      </c>
      <c r="E892" s="14" t="s">
        <v>43</v>
      </c>
      <c r="F892" s="14">
        <v>27</v>
      </c>
      <c r="G892" s="14" t="s">
        <v>44</v>
      </c>
      <c r="H892" s="14" t="s">
        <v>31</v>
      </c>
      <c r="I892" s="14" t="s">
        <v>44</v>
      </c>
      <c r="J892" s="14" t="s">
        <v>62</v>
      </c>
      <c r="K892" s="14">
        <v>4</v>
      </c>
      <c r="L892" s="14">
        <v>13547</v>
      </c>
      <c r="M892" s="14">
        <v>15</v>
      </c>
      <c r="N892" s="14">
        <v>8128.2</v>
      </c>
      <c r="O892" s="14">
        <v>8290.76</v>
      </c>
      <c r="P892" s="14">
        <v>303</v>
      </c>
      <c r="Q892" s="14">
        <f t="shared" si="13"/>
        <v>54350.559999999998</v>
      </c>
      <c r="R892" s="14">
        <v>54653.56</v>
      </c>
      <c r="S892" s="14" t="s">
        <v>33</v>
      </c>
      <c r="T892" s="14" t="s">
        <v>34</v>
      </c>
      <c r="U892" s="14" t="s">
        <v>103</v>
      </c>
      <c r="V892" s="14" t="s">
        <v>103</v>
      </c>
      <c r="W892" s="14" t="s">
        <v>57</v>
      </c>
      <c r="X892" s="14">
        <v>3</v>
      </c>
      <c r="Y892" s="14" t="s">
        <v>47</v>
      </c>
      <c r="Z892" s="14">
        <v>4</v>
      </c>
      <c r="AA892" s="14" t="s">
        <v>39</v>
      </c>
    </row>
    <row r="893" spans="1:27" x14ac:dyDescent="0.35">
      <c r="A893" s="14" t="s">
        <v>1550</v>
      </c>
      <c r="B893" s="15">
        <v>45886</v>
      </c>
      <c r="C893" s="14" t="s">
        <v>807</v>
      </c>
      <c r="D893" s="14" t="s">
        <v>28</v>
      </c>
      <c r="E893" s="14" t="s">
        <v>43</v>
      </c>
      <c r="F893" s="14">
        <v>53</v>
      </c>
      <c r="G893" s="14" t="s">
        <v>99</v>
      </c>
      <c r="H893" s="14" t="s">
        <v>52</v>
      </c>
      <c r="I893" s="14" t="s">
        <v>99</v>
      </c>
      <c r="J893" s="14" t="s">
        <v>62</v>
      </c>
      <c r="K893" s="14">
        <v>3</v>
      </c>
      <c r="L893" s="14">
        <v>21239</v>
      </c>
      <c r="M893" s="14">
        <v>0</v>
      </c>
      <c r="N893" s="14">
        <v>0</v>
      </c>
      <c r="O893" s="14">
        <v>11469.06</v>
      </c>
      <c r="P893" s="14">
        <v>442</v>
      </c>
      <c r="Q893" s="14">
        <f t="shared" si="13"/>
        <v>75186.06</v>
      </c>
      <c r="R893" s="14">
        <v>75628.06</v>
      </c>
      <c r="S893" s="14" t="s">
        <v>45</v>
      </c>
      <c r="T893" s="14" t="s">
        <v>34</v>
      </c>
      <c r="U893" s="14" t="s">
        <v>76</v>
      </c>
      <c r="V893" s="14" t="s">
        <v>77</v>
      </c>
      <c r="W893" s="14" t="s">
        <v>57</v>
      </c>
      <c r="X893" s="14">
        <v>2</v>
      </c>
      <c r="Y893" s="14" t="s">
        <v>47</v>
      </c>
      <c r="Z893" s="14">
        <v>3</v>
      </c>
      <c r="AA893" s="14" t="s">
        <v>91</v>
      </c>
    </row>
    <row r="894" spans="1:27" x14ac:dyDescent="0.35">
      <c r="A894" s="14" t="s">
        <v>1551</v>
      </c>
      <c r="B894" s="15">
        <v>45794</v>
      </c>
      <c r="C894" s="14" t="s">
        <v>485</v>
      </c>
      <c r="D894" s="14" t="s">
        <v>111</v>
      </c>
      <c r="E894" s="14" t="s">
        <v>43</v>
      </c>
      <c r="F894" s="14">
        <v>31</v>
      </c>
      <c r="G894" s="14" t="s">
        <v>44</v>
      </c>
      <c r="H894" s="14" t="s">
        <v>31</v>
      </c>
      <c r="I894" s="14" t="s">
        <v>44</v>
      </c>
      <c r="J894" s="14" t="s">
        <v>53</v>
      </c>
      <c r="K894" s="14">
        <v>5</v>
      </c>
      <c r="L894" s="14">
        <v>29270</v>
      </c>
      <c r="M894" s="14">
        <v>5</v>
      </c>
      <c r="N894" s="14">
        <v>7317.5</v>
      </c>
      <c r="O894" s="14">
        <v>25025.85</v>
      </c>
      <c r="P894" s="14">
        <v>96</v>
      </c>
      <c r="Q894" s="14">
        <f t="shared" si="13"/>
        <v>164058.35</v>
      </c>
      <c r="R894" s="14">
        <v>164154.35</v>
      </c>
      <c r="S894" s="14" t="s">
        <v>33</v>
      </c>
      <c r="T894" s="14" t="s">
        <v>34</v>
      </c>
      <c r="U894" s="14" t="s">
        <v>55</v>
      </c>
      <c r="V894" s="14" t="s">
        <v>56</v>
      </c>
      <c r="W894" s="14" t="s">
        <v>57</v>
      </c>
      <c r="X894" s="14">
        <v>3</v>
      </c>
      <c r="Y894" s="14" t="s">
        <v>47</v>
      </c>
      <c r="Z894" s="14">
        <v>5</v>
      </c>
      <c r="AA894" s="14" t="s">
        <v>58</v>
      </c>
    </row>
    <row r="895" spans="1:27" x14ac:dyDescent="0.35">
      <c r="A895" s="14" t="s">
        <v>1552</v>
      </c>
      <c r="B895" s="15">
        <v>46089</v>
      </c>
      <c r="C895" s="14" t="s">
        <v>232</v>
      </c>
      <c r="D895" s="14" t="s">
        <v>42</v>
      </c>
      <c r="E895" s="14" t="s">
        <v>29</v>
      </c>
      <c r="F895" s="14">
        <v>50</v>
      </c>
      <c r="G895" s="14" t="s">
        <v>134</v>
      </c>
      <c r="H895" s="14" t="s">
        <v>31</v>
      </c>
      <c r="I895" s="14" t="s">
        <v>134</v>
      </c>
      <c r="J895" s="14" t="s">
        <v>112</v>
      </c>
      <c r="K895" s="14">
        <v>2</v>
      </c>
      <c r="L895" s="14">
        <v>21419</v>
      </c>
      <c r="M895" s="14">
        <v>5</v>
      </c>
      <c r="N895" s="14">
        <v>2141.9</v>
      </c>
      <c r="O895" s="14">
        <v>7325.3</v>
      </c>
      <c r="P895" s="14">
        <v>117</v>
      </c>
      <c r="Q895" s="14">
        <f t="shared" si="13"/>
        <v>48021.4</v>
      </c>
      <c r="R895" s="14">
        <v>48138.400000000001</v>
      </c>
      <c r="S895" s="14" t="s">
        <v>45</v>
      </c>
      <c r="T895" s="14" t="s">
        <v>34</v>
      </c>
      <c r="U895" s="14" t="s">
        <v>70</v>
      </c>
      <c r="V895" s="14" t="s">
        <v>56</v>
      </c>
      <c r="W895" s="14" t="s">
        <v>57</v>
      </c>
      <c r="X895" s="14">
        <v>4</v>
      </c>
      <c r="Y895" s="14" t="s">
        <v>38</v>
      </c>
      <c r="Z895" s="14">
        <v>5</v>
      </c>
      <c r="AA895" s="14" t="s">
        <v>58</v>
      </c>
    </row>
    <row r="896" spans="1:27" x14ac:dyDescent="0.35">
      <c r="A896" s="14" t="s">
        <v>1553</v>
      </c>
      <c r="B896" s="15">
        <v>46025</v>
      </c>
      <c r="C896" s="14" t="s">
        <v>1554</v>
      </c>
      <c r="D896" s="14" t="s">
        <v>28</v>
      </c>
      <c r="E896" s="14" t="s">
        <v>43</v>
      </c>
      <c r="F896" s="14">
        <v>32</v>
      </c>
      <c r="G896" s="14" t="s">
        <v>51</v>
      </c>
      <c r="H896" s="14" t="s">
        <v>52</v>
      </c>
      <c r="I896" s="14" t="s">
        <v>51</v>
      </c>
      <c r="J896" s="14" t="s">
        <v>75</v>
      </c>
      <c r="K896" s="14">
        <v>1</v>
      </c>
      <c r="L896" s="14">
        <v>49049</v>
      </c>
      <c r="M896" s="14">
        <v>0</v>
      </c>
      <c r="N896" s="14">
        <v>0</v>
      </c>
      <c r="O896" s="14">
        <v>8828.82</v>
      </c>
      <c r="P896" s="14">
        <v>224</v>
      </c>
      <c r="Q896" s="14">
        <f t="shared" si="13"/>
        <v>57877.82</v>
      </c>
      <c r="R896" s="14">
        <v>58101.82</v>
      </c>
      <c r="S896" s="14" t="s">
        <v>45</v>
      </c>
      <c r="T896" s="14" t="s">
        <v>63</v>
      </c>
      <c r="U896" s="14" t="s">
        <v>55</v>
      </c>
      <c r="V896" s="14" t="s">
        <v>56</v>
      </c>
      <c r="W896" s="14" t="s">
        <v>57</v>
      </c>
      <c r="X896" s="14">
        <v>5</v>
      </c>
      <c r="Y896" s="14" t="s">
        <v>47</v>
      </c>
      <c r="Z896" s="14">
        <v>1</v>
      </c>
      <c r="AA896" s="14" t="s">
        <v>39</v>
      </c>
    </row>
    <row r="897" spans="1:27" x14ac:dyDescent="0.35">
      <c r="A897" s="14" t="s">
        <v>1555</v>
      </c>
      <c r="B897" s="15">
        <v>46011</v>
      </c>
      <c r="C897" s="14" t="s">
        <v>448</v>
      </c>
      <c r="D897" s="14" t="s">
        <v>108</v>
      </c>
      <c r="E897" s="14" t="s">
        <v>43</v>
      </c>
      <c r="F897" s="14">
        <v>19</v>
      </c>
      <c r="G897" s="14" t="s">
        <v>90</v>
      </c>
      <c r="H897" s="14" t="s">
        <v>31</v>
      </c>
      <c r="I897" s="14" t="s">
        <v>90</v>
      </c>
      <c r="J897" s="14" t="s">
        <v>102</v>
      </c>
      <c r="K897" s="14">
        <v>3</v>
      </c>
      <c r="L897" s="14">
        <v>49307</v>
      </c>
      <c r="M897" s="14">
        <v>5</v>
      </c>
      <c r="N897" s="14">
        <v>7396.05</v>
      </c>
      <c r="O897" s="14">
        <v>25294.49</v>
      </c>
      <c r="P897" s="14">
        <v>113</v>
      </c>
      <c r="Q897" s="14">
        <f t="shared" si="13"/>
        <v>165819.44</v>
      </c>
      <c r="R897" s="14">
        <v>165932.44</v>
      </c>
      <c r="S897" s="14" t="s">
        <v>54</v>
      </c>
      <c r="T897" s="14" t="s">
        <v>34</v>
      </c>
      <c r="U897" s="14" t="s">
        <v>76</v>
      </c>
      <c r="V897" s="14" t="s">
        <v>77</v>
      </c>
      <c r="W897" s="14" t="s">
        <v>57</v>
      </c>
      <c r="X897" s="14">
        <v>8</v>
      </c>
      <c r="Y897" s="14" t="s">
        <v>38</v>
      </c>
      <c r="Z897" s="14">
        <v>3</v>
      </c>
      <c r="AA897" s="14" t="s">
        <v>39</v>
      </c>
    </row>
    <row r="898" spans="1:27" x14ac:dyDescent="0.35">
      <c r="A898" s="14" t="s">
        <v>1556</v>
      </c>
      <c r="B898" s="15">
        <v>45864</v>
      </c>
      <c r="C898" s="14" t="s">
        <v>1033</v>
      </c>
      <c r="D898" s="14" t="s">
        <v>42</v>
      </c>
      <c r="E898" s="14" t="s">
        <v>43</v>
      </c>
      <c r="F898" s="14">
        <v>50</v>
      </c>
      <c r="G898" s="14" t="s">
        <v>30</v>
      </c>
      <c r="H898" s="14" t="s">
        <v>31</v>
      </c>
      <c r="I898" s="14" t="s">
        <v>30</v>
      </c>
      <c r="J898" s="14" t="s">
        <v>53</v>
      </c>
      <c r="K898" s="14">
        <v>1</v>
      </c>
      <c r="L898" s="14">
        <v>16899</v>
      </c>
      <c r="M898" s="14">
        <v>15</v>
      </c>
      <c r="N898" s="14">
        <v>2534.85</v>
      </c>
      <c r="O898" s="14">
        <v>2585.5500000000002</v>
      </c>
      <c r="P898" s="14">
        <v>2</v>
      </c>
      <c r="Q898" s="14">
        <f t="shared" si="13"/>
        <v>16949.7</v>
      </c>
      <c r="R898" s="14">
        <v>16951.7</v>
      </c>
      <c r="S898" s="14" t="s">
        <v>54</v>
      </c>
      <c r="T898" s="14" t="s">
        <v>34</v>
      </c>
      <c r="U898" s="14" t="s">
        <v>70</v>
      </c>
      <c r="V898" s="14" t="s">
        <v>56</v>
      </c>
      <c r="W898" s="14" t="s">
        <v>57</v>
      </c>
      <c r="X898" s="14">
        <v>10</v>
      </c>
      <c r="Y898" s="14" t="s">
        <v>38</v>
      </c>
      <c r="Z898" s="14">
        <v>4</v>
      </c>
      <c r="AA898" s="14" t="s">
        <v>39</v>
      </c>
    </row>
    <row r="899" spans="1:27" x14ac:dyDescent="0.35">
      <c r="A899" s="14" t="s">
        <v>1557</v>
      </c>
      <c r="B899" s="15">
        <v>45842</v>
      </c>
      <c r="C899" s="14" t="s">
        <v>49</v>
      </c>
      <c r="D899" s="14" t="s">
        <v>61</v>
      </c>
      <c r="E899" s="14" t="s">
        <v>43</v>
      </c>
      <c r="F899" s="14">
        <v>30</v>
      </c>
      <c r="G899" s="14" t="s">
        <v>99</v>
      </c>
      <c r="H899" s="14" t="s">
        <v>52</v>
      </c>
      <c r="I899" s="14" t="s">
        <v>99</v>
      </c>
      <c r="J899" s="14" t="s">
        <v>62</v>
      </c>
      <c r="K899" s="14">
        <v>3</v>
      </c>
      <c r="L899" s="14">
        <v>48086</v>
      </c>
      <c r="M899" s="14">
        <v>5</v>
      </c>
      <c r="N899" s="14">
        <v>7212.9</v>
      </c>
      <c r="O899" s="14">
        <v>24668.12</v>
      </c>
      <c r="P899" s="14">
        <v>82</v>
      </c>
      <c r="Q899" s="14">
        <f t="shared" ref="Q899:Q962" si="14">R899-P899</f>
        <v>161713.22</v>
      </c>
      <c r="R899" s="14">
        <v>161795.22</v>
      </c>
      <c r="S899" s="14" t="s">
        <v>83</v>
      </c>
      <c r="T899" s="14" t="s">
        <v>63</v>
      </c>
      <c r="U899" s="14" t="s">
        <v>46</v>
      </c>
      <c r="V899" s="14" t="s">
        <v>36</v>
      </c>
      <c r="W899" s="14" t="s">
        <v>37</v>
      </c>
      <c r="X899" s="14">
        <v>6</v>
      </c>
      <c r="Y899" s="14" t="s">
        <v>47</v>
      </c>
      <c r="Z899" s="14">
        <v>1</v>
      </c>
      <c r="AA899" s="14" t="s">
        <v>91</v>
      </c>
    </row>
    <row r="900" spans="1:27" x14ac:dyDescent="0.35">
      <c r="A900" s="14" t="s">
        <v>1558</v>
      </c>
      <c r="B900" s="15">
        <v>45859</v>
      </c>
      <c r="C900" s="14" t="s">
        <v>900</v>
      </c>
      <c r="D900" s="14" t="s">
        <v>80</v>
      </c>
      <c r="E900" s="14" t="s">
        <v>43</v>
      </c>
      <c r="F900" s="14">
        <v>59</v>
      </c>
      <c r="G900" s="14" t="s">
        <v>94</v>
      </c>
      <c r="H900" s="14" t="s">
        <v>31</v>
      </c>
      <c r="I900" s="14" t="s">
        <v>94</v>
      </c>
      <c r="J900" s="14" t="s">
        <v>112</v>
      </c>
      <c r="K900" s="14">
        <v>2</v>
      </c>
      <c r="L900" s="14">
        <v>39784</v>
      </c>
      <c r="M900" s="14">
        <v>10</v>
      </c>
      <c r="N900" s="14">
        <v>7956.8</v>
      </c>
      <c r="O900" s="14">
        <v>12890.02</v>
      </c>
      <c r="P900" s="14">
        <v>184</v>
      </c>
      <c r="Q900" s="14">
        <f t="shared" si="14"/>
        <v>84501.22</v>
      </c>
      <c r="R900" s="14">
        <v>84685.22</v>
      </c>
      <c r="S900" s="14" t="s">
        <v>45</v>
      </c>
      <c r="T900" s="14" t="s">
        <v>63</v>
      </c>
      <c r="U900" s="14" t="s">
        <v>46</v>
      </c>
      <c r="V900" s="14" t="s">
        <v>36</v>
      </c>
      <c r="W900" s="14" t="s">
        <v>37</v>
      </c>
      <c r="X900" s="14">
        <v>6</v>
      </c>
      <c r="Y900" s="14" t="s">
        <v>38</v>
      </c>
      <c r="Z900" s="14">
        <v>3</v>
      </c>
      <c r="AA900" s="14" t="s">
        <v>91</v>
      </c>
    </row>
    <row r="901" spans="1:27" x14ac:dyDescent="0.35">
      <c r="A901" s="14" t="s">
        <v>1559</v>
      </c>
      <c r="B901" s="15">
        <v>45791</v>
      </c>
      <c r="C901" s="14" t="s">
        <v>1560</v>
      </c>
      <c r="D901" s="14" t="s">
        <v>42</v>
      </c>
      <c r="E901" s="14" t="s">
        <v>29</v>
      </c>
      <c r="F901" s="14">
        <v>58</v>
      </c>
      <c r="G901" s="14" t="s">
        <v>134</v>
      </c>
      <c r="H901" s="14" t="s">
        <v>31</v>
      </c>
      <c r="I901" s="14" t="s">
        <v>134</v>
      </c>
      <c r="J901" s="14" t="s">
        <v>125</v>
      </c>
      <c r="K901" s="14">
        <v>1</v>
      </c>
      <c r="L901" s="14">
        <v>17849</v>
      </c>
      <c r="M901" s="14">
        <v>15</v>
      </c>
      <c r="N901" s="14">
        <v>2677.35</v>
      </c>
      <c r="O901" s="14">
        <v>2730.9</v>
      </c>
      <c r="P901" s="14">
        <v>268</v>
      </c>
      <c r="Q901" s="14">
        <f t="shared" si="14"/>
        <v>17902.55</v>
      </c>
      <c r="R901" s="14">
        <v>18170.55</v>
      </c>
      <c r="S901" s="14" t="s">
        <v>83</v>
      </c>
      <c r="T901" s="14" t="s">
        <v>63</v>
      </c>
      <c r="U901" s="14" t="s">
        <v>46</v>
      </c>
      <c r="V901" s="14" t="s">
        <v>36</v>
      </c>
      <c r="W901" s="14" t="s">
        <v>37</v>
      </c>
      <c r="X901" s="14">
        <v>3</v>
      </c>
      <c r="Y901" s="14" t="s">
        <v>38</v>
      </c>
      <c r="Z901" s="14">
        <v>4</v>
      </c>
      <c r="AA901" s="14" t="s">
        <v>91</v>
      </c>
    </row>
    <row r="902" spans="1:27" x14ac:dyDescent="0.35">
      <c r="A902" s="14" t="s">
        <v>1561</v>
      </c>
      <c r="B902" s="15">
        <v>46037</v>
      </c>
      <c r="C902" s="14" t="s">
        <v>364</v>
      </c>
      <c r="D902" s="14" t="s">
        <v>42</v>
      </c>
      <c r="E902" s="14" t="s">
        <v>29</v>
      </c>
      <c r="F902" s="14">
        <v>18</v>
      </c>
      <c r="G902" s="14" t="s">
        <v>51</v>
      </c>
      <c r="H902" s="14" t="s">
        <v>52</v>
      </c>
      <c r="I902" s="14" t="s">
        <v>51</v>
      </c>
      <c r="J902" s="14" t="s">
        <v>102</v>
      </c>
      <c r="K902" s="14">
        <v>4</v>
      </c>
      <c r="L902" s="14">
        <v>22659</v>
      </c>
      <c r="M902" s="14">
        <v>15</v>
      </c>
      <c r="N902" s="14">
        <v>13595.4</v>
      </c>
      <c r="O902" s="14">
        <v>13867.31</v>
      </c>
      <c r="P902" s="14">
        <v>374</v>
      </c>
      <c r="Q902" s="14">
        <f t="shared" si="14"/>
        <v>90907.91</v>
      </c>
      <c r="R902" s="14">
        <v>91281.91</v>
      </c>
      <c r="S902" s="14" t="s">
        <v>33</v>
      </c>
      <c r="T902" s="14" t="s">
        <v>34</v>
      </c>
      <c r="U902" s="14" t="s">
        <v>55</v>
      </c>
      <c r="V902" s="14" t="s">
        <v>56</v>
      </c>
      <c r="W902" s="14" t="s">
        <v>57</v>
      </c>
      <c r="X902" s="14">
        <v>6</v>
      </c>
      <c r="Y902" s="14" t="s">
        <v>47</v>
      </c>
      <c r="Z902" s="14">
        <v>5</v>
      </c>
      <c r="AA902" s="14" t="s">
        <v>91</v>
      </c>
    </row>
    <row r="903" spans="1:27" x14ac:dyDescent="0.35">
      <c r="A903" s="14" t="s">
        <v>1562</v>
      </c>
      <c r="B903" s="15">
        <v>46010</v>
      </c>
      <c r="C903" s="14" t="s">
        <v>687</v>
      </c>
      <c r="D903" s="14" t="s">
        <v>80</v>
      </c>
      <c r="E903" s="14" t="s">
        <v>29</v>
      </c>
      <c r="F903" s="14">
        <v>32</v>
      </c>
      <c r="G903" s="14" t="s">
        <v>90</v>
      </c>
      <c r="H903" s="14" t="s">
        <v>31</v>
      </c>
      <c r="I903" s="14" t="s">
        <v>90</v>
      </c>
      <c r="J903" s="14" t="s">
        <v>32</v>
      </c>
      <c r="K903" s="14">
        <v>4</v>
      </c>
      <c r="L903" s="14">
        <v>34273</v>
      </c>
      <c r="M903" s="14">
        <v>0</v>
      </c>
      <c r="N903" s="14">
        <v>0</v>
      </c>
      <c r="O903" s="14">
        <v>24676.560000000001</v>
      </c>
      <c r="P903" s="14">
        <v>420</v>
      </c>
      <c r="Q903" s="14">
        <f t="shared" si="14"/>
        <v>161768.56</v>
      </c>
      <c r="R903" s="14">
        <v>162188.56</v>
      </c>
      <c r="S903" s="14" t="s">
        <v>83</v>
      </c>
      <c r="T903" s="14" t="s">
        <v>63</v>
      </c>
      <c r="U903" s="14" t="s">
        <v>84</v>
      </c>
      <c r="V903" s="14" t="s">
        <v>85</v>
      </c>
      <c r="W903" s="14" t="s">
        <v>86</v>
      </c>
      <c r="X903" s="14">
        <v>10</v>
      </c>
      <c r="Y903" s="14" t="s">
        <v>47</v>
      </c>
      <c r="Z903" s="14">
        <v>2</v>
      </c>
      <c r="AA903" s="14" t="s">
        <v>47</v>
      </c>
    </row>
    <row r="904" spans="1:27" x14ac:dyDescent="0.35">
      <c r="A904" s="14" t="s">
        <v>1563</v>
      </c>
      <c r="B904" s="15">
        <v>46044</v>
      </c>
      <c r="C904" s="14" t="s">
        <v>1156</v>
      </c>
      <c r="D904" s="14" t="s">
        <v>111</v>
      </c>
      <c r="E904" s="14" t="s">
        <v>43</v>
      </c>
      <c r="F904" s="14">
        <v>26</v>
      </c>
      <c r="G904" s="14" t="s">
        <v>51</v>
      </c>
      <c r="H904" s="14" t="s">
        <v>52</v>
      </c>
      <c r="I904" s="14" t="s">
        <v>51</v>
      </c>
      <c r="J904" s="14" t="s">
        <v>32</v>
      </c>
      <c r="K904" s="14">
        <v>1</v>
      </c>
      <c r="L904" s="14">
        <v>5894</v>
      </c>
      <c r="M904" s="14">
        <v>20</v>
      </c>
      <c r="N904" s="14">
        <v>1178.8</v>
      </c>
      <c r="O904" s="14">
        <v>848.74</v>
      </c>
      <c r="P904" s="14">
        <v>203</v>
      </c>
      <c r="Q904" s="14">
        <f t="shared" si="14"/>
        <v>5563.94</v>
      </c>
      <c r="R904" s="14">
        <v>5766.94</v>
      </c>
      <c r="S904" s="14" t="s">
        <v>54</v>
      </c>
      <c r="T904" s="14" t="s">
        <v>63</v>
      </c>
      <c r="U904" s="14" t="s">
        <v>103</v>
      </c>
      <c r="V904" s="14" t="s">
        <v>103</v>
      </c>
      <c r="W904" s="14" t="s">
        <v>57</v>
      </c>
      <c r="X904" s="14">
        <v>10</v>
      </c>
      <c r="Y904" s="14" t="s">
        <v>38</v>
      </c>
      <c r="Z904" s="14">
        <v>2</v>
      </c>
      <c r="AA904" s="14" t="s">
        <v>39</v>
      </c>
    </row>
    <row r="905" spans="1:27" x14ac:dyDescent="0.35">
      <c r="A905" s="14" t="s">
        <v>1564</v>
      </c>
      <c r="B905" s="15">
        <v>46105</v>
      </c>
      <c r="C905" s="14" t="s">
        <v>1565</v>
      </c>
      <c r="D905" s="14" t="s">
        <v>80</v>
      </c>
      <c r="E905" s="14" t="s">
        <v>43</v>
      </c>
      <c r="F905" s="14">
        <v>53</v>
      </c>
      <c r="G905" s="14" t="s">
        <v>44</v>
      </c>
      <c r="H905" s="14" t="s">
        <v>31</v>
      </c>
      <c r="I905" s="14" t="s">
        <v>44</v>
      </c>
      <c r="J905" s="14" t="s">
        <v>53</v>
      </c>
      <c r="K905" s="14">
        <v>5</v>
      </c>
      <c r="L905" s="14">
        <v>31840</v>
      </c>
      <c r="M905" s="14">
        <v>20</v>
      </c>
      <c r="N905" s="14">
        <v>31840</v>
      </c>
      <c r="O905" s="14">
        <v>22924.799999999999</v>
      </c>
      <c r="P905" s="14">
        <v>434</v>
      </c>
      <c r="Q905" s="14">
        <f t="shared" si="14"/>
        <v>150284.79999999999</v>
      </c>
      <c r="R905" s="14">
        <v>150718.79999999999</v>
      </c>
      <c r="S905" s="14" t="s">
        <v>54</v>
      </c>
      <c r="T905" s="14" t="s">
        <v>34</v>
      </c>
      <c r="U905" s="14" t="s">
        <v>76</v>
      </c>
      <c r="V905" s="14" t="s">
        <v>77</v>
      </c>
      <c r="W905" s="14" t="s">
        <v>57</v>
      </c>
      <c r="X905" s="14">
        <v>7</v>
      </c>
      <c r="Y905" s="14" t="s">
        <v>38</v>
      </c>
      <c r="Z905" s="14">
        <v>1</v>
      </c>
      <c r="AA905" s="14" t="s">
        <v>47</v>
      </c>
    </row>
    <row r="906" spans="1:27" x14ac:dyDescent="0.35">
      <c r="A906" s="14" t="s">
        <v>1566</v>
      </c>
      <c r="B906" s="15">
        <v>45961</v>
      </c>
      <c r="C906" s="14" t="s">
        <v>1567</v>
      </c>
      <c r="D906" s="14" t="s">
        <v>80</v>
      </c>
      <c r="E906" s="14" t="s">
        <v>43</v>
      </c>
      <c r="F906" s="14">
        <v>44</v>
      </c>
      <c r="G906" s="14" t="s">
        <v>67</v>
      </c>
      <c r="H906" s="14" t="s">
        <v>68</v>
      </c>
      <c r="I906" s="14" t="s">
        <v>67</v>
      </c>
      <c r="J906" s="14" t="s">
        <v>32</v>
      </c>
      <c r="K906" s="14">
        <v>1</v>
      </c>
      <c r="L906" s="14">
        <v>3751</v>
      </c>
      <c r="M906" s="14">
        <v>10</v>
      </c>
      <c r="N906" s="14">
        <v>375.1</v>
      </c>
      <c r="O906" s="14">
        <v>607.66</v>
      </c>
      <c r="P906" s="14">
        <v>21</v>
      </c>
      <c r="Q906" s="14">
        <f t="shared" si="14"/>
        <v>3983.56</v>
      </c>
      <c r="R906" s="14">
        <v>4004.56</v>
      </c>
      <c r="S906" s="14" t="s">
        <v>54</v>
      </c>
      <c r="T906" s="14" t="s">
        <v>63</v>
      </c>
      <c r="U906" s="14" t="s">
        <v>95</v>
      </c>
      <c r="V906" s="14" t="s">
        <v>96</v>
      </c>
      <c r="W906" s="14" t="s">
        <v>57</v>
      </c>
      <c r="X906" s="14">
        <v>6</v>
      </c>
      <c r="Y906" s="14" t="s">
        <v>47</v>
      </c>
      <c r="Z906" s="14">
        <v>5</v>
      </c>
      <c r="AA906" s="14" t="s">
        <v>39</v>
      </c>
    </row>
    <row r="907" spans="1:27" x14ac:dyDescent="0.35">
      <c r="A907" s="14" t="s">
        <v>1568</v>
      </c>
      <c r="B907" s="15">
        <v>45832</v>
      </c>
      <c r="C907" s="14" t="s">
        <v>1246</v>
      </c>
      <c r="D907" s="14" t="s">
        <v>42</v>
      </c>
      <c r="E907" s="14" t="s">
        <v>29</v>
      </c>
      <c r="F907" s="14">
        <v>43</v>
      </c>
      <c r="G907" s="14" t="s">
        <v>30</v>
      </c>
      <c r="H907" s="14" t="s">
        <v>31</v>
      </c>
      <c r="I907" s="14" t="s">
        <v>30</v>
      </c>
      <c r="J907" s="14" t="s">
        <v>62</v>
      </c>
      <c r="K907" s="14">
        <v>1</v>
      </c>
      <c r="L907" s="14">
        <v>9225</v>
      </c>
      <c r="M907" s="14">
        <v>5</v>
      </c>
      <c r="N907" s="14">
        <v>461.25</v>
      </c>
      <c r="O907" s="14">
        <v>1577.47</v>
      </c>
      <c r="P907" s="14">
        <v>455</v>
      </c>
      <c r="Q907" s="14">
        <f t="shared" si="14"/>
        <v>10341.23</v>
      </c>
      <c r="R907" s="14">
        <v>10796.23</v>
      </c>
      <c r="S907" s="14" t="s">
        <v>33</v>
      </c>
      <c r="T907" s="14" t="s">
        <v>34</v>
      </c>
      <c r="U907" s="14" t="s">
        <v>95</v>
      </c>
      <c r="V907" s="14" t="s">
        <v>96</v>
      </c>
      <c r="W907" s="14" t="s">
        <v>57</v>
      </c>
      <c r="X907" s="14">
        <v>1</v>
      </c>
      <c r="Y907" s="14" t="s">
        <v>47</v>
      </c>
      <c r="Z907" s="14">
        <v>3</v>
      </c>
      <c r="AA907" s="14" t="s">
        <v>91</v>
      </c>
    </row>
    <row r="908" spans="1:27" x14ac:dyDescent="0.35">
      <c r="A908" s="14" t="s">
        <v>1569</v>
      </c>
      <c r="B908" s="15">
        <v>45945</v>
      </c>
      <c r="C908" s="14" t="s">
        <v>1432</v>
      </c>
      <c r="D908" s="14" t="s">
        <v>111</v>
      </c>
      <c r="E908" s="14" t="s">
        <v>43</v>
      </c>
      <c r="F908" s="14">
        <v>44</v>
      </c>
      <c r="G908" s="14" t="s">
        <v>134</v>
      </c>
      <c r="H908" s="14" t="s">
        <v>31</v>
      </c>
      <c r="I908" s="14" t="s">
        <v>134</v>
      </c>
      <c r="J908" s="14" t="s">
        <v>102</v>
      </c>
      <c r="K908" s="14">
        <v>1</v>
      </c>
      <c r="L908" s="14">
        <v>6372</v>
      </c>
      <c r="M908" s="14">
        <v>0</v>
      </c>
      <c r="N908" s="14">
        <v>0</v>
      </c>
      <c r="O908" s="14">
        <v>1146.96</v>
      </c>
      <c r="P908" s="14">
        <v>422</v>
      </c>
      <c r="Q908" s="14">
        <f t="shared" si="14"/>
        <v>7518.96</v>
      </c>
      <c r="R908" s="14">
        <v>7940.96</v>
      </c>
      <c r="S908" s="14" t="s">
        <v>54</v>
      </c>
      <c r="T908" s="14" t="s">
        <v>34</v>
      </c>
      <c r="U908" s="14" t="s">
        <v>46</v>
      </c>
      <c r="V908" s="14" t="s">
        <v>36</v>
      </c>
      <c r="W908" s="14" t="s">
        <v>37</v>
      </c>
      <c r="X908" s="14">
        <v>8</v>
      </c>
      <c r="Y908" s="14" t="s">
        <v>38</v>
      </c>
      <c r="Z908" s="14">
        <v>1</v>
      </c>
      <c r="AA908" s="14" t="s">
        <v>91</v>
      </c>
    </row>
    <row r="909" spans="1:27" x14ac:dyDescent="0.35">
      <c r="A909" s="14" t="s">
        <v>1570</v>
      </c>
      <c r="B909" s="15">
        <v>45984</v>
      </c>
      <c r="C909" s="14" t="s">
        <v>1571</v>
      </c>
      <c r="D909" s="14" t="s">
        <v>73</v>
      </c>
      <c r="E909" s="14" t="s">
        <v>29</v>
      </c>
      <c r="F909" s="14">
        <v>24</v>
      </c>
      <c r="G909" s="14" t="s">
        <v>51</v>
      </c>
      <c r="H909" s="14" t="s">
        <v>52</v>
      </c>
      <c r="I909" s="14" t="s">
        <v>51</v>
      </c>
      <c r="J909" s="14" t="s">
        <v>32</v>
      </c>
      <c r="K909" s="14">
        <v>5</v>
      </c>
      <c r="L909" s="14">
        <v>49982</v>
      </c>
      <c r="M909" s="14">
        <v>10</v>
      </c>
      <c r="N909" s="14">
        <v>24991</v>
      </c>
      <c r="O909" s="14">
        <v>40485.42</v>
      </c>
      <c r="P909" s="14">
        <v>205</v>
      </c>
      <c r="Q909" s="14">
        <f t="shared" si="14"/>
        <v>265404.42</v>
      </c>
      <c r="R909" s="14">
        <v>265609.42</v>
      </c>
      <c r="S909" s="14" t="s">
        <v>45</v>
      </c>
      <c r="T909" s="14" t="s">
        <v>63</v>
      </c>
      <c r="U909" s="14" t="s">
        <v>103</v>
      </c>
      <c r="V909" s="14" t="s">
        <v>103</v>
      </c>
      <c r="W909" s="14" t="s">
        <v>57</v>
      </c>
      <c r="X909" s="14">
        <v>1</v>
      </c>
      <c r="Y909" s="14" t="s">
        <v>47</v>
      </c>
      <c r="Z909" s="14">
        <v>1</v>
      </c>
      <c r="AA909" s="14" t="s">
        <v>91</v>
      </c>
    </row>
    <row r="910" spans="1:27" x14ac:dyDescent="0.35">
      <c r="A910" s="14" t="s">
        <v>1572</v>
      </c>
      <c r="B910" s="15">
        <v>45789</v>
      </c>
      <c r="C910" s="14" t="s">
        <v>230</v>
      </c>
      <c r="D910" s="14" t="s">
        <v>28</v>
      </c>
      <c r="E910" s="14" t="s">
        <v>29</v>
      </c>
      <c r="F910" s="14">
        <v>44</v>
      </c>
      <c r="G910" s="14" t="s">
        <v>67</v>
      </c>
      <c r="H910" s="14" t="s">
        <v>68</v>
      </c>
      <c r="I910" s="14" t="s">
        <v>67</v>
      </c>
      <c r="J910" s="14" t="s">
        <v>32</v>
      </c>
      <c r="K910" s="14">
        <v>5</v>
      </c>
      <c r="L910" s="14">
        <v>35237</v>
      </c>
      <c r="M910" s="14">
        <v>10</v>
      </c>
      <c r="N910" s="14">
        <v>17618.5</v>
      </c>
      <c r="O910" s="14">
        <v>28541.97</v>
      </c>
      <c r="P910" s="14">
        <v>14</v>
      </c>
      <c r="Q910" s="14">
        <f t="shared" si="14"/>
        <v>187108.47</v>
      </c>
      <c r="R910" s="14">
        <v>187122.47</v>
      </c>
      <c r="S910" s="14" t="s">
        <v>45</v>
      </c>
      <c r="T910" s="14" t="s">
        <v>63</v>
      </c>
      <c r="U910" s="14" t="s">
        <v>46</v>
      </c>
      <c r="V910" s="14" t="s">
        <v>36</v>
      </c>
      <c r="W910" s="14" t="s">
        <v>37</v>
      </c>
      <c r="X910" s="14">
        <v>1</v>
      </c>
      <c r="Y910" s="14" t="s">
        <v>47</v>
      </c>
      <c r="Z910" s="14">
        <v>4</v>
      </c>
      <c r="AA910" s="14" t="s">
        <v>47</v>
      </c>
    </row>
    <row r="911" spans="1:27" x14ac:dyDescent="0.35">
      <c r="A911" s="14" t="s">
        <v>1573</v>
      </c>
      <c r="B911" s="15">
        <v>45772</v>
      </c>
      <c r="C911" s="14" t="s">
        <v>1498</v>
      </c>
      <c r="D911" s="14" t="s">
        <v>50</v>
      </c>
      <c r="E911" s="14" t="s">
        <v>43</v>
      </c>
      <c r="F911" s="14">
        <v>47</v>
      </c>
      <c r="G911" s="14" t="s">
        <v>51</v>
      </c>
      <c r="H911" s="14" t="s">
        <v>52</v>
      </c>
      <c r="I911" s="14" t="s">
        <v>51</v>
      </c>
      <c r="J911" s="14" t="s">
        <v>125</v>
      </c>
      <c r="K911" s="14">
        <v>4</v>
      </c>
      <c r="L911" s="14">
        <v>26654</v>
      </c>
      <c r="M911" s="14">
        <v>15</v>
      </c>
      <c r="N911" s="14">
        <v>15992.4</v>
      </c>
      <c r="O911" s="14">
        <v>16312.25</v>
      </c>
      <c r="P911" s="14">
        <v>222</v>
      </c>
      <c r="Q911" s="14">
        <f t="shared" si="14"/>
        <v>106935.85</v>
      </c>
      <c r="R911" s="14">
        <v>107157.85</v>
      </c>
      <c r="S911" s="14" t="s">
        <v>33</v>
      </c>
      <c r="T911" s="14" t="s">
        <v>63</v>
      </c>
      <c r="U911" s="14" t="s">
        <v>35</v>
      </c>
      <c r="V911" s="14" t="s">
        <v>36</v>
      </c>
      <c r="W911" s="14" t="s">
        <v>37</v>
      </c>
      <c r="X911" s="14">
        <v>3</v>
      </c>
      <c r="Y911" s="14" t="s">
        <v>38</v>
      </c>
      <c r="Z911" s="14">
        <v>2</v>
      </c>
      <c r="AA911" s="14" t="s">
        <v>39</v>
      </c>
    </row>
    <row r="912" spans="1:27" x14ac:dyDescent="0.35">
      <c r="A912" s="14" t="s">
        <v>1574</v>
      </c>
      <c r="B912" s="15">
        <v>45834</v>
      </c>
      <c r="C912" s="14" t="s">
        <v>210</v>
      </c>
      <c r="D912" s="14" t="s">
        <v>80</v>
      </c>
      <c r="E912" s="14" t="s">
        <v>29</v>
      </c>
      <c r="F912" s="14">
        <v>25</v>
      </c>
      <c r="G912" s="14" t="s">
        <v>134</v>
      </c>
      <c r="H912" s="14" t="s">
        <v>31</v>
      </c>
      <c r="I912" s="14" t="s">
        <v>134</v>
      </c>
      <c r="J912" s="14" t="s">
        <v>102</v>
      </c>
      <c r="K912" s="14">
        <v>3</v>
      </c>
      <c r="L912" s="14">
        <v>12886</v>
      </c>
      <c r="M912" s="14">
        <v>5</v>
      </c>
      <c r="N912" s="14">
        <v>1932.9</v>
      </c>
      <c r="O912" s="14">
        <v>6610.52</v>
      </c>
      <c r="P912" s="14">
        <v>485</v>
      </c>
      <c r="Q912" s="14">
        <f t="shared" si="14"/>
        <v>43335.62</v>
      </c>
      <c r="R912" s="14">
        <v>43820.62</v>
      </c>
      <c r="S912" s="14" t="s">
        <v>83</v>
      </c>
      <c r="T912" s="14" t="s">
        <v>34</v>
      </c>
      <c r="U912" s="14" t="s">
        <v>55</v>
      </c>
      <c r="V912" s="14" t="s">
        <v>56</v>
      </c>
      <c r="W912" s="14" t="s">
        <v>57</v>
      </c>
      <c r="X912" s="14">
        <v>2</v>
      </c>
      <c r="Y912" s="14" t="s">
        <v>47</v>
      </c>
      <c r="Z912" s="14">
        <v>3</v>
      </c>
      <c r="AA912" s="14" t="s">
        <v>58</v>
      </c>
    </row>
    <row r="913" spans="1:27" x14ac:dyDescent="0.35">
      <c r="A913" s="14" t="s">
        <v>1575</v>
      </c>
      <c r="B913" s="15">
        <v>45899</v>
      </c>
      <c r="C913" s="14" t="s">
        <v>489</v>
      </c>
      <c r="D913" s="14" t="s">
        <v>111</v>
      </c>
      <c r="E913" s="14" t="s">
        <v>43</v>
      </c>
      <c r="F913" s="14">
        <v>28</v>
      </c>
      <c r="G913" s="14" t="s">
        <v>51</v>
      </c>
      <c r="H913" s="14" t="s">
        <v>52</v>
      </c>
      <c r="I913" s="14" t="s">
        <v>51</v>
      </c>
      <c r="J913" s="14" t="s">
        <v>69</v>
      </c>
      <c r="K913" s="14">
        <v>4</v>
      </c>
      <c r="L913" s="14">
        <v>35630</v>
      </c>
      <c r="M913" s="14">
        <v>15</v>
      </c>
      <c r="N913" s="14">
        <v>21378</v>
      </c>
      <c r="O913" s="14">
        <v>21805.56</v>
      </c>
      <c r="P913" s="14">
        <v>107</v>
      </c>
      <c r="Q913" s="14">
        <f t="shared" si="14"/>
        <v>142947.56</v>
      </c>
      <c r="R913" s="14">
        <v>143054.56</v>
      </c>
      <c r="S913" s="14" t="s">
        <v>45</v>
      </c>
      <c r="T913" s="14" t="s">
        <v>63</v>
      </c>
      <c r="U913" s="14" t="s">
        <v>35</v>
      </c>
      <c r="V913" s="14" t="s">
        <v>36</v>
      </c>
      <c r="W913" s="14" t="s">
        <v>37</v>
      </c>
      <c r="X913" s="14">
        <v>3</v>
      </c>
      <c r="Y913" s="14" t="s">
        <v>38</v>
      </c>
      <c r="Z913" s="14">
        <v>1</v>
      </c>
      <c r="AA913" s="14" t="s">
        <v>47</v>
      </c>
    </row>
    <row r="914" spans="1:27" x14ac:dyDescent="0.35">
      <c r="A914" s="14" t="s">
        <v>1576</v>
      </c>
      <c r="B914" s="15">
        <v>45804</v>
      </c>
      <c r="C914" s="14" t="s">
        <v>1577</v>
      </c>
      <c r="D914" s="14" t="s">
        <v>42</v>
      </c>
      <c r="E914" s="14" t="s">
        <v>43</v>
      </c>
      <c r="F914" s="14">
        <v>59</v>
      </c>
      <c r="G914" s="14" t="s">
        <v>139</v>
      </c>
      <c r="H914" s="14" t="s">
        <v>31</v>
      </c>
      <c r="I914" s="14" t="s">
        <v>139</v>
      </c>
      <c r="J914" s="14" t="s">
        <v>150</v>
      </c>
      <c r="K914" s="14">
        <v>2</v>
      </c>
      <c r="L914" s="14">
        <v>36760</v>
      </c>
      <c r="M914" s="14">
        <v>20</v>
      </c>
      <c r="N914" s="14">
        <v>14704</v>
      </c>
      <c r="O914" s="14">
        <v>10586.88</v>
      </c>
      <c r="P914" s="14">
        <v>454</v>
      </c>
      <c r="Q914" s="14">
        <f t="shared" si="14"/>
        <v>69402.880000000005</v>
      </c>
      <c r="R914" s="14">
        <v>69856.88</v>
      </c>
      <c r="S914" s="14" t="s">
        <v>54</v>
      </c>
      <c r="T914" s="14" t="s">
        <v>34</v>
      </c>
      <c r="U914" s="14" t="s">
        <v>55</v>
      </c>
      <c r="V914" s="14" t="s">
        <v>56</v>
      </c>
      <c r="W914" s="14" t="s">
        <v>57</v>
      </c>
      <c r="X914" s="14">
        <v>8</v>
      </c>
      <c r="Y914" s="14" t="s">
        <v>47</v>
      </c>
      <c r="Z914" s="14">
        <v>2</v>
      </c>
      <c r="AA914" s="14" t="s">
        <v>91</v>
      </c>
    </row>
    <row r="915" spans="1:27" x14ac:dyDescent="0.35">
      <c r="A915" s="14" t="s">
        <v>1578</v>
      </c>
      <c r="B915" s="15">
        <v>45803</v>
      </c>
      <c r="C915" s="14" t="s">
        <v>1246</v>
      </c>
      <c r="D915" s="14" t="s">
        <v>111</v>
      </c>
      <c r="E915" s="14" t="s">
        <v>43</v>
      </c>
      <c r="F915" s="14">
        <v>49</v>
      </c>
      <c r="G915" s="14" t="s">
        <v>134</v>
      </c>
      <c r="H915" s="14" t="s">
        <v>31</v>
      </c>
      <c r="I915" s="14" t="s">
        <v>134</v>
      </c>
      <c r="J915" s="14" t="s">
        <v>102</v>
      </c>
      <c r="K915" s="14">
        <v>1</v>
      </c>
      <c r="L915" s="14">
        <v>18286</v>
      </c>
      <c r="M915" s="14">
        <v>20</v>
      </c>
      <c r="N915" s="14">
        <v>3657.2</v>
      </c>
      <c r="O915" s="14">
        <v>2633.18</v>
      </c>
      <c r="P915" s="14">
        <v>99</v>
      </c>
      <c r="Q915" s="14">
        <f t="shared" si="14"/>
        <v>17261.98</v>
      </c>
      <c r="R915" s="14">
        <v>17360.98</v>
      </c>
      <c r="S915" s="14" t="s">
        <v>54</v>
      </c>
      <c r="T915" s="14" t="s">
        <v>34</v>
      </c>
      <c r="U915" s="14" t="s">
        <v>70</v>
      </c>
      <c r="V915" s="14" t="s">
        <v>56</v>
      </c>
      <c r="W915" s="14" t="s">
        <v>57</v>
      </c>
      <c r="X915" s="14">
        <v>3</v>
      </c>
      <c r="Y915" s="14" t="s">
        <v>47</v>
      </c>
      <c r="Z915" s="14">
        <v>3</v>
      </c>
      <c r="AA915" s="14" t="s">
        <v>47</v>
      </c>
    </row>
    <row r="916" spans="1:27" x14ac:dyDescent="0.35">
      <c r="A916" s="14" t="s">
        <v>1579</v>
      </c>
      <c r="B916" s="15">
        <v>45794</v>
      </c>
      <c r="C916" s="14" t="s">
        <v>1580</v>
      </c>
      <c r="D916" s="14" t="s">
        <v>89</v>
      </c>
      <c r="E916" s="14" t="s">
        <v>29</v>
      </c>
      <c r="F916" s="14">
        <v>52</v>
      </c>
      <c r="G916" s="14" t="s">
        <v>51</v>
      </c>
      <c r="H916" s="14" t="s">
        <v>52</v>
      </c>
      <c r="I916" s="14" t="s">
        <v>51</v>
      </c>
      <c r="J916" s="14" t="s">
        <v>32</v>
      </c>
      <c r="K916" s="14">
        <v>2</v>
      </c>
      <c r="L916" s="14">
        <v>25487</v>
      </c>
      <c r="M916" s="14">
        <v>20</v>
      </c>
      <c r="N916" s="14">
        <v>10194.799999999999</v>
      </c>
      <c r="O916" s="14">
        <v>7340.26</v>
      </c>
      <c r="P916" s="14">
        <v>126</v>
      </c>
      <c r="Q916" s="14">
        <f t="shared" si="14"/>
        <v>48119.46</v>
      </c>
      <c r="R916" s="14">
        <v>48245.46</v>
      </c>
      <c r="S916" s="14" t="s">
        <v>33</v>
      </c>
      <c r="T916" s="14" t="s">
        <v>63</v>
      </c>
      <c r="U916" s="14" t="s">
        <v>103</v>
      </c>
      <c r="V916" s="14" t="s">
        <v>103</v>
      </c>
      <c r="W916" s="14" t="s">
        <v>57</v>
      </c>
      <c r="X916" s="14">
        <v>4</v>
      </c>
      <c r="Y916" s="14" t="s">
        <v>47</v>
      </c>
      <c r="Z916" s="14">
        <v>5</v>
      </c>
      <c r="AA916" s="14" t="s">
        <v>47</v>
      </c>
    </row>
    <row r="917" spans="1:27" x14ac:dyDescent="0.35">
      <c r="A917" s="14" t="s">
        <v>1581</v>
      </c>
      <c r="B917" s="15">
        <v>45972</v>
      </c>
      <c r="C917" s="14" t="s">
        <v>1498</v>
      </c>
      <c r="D917" s="14" t="s">
        <v>111</v>
      </c>
      <c r="E917" s="14" t="s">
        <v>43</v>
      </c>
      <c r="F917" s="14">
        <v>51</v>
      </c>
      <c r="G917" s="14" t="s">
        <v>74</v>
      </c>
      <c r="H917" s="14" t="s">
        <v>31</v>
      </c>
      <c r="I917" s="14" t="s">
        <v>74</v>
      </c>
      <c r="J917" s="14" t="s">
        <v>69</v>
      </c>
      <c r="K917" s="14">
        <v>3</v>
      </c>
      <c r="L917" s="14">
        <v>3238</v>
      </c>
      <c r="M917" s="14">
        <v>0</v>
      </c>
      <c r="N917" s="14">
        <v>0</v>
      </c>
      <c r="O917" s="14">
        <v>1748.52</v>
      </c>
      <c r="P917" s="14">
        <v>121</v>
      </c>
      <c r="Q917" s="14">
        <f t="shared" si="14"/>
        <v>11462.52</v>
      </c>
      <c r="R917" s="14">
        <v>11583.52</v>
      </c>
      <c r="S917" s="14" t="s">
        <v>54</v>
      </c>
      <c r="T917" s="14" t="s">
        <v>34</v>
      </c>
      <c r="U917" s="14" t="s">
        <v>103</v>
      </c>
      <c r="V917" s="14" t="s">
        <v>103</v>
      </c>
      <c r="W917" s="14" t="s">
        <v>57</v>
      </c>
      <c r="X917" s="14">
        <v>3</v>
      </c>
      <c r="Y917" s="14" t="s">
        <v>38</v>
      </c>
      <c r="Z917" s="14">
        <v>3</v>
      </c>
      <c r="AA917" s="14" t="s">
        <v>91</v>
      </c>
    </row>
    <row r="918" spans="1:27" x14ac:dyDescent="0.35">
      <c r="A918" s="14" t="s">
        <v>1582</v>
      </c>
      <c r="B918" s="15">
        <v>45786</v>
      </c>
      <c r="C918" s="14" t="s">
        <v>1583</v>
      </c>
      <c r="D918" s="14" t="s">
        <v>28</v>
      </c>
      <c r="E918" s="14" t="s">
        <v>43</v>
      </c>
      <c r="F918" s="14">
        <v>59</v>
      </c>
      <c r="G918" s="14" t="s">
        <v>99</v>
      </c>
      <c r="H918" s="14" t="s">
        <v>52</v>
      </c>
      <c r="I918" s="14" t="s">
        <v>99</v>
      </c>
      <c r="J918" s="14" t="s">
        <v>150</v>
      </c>
      <c r="K918" s="14">
        <v>4</v>
      </c>
      <c r="L918" s="14">
        <v>9369</v>
      </c>
      <c r="M918" s="14">
        <v>5</v>
      </c>
      <c r="N918" s="14">
        <v>1873.8</v>
      </c>
      <c r="O918" s="14">
        <v>6408.4</v>
      </c>
      <c r="P918" s="14">
        <v>483</v>
      </c>
      <c r="Q918" s="14">
        <f t="shared" si="14"/>
        <v>42010.6</v>
      </c>
      <c r="R918" s="14">
        <v>42493.599999999999</v>
      </c>
      <c r="S918" s="14" t="s">
        <v>33</v>
      </c>
      <c r="T918" s="14" t="s">
        <v>34</v>
      </c>
      <c r="U918" s="14" t="s">
        <v>84</v>
      </c>
      <c r="V918" s="14" t="s">
        <v>85</v>
      </c>
      <c r="W918" s="14" t="s">
        <v>86</v>
      </c>
      <c r="X918" s="14">
        <v>2</v>
      </c>
      <c r="Y918" s="14" t="s">
        <v>38</v>
      </c>
      <c r="Z918" s="14">
        <v>2</v>
      </c>
      <c r="AA918" s="14" t="s">
        <v>58</v>
      </c>
    </row>
    <row r="919" spans="1:27" x14ac:dyDescent="0.35">
      <c r="A919" s="14" t="s">
        <v>1584</v>
      </c>
      <c r="B919" s="15">
        <v>46033</v>
      </c>
      <c r="C919" s="14" t="s">
        <v>1585</v>
      </c>
      <c r="D919" s="14" t="s">
        <v>73</v>
      </c>
      <c r="E919" s="14" t="s">
        <v>43</v>
      </c>
      <c r="F919" s="14">
        <v>20</v>
      </c>
      <c r="G919" s="14" t="s">
        <v>67</v>
      </c>
      <c r="H919" s="14" t="s">
        <v>68</v>
      </c>
      <c r="I919" s="14" t="s">
        <v>67</v>
      </c>
      <c r="J919" s="14" t="s">
        <v>53</v>
      </c>
      <c r="K919" s="14">
        <v>5</v>
      </c>
      <c r="L919" s="14">
        <v>7487</v>
      </c>
      <c r="M919" s="14">
        <v>20</v>
      </c>
      <c r="N919" s="14">
        <v>7487</v>
      </c>
      <c r="O919" s="14">
        <v>5390.64</v>
      </c>
      <c r="P919" s="14">
        <v>492</v>
      </c>
      <c r="Q919" s="14">
        <f t="shared" si="14"/>
        <v>35338.639999999999</v>
      </c>
      <c r="R919" s="14">
        <v>35830.639999999999</v>
      </c>
      <c r="S919" s="14" t="s">
        <v>83</v>
      </c>
      <c r="T919" s="14" t="s">
        <v>34</v>
      </c>
      <c r="U919" s="14" t="s">
        <v>55</v>
      </c>
      <c r="V919" s="14" t="s">
        <v>56</v>
      </c>
      <c r="W919" s="14" t="s">
        <v>57</v>
      </c>
      <c r="X919" s="14">
        <v>4</v>
      </c>
      <c r="Y919" s="14" t="s">
        <v>38</v>
      </c>
      <c r="Z919" s="14">
        <v>4</v>
      </c>
      <c r="AA919" s="14" t="s">
        <v>47</v>
      </c>
    </row>
    <row r="920" spans="1:27" x14ac:dyDescent="0.35">
      <c r="A920" s="14" t="s">
        <v>1586</v>
      </c>
      <c r="B920" s="15">
        <v>45879</v>
      </c>
      <c r="C920" s="14" t="s">
        <v>387</v>
      </c>
      <c r="D920" s="14" t="s">
        <v>108</v>
      </c>
      <c r="E920" s="14" t="s">
        <v>29</v>
      </c>
      <c r="F920" s="14">
        <v>42</v>
      </c>
      <c r="G920" s="14" t="s">
        <v>90</v>
      </c>
      <c r="H920" s="14" t="s">
        <v>31</v>
      </c>
      <c r="I920" s="14" t="s">
        <v>90</v>
      </c>
      <c r="J920" s="14" t="s">
        <v>75</v>
      </c>
      <c r="K920" s="14">
        <v>5</v>
      </c>
      <c r="L920" s="14">
        <v>8615</v>
      </c>
      <c r="M920" s="14">
        <v>5</v>
      </c>
      <c r="N920" s="14">
        <v>2153.75</v>
      </c>
      <c r="O920" s="14">
        <v>7365.82</v>
      </c>
      <c r="P920" s="14">
        <v>143</v>
      </c>
      <c r="Q920" s="14">
        <f t="shared" si="14"/>
        <v>48287.07</v>
      </c>
      <c r="R920" s="14">
        <v>48430.07</v>
      </c>
      <c r="S920" s="14" t="s">
        <v>54</v>
      </c>
      <c r="T920" s="14" t="s">
        <v>34</v>
      </c>
      <c r="U920" s="14" t="s">
        <v>35</v>
      </c>
      <c r="V920" s="14" t="s">
        <v>36</v>
      </c>
      <c r="W920" s="14" t="s">
        <v>37</v>
      </c>
      <c r="X920" s="14">
        <v>7</v>
      </c>
      <c r="Y920" s="14" t="s">
        <v>38</v>
      </c>
      <c r="Z920" s="14">
        <v>5</v>
      </c>
      <c r="AA920" s="14" t="s">
        <v>39</v>
      </c>
    </row>
    <row r="921" spans="1:27" x14ac:dyDescent="0.35">
      <c r="A921" s="14" t="s">
        <v>1587</v>
      </c>
      <c r="B921" s="15">
        <v>45945</v>
      </c>
      <c r="C921" s="14" t="s">
        <v>360</v>
      </c>
      <c r="D921" s="14" t="s">
        <v>80</v>
      </c>
      <c r="E921" s="14" t="s">
        <v>29</v>
      </c>
      <c r="F921" s="14">
        <v>47</v>
      </c>
      <c r="G921" s="14" t="s">
        <v>30</v>
      </c>
      <c r="H921" s="14" t="s">
        <v>31</v>
      </c>
      <c r="I921" s="14" t="s">
        <v>30</v>
      </c>
      <c r="J921" s="14" t="s">
        <v>75</v>
      </c>
      <c r="K921" s="14">
        <v>1</v>
      </c>
      <c r="L921" s="14">
        <v>17074</v>
      </c>
      <c r="M921" s="14">
        <v>15</v>
      </c>
      <c r="N921" s="14">
        <v>2561.1</v>
      </c>
      <c r="O921" s="14">
        <v>2612.3200000000002</v>
      </c>
      <c r="P921" s="14">
        <v>197</v>
      </c>
      <c r="Q921" s="14">
        <f t="shared" si="14"/>
        <v>17125.22</v>
      </c>
      <c r="R921" s="14">
        <v>17322.22</v>
      </c>
      <c r="S921" s="14" t="s">
        <v>83</v>
      </c>
      <c r="T921" s="14" t="s">
        <v>63</v>
      </c>
      <c r="U921" s="14" t="s">
        <v>103</v>
      </c>
      <c r="V921" s="14" t="s">
        <v>103</v>
      </c>
      <c r="W921" s="14" t="s">
        <v>57</v>
      </c>
      <c r="X921" s="14">
        <v>10</v>
      </c>
      <c r="Y921" s="14" t="s">
        <v>47</v>
      </c>
      <c r="Z921" s="14">
        <v>2</v>
      </c>
      <c r="AA921" s="14" t="s">
        <v>39</v>
      </c>
    </row>
    <row r="922" spans="1:27" x14ac:dyDescent="0.35">
      <c r="A922" s="14" t="s">
        <v>1588</v>
      </c>
      <c r="B922" s="15">
        <v>45828</v>
      </c>
      <c r="C922" s="14" t="s">
        <v>308</v>
      </c>
      <c r="D922" s="14" t="s">
        <v>89</v>
      </c>
      <c r="E922" s="14" t="s">
        <v>29</v>
      </c>
      <c r="F922" s="14">
        <v>22</v>
      </c>
      <c r="G922" s="14" t="s">
        <v>94</v>
      </c>
      <c r="H922" s="14" t="s">
        <v>31</v>
      </c>
      <c r="I922" s="14" t="s">
        <v>94</v>
      </c>
      <c r="J922" s="14" t="s">
        <v>75</v>
      </c>
      <c r="K922" s="14">
        <v>5</v>
      </c>
      <c r="L922" s="14">
        <v>31555</v>
      </c>
      <c r="M922" s="14">
        <v>0</v>
      </c>
      <c r="N922" s="14">
        <v>0</v>
      </c>
      <c r="O922" s="14">
        <v>28399.5</v>
      </c>
      <c r="P922" s="14">
        <v>290</v>
      </c>
      <c r="Q922" s="14">
        <f t="shared" si="14"/>
        <v>186174.5</v>
      </c>
      <c r="R922" s="14">
        <v>186464.5</v>
      </c>
      <c r="S922" s="14" t="s">
        <v>83</v>
      </c>
      <c r="T922" s="14" t="s">
        <v>34</v>
      </c>
      <c r="U922" s="14" t="s">
        <v>76</v>
      </c>
      <c r="V922" s="14" t="s">
        <v>77</v>
      </c>
      <c r="W922" s="14" t="s">
        <v>57</v>
      </c>
      <c r="X922" s="14">
        <v>5</v>
      </c>
      <c r="Y922" s="14" t="s">
        <v>47</v>
      </c>
      <c r="Z922" s="14">
        <v>2</v>
      </c>
      <c r="AA922" s="14" t="s">
        <v>39</v>
      </c>
    </row>
    <row r="923" spans="1:27" x14ac:dyDescent="0.35">
      <c r="A923" s="14" t="s">
        <v>1589</v>
      </c>
      <c r="B923" s="15">
        <v>45965</v>
      </c>
      <c r="C923" s="14" t="s">
        <v>1590</v>
      </c>
      <c r="D923" s="14" t="s">
        <v>73</v>
      </c>
      <c r="E923" s="14" t="s">
        <v>43</v>
      </c>
      <c r="F923" s="14">
        <v>42</v>
      </c>
      <c r="G923" s="14" t="s">
        <v>90</v>
      </c>
      <c r="H923" s="14" t="s">
        <v>31</v>
      </c>
      <c r="I923" s="14" t="s">
        <v>90</v>
      </c>
      <c r="J923" s="14" t="s">
        <v>150</v>
      </c>
      <c r="K923" s="14">
        <v>2</v>
      </c>
      <c r="L923" s="14">
        <v>36468</v>
      </c>
      <c r="M923" s="14">
        <v>10</v>
      </c>
      <c r="N923" s="14">
        <v>7293.6</v>
      </c>
      <c r="O923" s="14">
        <v>11815.63</v>
      </c>
      <c r="P923" s="14">
        <v>106</v>
      </c>
      <c r="Q923" s="14">
        <f t="shared" si="14"/>
        <v>77458.03</v>
      </c>
      <c r="R923" s="14">
        <v>77564.03</v>
      </c>
      <c r="S923" s="14" t="s">
        <v>33</v>
      </c>
      <c r="T923" s="14" t="s">
        <v>63</v>
      </c>
      <c r="U923" s="14" t="s">
        <v>95</v>
      </c>
      <c r="V923" s="14" t="s">
        <v>96</v>
      </c>
      <c r="W923" s="14" t="s">
        <v>57</v>
      </c>
      <c r="X923" s="14">
        <v>7</v>
      </c>
      <c r="Y923" s="14" t="s">
        <v>38</v>
      </c>
      <c r="Z923" s="14">
        <v>1</v>
      </c>
      <c r="AA923" s="14" t="s">
        <v>39</v>
      </c>
    </row>
    <row r="924" spans="1:27" x14ac:dyDescent="0.35">
      <c r="A924" s="14" t="s">
        <v>1591</v>
      </c>
      <c r="B924" s="15">
        <v>46109</v>
      </c>
      <c r="C924" s="14" t="s">
        <v>1592</v>
      </c>
      <c r="D924" s="14" t="s">
        <v>42</v>
      </c>
      <c r="E924" s="14" t="s">
        <v>29</v>
      </c>
      <c r="F924" s="14">
        <v>19</v>
      </c>
      <c r="G924" s="14" t="s">
        <v>99</v>
      </c>
      <c r="H924" s="14" t="s">
        <v>52</v>
      </c>
      <c r="I924" s="14" t="s">
        <v>99</v>
      </c>
      <c r="J924" s="14" t="s">
        <v>125</v>
      </c>
      <c r="K924" s="14">
        <v>1</v>
      </c>
      <c r="L924" s="14">
        <v>17001</v>
      </c>
      <c r="M924" s="14">
        <v>20</v>
      </c>
      <c r="N924" s="14">
        <v>3400.2</v>
      </c>
      <c r="O924" s="14">
        <v>2448.14</v>
      </c>
      <c r="P924" s="14">
        <v>72</v>
      </c>
      <c r="Q924" s="14">
        <f t="shared" si="14"/>
        <v>16048.94</v>
      </c>
      <c r="R924" s="14">
        <v>16120.94</v>
      </c>
      <c r="S924" s="14" t="s">
        <v>54</v>
      </c>
      <c r="T924" s="14" t="s">
        <v>34</v>
      </c>
      <c r="U924" s="14" t="s">
        <v>70</v>
      </c>
      <c r="V924" s="14" t="s">
        <v>56</v>
      </c>
      <c r="W924" s="14" t="s">
        <v>57</v>
      </c>
      <c r="X924" s="14">
        <v>3</v>
      </c>
      <c r="Y924" s="14" t="s">
        <v>38</v>
      </c>
      <c r="Z924" s="14">
        <v>4</v>
      </c>
      <c r="AA924" s="14" t="s">
        <v>39</v>
      </c>
    </row>
    <row r="925" spans="1:27" x14ac:dyDescent="0.35">
      <c r="A925" s="14" t="s">
        <v>1593</v>
      </c>
      <c r="B925" s="15">
        <v>45823</v>
      </c>
      <c r="C925" s="14" t="s">
        <v>898</v>
      </c>
      <c r="D925" s="14" t="s">
        <v>66</v>
      </c>
      <c r="E925" s="14" t="s">
        <v>43</v>
      </c>
      <c r="F925" s="14">
        <v>24</v>
      </c>
      <c r="G925" s="14" t="s">
        <v>99</v>
      </c>
      <c r="H925" s="14" t="s">
        <v>52</v>
      </c>
      <c r="I925" s="14" t="s">
        <v>99</v>
      </c>
      <c r="J925" s="14" t="s">
        <v>62</v>
      </c>
      <c r="K925" s="14">
        <v>1</v>
      </c>
      <c r="L925" s="14">
        <v>2091</v>
      </c>
      <c r="M925" s="14">
        <v>10</v>
      </c>
      <c r="N925" s="14">
        <v>209.1</v>
      </c>
      <c r="O925" s="14">
        <v>338.74</v>
      </c>
      <c r="P925" s="14">
        <v>95</v>
      </c>
      <c r="Q925" s="14">
        <f t="shared" si="14"/>
        <v>2220.64</v>
      </c>
      <c r="R925" s="14">
        <v>2315.64</v>
      </c>
      <c r="S925" s="14" t="s">
        <v>45</v>
      </c>
      <c r="T925" s="14" t="s">
        <v>63</v>
      </c>
      <c r="U925" s="14" t="s">
        <v>46</v>
      </c>
      <c r="V925" s="14" t="s">
        <v>36</v>
      </c>
      <c r="W925" s="14" t="s">
        <v>37</v>
      </c>
      <c r="X925" s="14">
        <v>4</v>
      </c>
      <c r="Y925" s="14" t="s">
        <v>47</v>
      </c>
      <c r="Z925" s="14">
        <v>4</v>
      </c>
      <c r="AA925" s="14" t="s">
        <v>58</v>
      </c>
    </row>
    <row r="926" spans="1:27" x14ac:dyDescent="0.35">
      <c r="A926" s="14" t="s">
        <v>1594</v>
      </c>
      <c r="B926" s="15">
        <v>45767</v>
      </c>
      <c r="C926" s="14" t="s">
        <v>1522</v>
      </c>
      <c r="D926" s="14" t="s">
        <v>111</v>
      </c>
      <c r="E926" s="14" t="s">
        <v>29</v>
      </c>
      <c r="F926" s="14">
        <v>24</v>
      </c>
      <c r="G926" s="14" t="s">
        <v>74</v>
      </c>
      <c r="H926" s="14" t="s">
        <v>31</v>
      </c>
      <c r="I926" s="14" t="s">
        <v>74</v>
      </c>
      <c r="J926" s="14" t="s">
        <v>202</v>
      </c>
      <c r="K926" s="14">
        <v>5</v>
      </c>
      <c r="L926" s="14">
        <v>27061</v>
      </c>
      <c r="M926" s="14">
        <v>15</v>
      </c>
      <c r="N926" s="14">
        <v>20295.75</v>
      </c>
      <c r="O926" s="14">
        <v>20701.669999999998</v>
      </c>
      <c r="P926" s="14">
        <v>389</v>
      </c>
      <c r="Q926" s="14">
        <f t="shared" si="14"/>
        <v>135710.92000000001</v>
      </c>
      <c r="R926" s="14">
        <v>136099.92000000001</v>
      </c>
      <c r="S926" s="14" t="s">
        <v>54</v>
      </c>
      <c r="T926" s="14" t="s">
        <v>63</v>
      </c>
      <c r="U926" s="14" t="s">
        <v>76</v>
      </c>
      <c r="V926" s="14" t="s">
        <v>77</v>
      </c>
      <c r="W926" s="14" t="s">
        <v>57</v>
      </c>
      <c r="X926" s="14">
        <v>4</v>
      </c>
      <c r="Y926" s="14" t="s">
        <v>38</v>
      </c>
      <c r="Z926" s="14">
        <v>2</v>
      </c>
      <c r="AA926" s="14" t="s">
        <v>58</v>
      </c>
    </row>
    <row r="927" spans="1:27" x14ac:dyDescent="0.35">
      <c r="A927" s="14" t="s">
        <v>1595</v>
      </c>
      <c r="B927" s="15">
        <v>46000</v>
      </c>
      <c r="C927" s="14" t="s">
        <v>1596</v>
      </c>
      <c r="D927" s="14" t="s">
        <v>61</v>
      </c>
      <c r="E927" s="14" t="s">
        <v>29</v>
      </c>
      <c r="F927" s="14">
        <v>35</v>
      </c>
      <c r="G927" s="14" t="s">
        <v>74</v>
      </c>
      <c r="H927" s="14" t="s">
        <v>31</v>
      </c>
      <c r="I927" s="14" t="s">
        <v>74</v>
      </c>
      <c r="J927" s="14" t="s">
        <v>102</v>
      </c>
      <c r="K927" s="14">
        <v>3</v>
      </c>
      <c r="L927" s="14">
        <v>9812</v>
      </c>
      <c r="M927" s="14">
        <v>20</v>
      </c>
      <c r="N927" s="14">
        <v>5887.2</v>
      </c>
      <c r="O927" s="14">
        <v>4238.78</v>
      </c>
      <c r="P927" s="14">
        <v>136</v>
      </c>
      <c r="Q927" s="14">
        <f t="shared" si="14"/>
        <v>27787.58</v>
      </c>
      <c r="R927" s="14">
        <v>27923.58</v>
      </c>
      <c r="S927" s="14" t="s">
        <v>45</v>
      </c>
      <c r="T927" s="14" t="s">
        <v>34</v>
      </c>
      <c r="U927" s="14" t="s">
        <v>103</v>
      </c>
      <c r="V927" s="14" t="s">
        <v>103</v>
      </c>
      <c r="W927" s="14" t="s">
        <v>57</v>
      </c>
      <c r="X927" s="14">
        <v>5</v>
      </c>
      <c r="Y927" s="14" t="s">
        <v>47</v>
      </c>
      <c r="Z927" s="14">
        <v>5</v>
      </c>
      <c r="AA927" s="14" t="s">
        <v>58</v>
      </c>
    </row>
    <row r="928" spans="1:27" x14ac:dyDescent="0.35">
      <c r="A928" s="14" t="s">
        <v>1597</v>
      </c>
      <c r="B928" s="15">
        <v>45907</v>
      </c>
      <c r="C928" s="14" t="s">
        <v>442</v>
      </c>
      <c r="D928" s="14" t="s">
        <v>50</v>
      </c>
      <c r="E928" s="14" t="s">
        <v>29</v>
      </c>
      <c r="F928" s="14">
        <v>48</v>
      </c>
      <c r="G928" s="14" t="s">
        <v>134</v>
      </c>
      <c r="H928" s="14" t="s">
        <v>31</v>
      </c>
      <c r="I928" s="14" t="s">
        <v>134</v>
      </c>
      <c r="J928" s="14" t="s">
        <v>53</v>
      </c>
      <c r="K928" s="14">
        <v>2</v>
      </c>
      <c r="L928" s="14">
        <v>42773</v>
      </c>
      <c r="M928" s="14">
        <v>0</v>
      </c>
      <c r="N928" s="14">
        <v>0</v>
      </c>
      <c r="O928" s="14">
        <v>15398.28</v>
      </c>
      <c r="P928" s="14">
        <v>254</v>
      </c>
      <c r="Q928" s="14">
        <f t="shared" si="14"/>
        <v>100944.28</v>
      </c>
      <c r="R928" s="14">
        <v>101198.28</v>
      </c>
      <c r="S928" s="14" t="s">
        <v>45</v>
      </c>
      <c r="T928" s="14" t="s">
        <v>34</v>
      </c>
      <c r="U928" s="14" t="s">
        <v>46</v>
      </c>
      <c r="V928" s="14" t="s">
        <v>36</v>
      </c>
      <c r="W928" s="14" t="s">
        <v>37</v>
      </c>
      <c r="X928" s="14">
        <v>3</v>
      </c>
      <c r="Y928" s="14" t="s">
        <v>47</v>
      </c>
      <c r="Z928" s="14">
        <v>2</v>
      </c>
      <c r="AA928" s="14" t="s">
        <v>58</v>
      </c>
    </row>
    <row r="929" spans="1:27" x14ac:dyDescent="0.35">
      <c r="A929" s="14" t="s">
        <v>1598</v>
      </c>
      <c r="B929" s="15">
        <v>46119</v>
      </c>
      <c r="C929" s="14" t="s">
        <v>141</v>
      </c>
      <c r="D929" s="14" t="s">
        <v>61</v>
      </c>
      <c r="E929" s="14" t="s">
        <v>43</v>
      </c>
      <c r="F929" s="14">
        <v>42</v>
      </c>
      <c r="G929" s="14" t="s">
        <v>90</v>
      </c>
      <c r="H929" s="14" t="s">
        <v>31</v>
      </c>
      <c r="I929" s="14" t="s">
        <v>90</v>
      </c>
      <c r="J929" s="14" t="s">
        <v>125</v>
      </c>
      <c r="K929" s="14">
        <v>1</v>
      </c>
      <c r="L929" s="14">
        <v>14852</v>
      </c>
      <c r="M929" s="14">
        <v>15</v>
      </c>
      <c r="N929" s="14">
        <v>2227.8000000000002</v>
      </c>
      <c r="O929" s="14">
        <v>2272.36</v>
      </c>
      <c r="P929" s="14">
        <v>109</v>
      </c>
      <c r="Q929" s="14">
        <f t="shared" si="14"/>
        <v>14896.56</v>
      </c>
      <c r="R929" s="14">
        <v>15005.56</v>
      </c>
      <c r="S929" s="14" t="s">
        <v>83</v>
      </c>
      <c r="T929" s="14" t="s">
        <v>63</v>
      </c>
      <c r="U929" s="14" t="s">
        <v>103</v>
      </c>
      <c r="V929" s="14" t="s">
        <v>103</v>
      </c>
      <c r="W929" s="14" t="s">
        <v>57</v>
      </c>
      <c r="X929" s="14">
        <v>5</v>
      </c>
      <c r="Y929" s="14" t="s">
        <v>38</v>
      </c>
      <c r="Z929" s="14">
        <v>5</v>
      </c>
      <c r="AA929" s="14" t="s">
        <v>47</v>
      </c>
    </row>
    <row r="930" spans="1:27" x14ac:dyDescent="0.35">
      <c r="A930" s="14" t="s">
        <v>1599</v>
      </c>
      <c r="B930" s="15">
        <v>45906</v>
      </c>
      <c r="C930" s="14" t="s">
        <v>849</v>
      </c>
      <c r="D930" s="14" t="s">
        <v>108</v>
      </c>
      <c r="E930" s="14" t="s">
        <v>43</v>
      </c>
      <c r="F930" s="14">
        <v>58</v>
      </c>
      <c r="G930" s="14" t="s">
        <v>139</v>
      </c>
      <c r="H930" s="14" t="s">
        <v>31</v>
      </c>
      <c r="I930" s="14" t="s">
        <v>139</v>
      </c>
      <c r="J930" s="14" t="s">
        <v>69</v>
      </c>
      <c r="K930" s="14">
        <v>3</v>
      </c>
      <c r="L930" s="14">
        <v>8496</v>
      </c>
      <c r="M930" s="14">
        <v>15</v>
      </c>
      <c r="N930" s="14">
        <v>3823.2</v>
      </c>
      <c r="O930" s="14">
        <v>3899.66</v>
      </c>
      <c r="P930" s="14">
        <v>138</v>
      </c>
      <c r="Q930" s="14">
        <f t="shared" si="14"/>
        <v>25564.46</v>
      </c>
      <c r="R930" s="14">
        <v>25702.46</v>
      </c>
      <c r="S930" s="14" t="s">
        <v>33</v>
      </c>
      <c r="T930" s="14" t="s">
        <v>34</v>
      </c>
      <c r="U930" s="14" t="s">
        <v>103</v>
      </c>
      <c r="V930" s="14" t="s">
        <v>103</v>
      </c>
      <c r="W930" s="14" t="s">
        <v>57</v>
      </c>
      <c r="X930" s="14">
        <v>9</v>
      </c>
      <c r="Y930" s="14" t="s">
        <v>38</v>
      </c>
      <c r="Z930" s="14">
        <v>3</v>
      </c>
      <c r="AA930" s="14" t="s">
        <v>91</v>
      </c>
    </row>
    <row r="931" spans="1:27" x14ac:dyDescent="0.35">
      <c r="A931" s="14" t="s">
        <v>1600</v>
      </c>
      <c r="B931" s="15">
        <v>45955</v>
      </c>
      <c r="C931" s="14" t="s">
        <v>1601</v>
      </c>
      <c r="D931" s="14" t="s">
        <v>108</v>
      </c>
      <c r="E931" s="14" t="s">
        <v>43</v>
      </c>
      <c r="F931" s="14">
        <v>49</v>
      </c>
      <c r="G931" s="14" t="s">
        <v>139</v>
      </c>
      <c r="H931" s="14" t="s">
        <v>31</v>
      </c>
      <c r="I931" s="14" t="s">
        <v>139</v>
      </c>
      <c r="J931" s="14" t="s">
        <v>62</v>
      </c>
      <c r="K931" s="14">
        <v>3</v>
      </c>
      <c r="L931" s="14">
        <v>8963</v>
      </c>
      <c r="M931" s="14">
        <v>20</v>
      </c>
      <c r="N931" s="14">
        <v>5377.8</v>
      </c>
      <c r="O931" s="14">
        <v>3872.02</v>
      </c>
      <c r="P931" s="14">
        <v>168</v>
      </c>
      <c r="Q931" s="14">
        <f t="shared" si="14"/>
        <v>25383.22</v>
      </c>
      <c r="R931" s="14">
        <v>25551.22</v>
      </c>
      <c r="S931" s="14" t="s">
        <v>45</v>
      </c>
      <c r="T931" s="14" t="s">
        <v>34</v>
      </c>
      <c r="U931" s="14" t="s">
        <v>103</v>
      </c>
      <c r="V931" s="14" t="s">
        <v>103</v>
      </c>
      <c r="W931" s="14" t="s">
        <v>57</v>
      </c>
      <c r="X931" s="14">
        <v>8</v>
      </c>
      <c r="Y931" s="14" t="s">
        <v>47</v>
      </c>
      <c r="Z931" s="14">
        <v>1</v>
      </c>
      <c r="AA931" s="14" t="s">
        <v>91</v>
      </c>
    </row>
    <row r="932" spans="1:27" x14ac:dyDescent="0.35">
      <c r="A932" s="14" t="s">
        <v>1602</v>
      </c>
      <c r="B932" s="15">
        <v>45949</v>
      </c>
      <c r="C932" s="14" t="s">
        <v>859</v>
      </c>
      <c r="D932" s="14" t="s">
        <v>73</v>
      </c>
      <c r="E932" s="14" t="s">
        <v>43</v>
      </c>
      <c r="F932" s="14">
        <v>41</v>
      </c>
      <c r="G932" s="14" t="s">
        <v>74</v>
      </c>
      <c r="H932" s="14" t="s">
        <v>31</v>
      </c>
      <c r="I932" s="14" t="s">
        <v>74</v>
      </c>
      <c r="J932" s="14" t="s">
        <v>69</v>
      </c>
      <c r="K932" s="14">
        <v>5</v>
      </c>
      <c r="L932" s="14">
        <v>13929</v>
      </c>
      <c r="M932" s="14">
        <v>0</v>
      </c>
      <c r="N932" s="14">
        <v>0</v>
      </c>
      <c r="O932" s="14">
        <v>12536.1</v>
      </c>
      <c r="P932" s="14">
        <v>429</v>
      </c>
      <c r="Q932" s="14">
        <f t="shared" si="14"/>
        <v>82181.100000000006</v>
      </c>
      <c r="R932" s="14">
        <v>82610.100000000006</v>
      </c>
      <c r="S932" s="14" t="s">
        <v>83</v>
      </c>
      <c r="T932" s="14" t="s">
        <v>34</v>
      </c>
      <c r="U932" s="14" t="s">
        <v>35</v>
      </c>
      <c r="V932" s="14" t="s">
        <v>36</v>
      </c>
      <c r="W932" s="14" t="s">
        <v>37</v>
      </c>
      <c r="X932" s="14">
        <v>1</v>
      </c>
      <c r="Y932" s="14" t="s">
        <v>38</v>
      </c>
      <c r="Z932" s="14">
        <v>2</v>
      </c>
      <c r="AA932" s="14" t="s">
        <v>39</v>
      </c>
    </row>
    <row r="933" spans="1:27" x14ac:dyDescent="0.35">
      <c r="A933" s="14" t="s">
        <v>1603</v>
      </c>
      <c r="B933" s="15">
        <v>46092</v>
      </c>
      <c r="C933" s="14" t="s">
        <v>1432</v>
      </c>
      <c r="D933" s="14" t="s">
        <v>28</v>
      </c>
      <c r="E933" s="14" t="s">
        <v>43</v>
      </c>
      <c r="F933" s="14">
        <v>20</v>
      </c>
      <c r="G933" s="14" t="s">
        <v>94</v>
      </c>
      <c r="H933" s="14" t="s">
        <v>31</v>
      </c>
      <c r="I933" s="14" t="s">
        <v>94</v>
      </c>
      <c r="J933" s="14" t="s">
        <v>75</v>
      </c>
      <c r="K933" s="14">
        <v>3</v>
      </c>
      <c r="L933" s="14">
        <v>5257</v>
      </c>
      <c r="M933" s="14">
        <v>0</v>
      </c>
      <c r="N933" s="14">
        <v>0</v>
      </c>
      <c r="O933" s="14">
        <v>2838.78</v>
      </c>
      <c r="P933" s="14">
        <v>305</v>
      </c>
      <c r="Q933" s="14">
        <f t="shared" si="14"/>
        <v>18609.78</v>
      </c>
      <c r="R933" s="14">
        <v>18914.78</v>
      </c>
      <c r="S933" s="14" t="s">
        <v>45</v>
      </c>
      <c r="T933" s="14" t="s">
        <v>63</v>
      </c>
      <c r="U933" s="14" t="s">
        <v>46</v>
      </c>
      <c r="V933" s="14" t="s">
        <v>36</v>
      </c>
      <c r="W933" s="14" t="s">
        <v>37</v>
      </c>
      <c r="X933" s="14">
        <v>8</v>
      </c>
      <c r="Y933" s="14" t="s">
        <v>47</v>
      </c>
      <c r="Z933" s="14">
        <v>1</v>
      </c>
      <c r="AA933" s="14" t="s">
        <v>58</v>
      </c>
    </row>
    <row r="934" spans="1:27" x14ac:dyDescent="0.35">
      <c r="A934" s="14" t="s">
        <v>1604</v>
      </c>
      <c r="B934" s="15">
        <v>45994</v>
      </c>
      <c r="C934" s="14" t="s">
        <v>1454</v>
      </c>
      <c r="D934" s="14" t="s">
        <v>42</v>
      </c>
      <c r="E934" s="14" t="s">
        <v>29</v>
      </c>
      <c r="F934" s="14">
        <v>34</v>
      </c>
      <c r="G934" s="14" t="s">
        <v>67</v>
      </c>
      <c r="H934" s="14" t="s">
        <v>68</v>
      </c>
      <c r="I934" s="14" t="s">
        <v>67</v>
      </c>
      <c r="J934" s="14" t="s">
        <v>75</v>
      </c>
      <c r="K934" s="14">
        <v>5</v>
      </c>
      <c r="L934" s="14">
        <v>38726</v>
      </c>
      <c r="M934" s="14">
        <v>10</v>
      </c>
      <c r="N934" s="14">
        <v>19363</v>
      </c>
      <c r="O934" s="14">
        <v>31368.06</v>
      </c>
      <c r="P934" s="14">
        <v>69</v>
      </c>
      <c r="Q934" s="14">
        <f t="shared" si="14"/>
        <v>205635.06</v>
      </c>
      <c r="R934" s="14">
        <v>205704.06</v>
      </c>
      <c r="S934" s="14" t="s">
        <v>45</v>
      </c>
      <c r="T934" s="14" t="s">
        <v>34</v>
      </c>
      <c r="U934" s="14" t="s">
        <v>84</v>
      </c>
      <c r="V934" s="14" t="s">
        <v>85</v>
      </c>
      <c r="W934" s="14" t="s">
        <v>86</v>
      </c>
      <c r="X934" s="14">
        <v>5</v>
      </c>
      <c r="Y934" s="14" t="s">
        <v>38</v>
      </c>
      <c r="Z934" s="14">
        <v>3</v>
      </c>
      <c r="AA934" s="14" t="s">
        <v>91</v>
      </c>
    </row>
    <row r="935" spans="1:27" x14ac:dyDescent="0.35">
      <c r="A935" s="14" t="s">
        <v>1605</v>
      </c>
      <c r="B935" s="15">
        <v>45782</v>
      </c>
      <c r="C935" s="14" t="s">
        <v>1235</v>
      </c>
      <c r="D935" s="14" t="s">
        <v>28</v>
      </c>
      <c r="E935" s="14" t="s">
        <v>29</v>
      </c>
      <c r="F935" s="14">
        <v>37</v>
      </c>
      <c r="G935" s="14" t="s">
        <v>139</v>
      </c>
      <c r="H935" s="14" t="s">
        <v>31</v>
      </c>
      <c r="I935" s="14" t="s">
        <v>139</v>
      </c>
      <c r="J935" s="14" t="s">
        <v>69</v>
      </c>
      <c r="K935" s="14">
        <v>3</v>
      </c>
      <c r="L935" s="14">
        <v>36827</v>
      </c>
      <c r="M935" s="14">
        <v>20</v>
      </c>
      <c r="N935" s="14">
        <v>22096.2</v>
      </c>
      <c r="O935" s="14">
        <v>15909.26</v>
      </c>
      <c r="P935" s="14">
        <v>406</v>
      </c>
      <c r="Q935" s="14">
        <f t="shared" si="14"/>
        <v>104294.06</v>
      </c>
      <c r="R935" s="14">
        <v>104700.06</v>
      </c>
      <c r="S935" s="14" t="s">
        <v>83</v>
      </c>
      <c r="T935" s="14" t="s">
        <v>63</v>
      </c>
      <c r="U935" s="14" t="s">
        <v>76</v>
      </c>
      <c r="V935" s="14" t="s">
        <v>77</v>
      </c>
      <c r="W935" s="14" t="s">
        <v>57</v>
      </c>
      <c r="X935" s="14">
        <v>2</v>
      </c>
      <c r="Y935" s="14" t="s">
        <v>38</v>
      </c>
      <c r="Z935" s="14">
        <v>1</v>
      </c>
      <c r="AA935" s="14" t="s">
        <v>58</v>
      </c>
    </row>
    <row r="936" spans="1:27" x14ac:dyDescent="0.35">
      <c r="A936" s="14" t="s">
        <v>1606</v>
      </c>
      <c r="B936" s="15">
        <v>46095</v>
      </c>
      <c r="C936" s="14" t="s">
        <v>1268</v>
      </c>
      <c r="D936" s="14" t="s">
        <v>42</v>
      </c>
      <c r="E936" s="14" t="s">
        <v>43</v>
      </c>
      <c r="F936" s="14">
        <v>41</v>
      </c>
      <c r="G936" s="14" t="s">
        <v>74</v>
      </c>
      <c r="H936" s="14" t="s">
        <v>31</v>
      </c>
      <c r="I936" s="14" t="s">
        <v>74</v>
      </c>
      <c r="J936" s="14" t="s">
        <v>75</v>
      </c>
      <c r="K936" s="14">
        <v>5</v>
      </c>
      <c r="L936" s="14">
        <v>41450</v>
      </c>
      <c r="M936" s="14">
        <v>15</v>
      </c>
      <c r="N936" s="14">
        <v>31087.5</v>
      </c>
      <c r="O936" s="14">
        <v>31709.25</v>
      </c>
      <c r="P936" s="14">
        <v>432</v>
      </c>
      <c r="Q936" s="14">
        <f t="shared" si="14"/>
        <v>207871.75</v>
      </c>
      <c r="R936" s="14">
        <v>208303.75</v>
      </c>
      <c r="S936" s="14" t="s">
        <v>83</v>
      </c>
      <c r="T936" s="14" t="s">
        <v>63</v>
      </c>
      <c r="U936" s="14" t="s">
        <v>95</v>
      </c>
      <c r="V936" s="14" t="s">
        <v>96</v>
      </c>
      <c r="W936" s="14" t="s">
        <v>57</v>
      </c>
      <c r="X936" s="14">
        <v>10</v>
      </c>
      <c r="Y936" s="14" t="s">
        <v>47</v>
      </c>
      <c r="Z936" s="14">
        <v>3</v>
      </c>
      <c r="AA936" s="14" t="s">
        <v>91</v>
      </c>
    </row>
    <row r="937" spans="1:27" x14ac:dyDescent="0.35">
      <c r="A937" s="14" t="s">
        <v>1607</v>
      </c>
      <c r="B937" s="15">
        <v>45950</v>
      </c>
      <c r="C937" s="14" t="s">
        <v>1608</v>
      </c>
      <c r="D937" s="14" t="s">
        <v>108</v>
      </c>
      <c r="E937" s="14" t="s">
        <v>29</v>
      </c>
      <c r="F937" s="14">
        <v>49</v>
      </c>
      <c r="G937" s="14" t="s">
        <v>99</v>
      </c>
      <c r="H937" s="14" t="s">
        <v>52</v>
      </c>
      <c r="I937" s="14" t="s">
        <v>99</v>
      </c>
      <c r="J937" s="14" t="s">
        <v>53</v>
      </c>
      <c r="K937" s="14">
        <v>4</v>
      </c>
      <c r="L937" s="14">
        <v>26576</v>
      </c>
      <c r="M937" s="14">
        <v>5</v>
      </c>
      <c r="N937" s="14">
        <v>5315.2</v>
      </c>
      <c r="O937" s="14">
        <v>18177.98</v>
      </c>
      <c r="P937" s="14">
        <v>152</v>
      </c>
      <c r="Q937" s="14">
        <f t="shared" si="14"/>
        <v>119166.78</v>
      </c>
      <c r="R937" s="14">
        <v>119318.78</v>
      </c>
      <c r="S937" s="14" t="s">
        <v>45</v>
      </c>
      <c r="T937" s="14" t="s">
        <v>63</v>
      </c>
      <c r="U937" s="14" t="s">
        <v>103</v>
      </c>
      <c r="V937" s="14" t="s">
        <v>103</v>
      </c>
      <c r="W937" s="14" t="s">
        <v>57</v>
      </c>
      <c r="X937" s="14">
        <v>9</v>
      </c>
      <c r="Y937" s="14" t="s">
        <v>47</v>
      </c>
      <c r="Z937" s="14">
        <v>4</v>
      </c>
      <c r="AA937" s="14" t="s">
        <v>91</v>
      </c>
    </row>
    <row r="938" spans="1:27" x14ac:dyDescent="0.35">
      <c r="A938" s="14" t="s">
        <v>1609</v>
      </c>
      <c r="B938" s="15">
        <v>45800</v>
      </c>
      <c r="C938" s="14" t="s">
        <v>1111</v>
      </c>
      <c r="D938" s="14" t="s">
        <v>50</v>
      </c>
      <c r="E938" s="14" t="s">
        <v>43</v>
      </c>
      <c r="F938" s="14">
        <v>29</v>
      </c>
      <c r="G938" s="14" t="s">
        <v>30</v>
      </c>
      <c r="H938" s="14" t="s">
        <v>31</v>
      </c>
      <c r="I938" s="14" t="s">
        <v>30</v>
      </c>
      <c r="J938" s="14" t="s">
        <v>102</v>
      </c>
      <c r="K938" s="14">
        <v>1</v>
      </c>
      <c r="L938" s="14">
        <v>24845</v>
      </c>
      <c r="M938" s="14">
        <v>5</v>
      </c>
      <c r="N938" s="14">
        <v>1242.25</v>
      </c>
      <c r="O938" s="14">
        <v>4248.49</v>
      </c>
      <c r="P938" s="14">
        <v>17</v>
      </c>
      <c r="Q938" s="14">
        <f t="shared" si="14"/>
        <v>27851.24</v>
      </c>
      <c r="R938" s="14">
        <v>27868.240000000002</v>
      </c>
      <c r="S938" s="14" t="s">
        <v>45</v>
      </c>
      <c r="T938" s="14" t="s">
        <v>34</v>
      </c>
      <c r="U938" s="14" t="s">
        <v>35</v>
      </c>
      <c r="V938" s="14" t="s">
        <v>36</v>
      </c>
      <c r="W938" s="14" t="s">
        <v>37</v>
      </c>
      <c r="X938" s="14">
        <v>9</v>
      </c>
      <c r="Y938" s="14" t="s">
        <v>47</v>
      </c>
      <c r="Z938" s="14">
        <v>4</v>
      </c>
      <c r="AA938" s="14" t="s">
        <v>39</v>
      </c>
    </row>
    <row r="939" spans="1:27" x14ac:dyDescent="0.35">
      <c r="A939" s="14" t="s">
        <v>1610</v>
      </c>
      <c r="B939" s="15">
        <v>46115</v>
      </c>
      <c r="C939" s="14" t="s">
        <v>376</v>
      </c>
      <c r="D939" s="14" t="s">
        <v>111</v>
      </c>
      <c r="E939" s="14" t="s">
        <v>43</v>
      </c>
      <c r="F939" s="14">
        <v>55</v>
      </c>
      <c r="G939" s="14" t="s">
        <v>30</v>
      </c>
      <c r="H939" s="14" t="s">
        <v>31</v>
      </c>
      <c r="I939" s="14" t="s">
        <v>30</v>
      </c>
      <c r="J939" s="14" t="s">
        <v>53</v>
      </c>
      <c r="K939" s="14">
        <v>2</v>
      </c>
      <c r="L939" s="14">
        <v>49886</v>
      </c>
      <c r="M939" s="14">
        <v>15</v>
      </c>
      <c r="N939" s="14">
        <v>14965.8</v>
      </c>
      <c r="O939" s="14">
        <v>15265.12</v>
      </c>
      <c r="P939" s="14">
        <v>266</v>
      </c>
      <c r="Q939" s="14">
        <f t="shared" si="14"/>
        <v>100071.32</v>
      </c>
      <c r="R939" s="14">
        <v>100337.32</v>
      </c>
      <c r="S939" s="14" t="s">
        <v>54</v>
      </c>
      <c r="T939" s="14" t="s">
        <v>34</v>
      </c>
      <c r="U939" s="14" t="s">
        <v>55</v>
      </c>
      <c r="V939" s="14" t="s">
        <v>56</v>
      </c>
      <c r="W939" s="14" t="s">
        <v>57</v>
      </c>
      <c r="X939" s="14">
        <v>1</v>
      </c>
      <c r="Y939" s="14" t="s">
        <v>38</v>
      </c>
      <c r="Z939" s="14">
        <v>5</v>
      </c>
      <c r="AA939" s="14" t="s">
        <v>91</v>
      </c>
    </row>
    <row r="940" spans="1:27" x14ac:dyDescent="0.35">
      <c r="A940" s="14" t="s">
        <v>1611</v>
      </c>
      <c r="B940" s="15">
        <v>45946</v>
      </c>
      <c r="C940" s="14" t="s">
        <v>300</v>
      </c>
      <c r="D940" s="14" t="s">
        <v>108</v>
      </c>
      <c r="E940" s="14" t="s">
        <v>29</v>
      </c>
      <c r="F940" s="14">
        <v>52</v>
      </c>
      <c r="G940" s="14" t="s">
        <v>94</v>
      </c>
      <c r="H940" s="14" t="s">
        <v>31</v>
      </c>
      <c r="I940" s="14" t="s">
        <v>94</v>
      </c>
      <c r="J940" s="14" t="s">
        <v>32</v>
      </c>
      <c r="K940" s="14">
        <v>5</v>
      </c>
      <c r="L940" s="14">
        <v>31838</v>
      </c>
      <c r="M940" s="14">
        <v>15</v>
      </c>
      <c r="N940" s="14">
        <v>23878.5</v>
      </c>
      <c r="O940" s="14">
        <v>24356.07</v>
      </c>
      <c r="P940" s="14">
        <v>154</v>
      </c>
      <c r="Q940" s="14">
        <f t="shared" si="14"/>
        <v>159667.57</v>
      </c>
      <c r="R940" s="14">
        <v>159821.57</v>
      </c>
      <c r="S940" s="14" t="s">
        <v>33</v>
      </c>
      <c r="T940" s="14" t="s">
        <v>34</v>
      </c>
      <c r="U940" s="14" t="s">
        <v>76</v>
      </c>
      <c r="V940" s="14" t="s">
        <v>77</v>
      </c>
      <c r="W940" s="14" t="s">
        <v>57</v>
      </c>
      <c r="X940" s="14">
        <v>4</v>
      </c>
      <c r="Y940" s="14" t="s">
        <v>38</v>
      </c>
      <c r="Z940" s="14">
        <v>1</v>
      </c>
      <c r="AA940" s="14" t="s">
        <v>91</v>
      </c>
    </row>
    <row r="941" spans="1:27" x14ac:dyDescent="0.35">
      <c r="A941" s="14" t="s">
        <v>1612</v>
      </c>
      <c r="B941" s="15">
        <v>45829</v>
      </c>
      <c r="C941" s="14" t="s">
        <v>1613</v>
      </c>
      <c r="D941" s="14" t="s">
        <v>111</v>
      </c>
      <c r="E941" s="14" t="s">
        <v>29</v>
      </c>
      <c r="F941" s="14">
        <v>43</v>
      </c>
      <c r="G941" s="14" t="s">
        <v>51</v>
      </c>
      <c r="H941" s="14" t="s">
        <v>52</v>
      </c>
      <c r="I941" s="14" t="s">
        <v>51</v>
      </c>
      <c r="J941" s="14" t="s">
        <v>202</v>
      </c>
      <c r="K941" s="14">
        <v>5</v>
      </c>
      <c r="L941" s="14">
        <v>41624</v>
      </c>
      <c r="M941" s="14">
        <v>5</v>
      </c>
      <c r="N941" s="14">
        <v>10406</v>
      </c>
      <c r="O941" s="14">
        <v>35588.519999999997</v>
      </c>
      <c r="P941" s="14">
        <v>290</v>
      </c>
      <c r="Q941" s="14">
        <f t="shared" si="14"/>
        <v>233302.52</v>
      </c>
      <c r="R941" s="14">
        <v>233592.52</v>
      </c>
      <c r="S941" s="14" t="s">
        <v>33</v>
      </c>
      <c r="T941" s="14" t="s">
        <v>34</v>
      </c>
      <c r="U941" s="14" t="s">
        <v>84</v>
      </c>
      <c r="V941" s="14" t="s">
        <v>85</v>
      </c>
      <c r="W941" s="14" t="s">
        <v>86</v>
      </c>
      <c r="X941" s="14">
        <v>3</v>
      </c>
      <c r="Y941" s="14" t="s">
        <v>38</v>
      </c>
      <c r="Z941" s="14">
        <v>2</v>
      </c>
      <c r="AA941" s="14" t="s">
        <v>91</v>
      </c>
    </row>
    <row r="942" spans="1:27" x14ac:dyDescent="0.35">
      <c r="A942" s="14" t="s">
        <v>1614</v>
      </c>
      <c r="B942" s="15">
        <v>45943</v>
      </c>
      <c r="C942" s="14" t="s">
        <v>1615</v>
      </c>
      <c r="D942" s="14" t="s">
        <v>89</v>
      </c>
      <c r="E942" s="14" t="s">
        <v>29</v>
      </c>
      <c r="F942" s="14">
        <v>40</v>
      </c>
      <c r="G942" s="14" t="s">
        <v>51</v>
      </c>
      <c r="H942" s="14" t="s">
        <v>52</v>
      </c>
      <c r="I942" s="14" t="s">
        <v>51</v>
      </c>
      <c r="J942" s="14" t="s">
        <v>202</v>
      </c>
      <c r="K942" s="14">
        <v>5</v>
      </c>
      <c r="L942" s="14">
        <v>7734</v>
      </c>
      <c r="M942" s="14">
        <v>0</v>
      </c>
      <c r="N942" s="14">
        <v>0</v>
      </c>
      <c r="O942" s="14">
        <v>6960.6</v>
      </c>
      <c r="P942" s="14">
        <v>264</v>
      </c>
      <c r="Q942" s="14">
        <f t="shared" si="14"/>
        <v>45630.6</v>
      </c>
      <c r="R942" s="14">
        <v>45894.6</v>
      </c>
      <c r="S942" s="14" t="s">
        <v>54</v>
      </c>
      <c r="T942" s="14" t="s">
        <v>63</v>
      </c>
      <c r="U942" s="14" t="s">
        <v>35</v>
      </c>
      <c r="V942" s="14" t="s">
        <v>36</v>
      </c>
      <c r="W942" s="14" t="s">
        <v>37</v>
      </c>
      <c r="X942" s="14">
        <v>5</v>
      </c>
      <c r="Y942" s="14" t="s">
        <v>38</v>
      </c>
      <c r="Z942" s="14">
        <v>5</v>
      </c>
      <c r="AA942" s="14" t="s">
        <v>39</v>
      </c>
    </row>
    <row r="943" spans="1:27" x14ac:dyDescent="0.35">
      <c r="A943" s="14" t="s">
        <v>1616</v>
      </c>
      <c r="B943" s="15">
        <v>46001</v>
      </c>
      <c r="C943" s="14" t="s">
        <v>269</v>
      </c>
      <c r="D943" s="14" t="s">
        <v>61</v>
      </c>
      <c r="E943" s="14" t="s">
        <v>29</v>
      </c>
      <c r="F943" s="14">
        <v>46</v>
      </c>
      <c r="G943" s="14" t="s">
        <v>67</v>
      </c>
      <c r="H943" s="14" t="s">
        <v>68</v>
      </c>
      <c r="I943" s="14" t="s">
        <v>67</v>
      </c>
      <c r="J943" s="14" t="s">
        <v>202</v>
      </c>
      <c r="K943" s="14">
        <v>1</v>
      </c>
      <c r="L943" s="14">
        <v>13846</v>
      </c>
      <c r="M943" s="14">
        <v>5</v>
      </c>
      <c r="N943" s="14">
        <v>692.3</v>
      </c>
      <c r="O943" s="14">
        <v>2367.67</v>
      </c>
      <c r="P943" s="14">
        <v>300</v>
      </c>
      <c r="Q943" s="14">
        <f t="shared" si="14"/>
        <v>15521.37</v>
      </c>
      <c r="R943" s="14">
        <v>15821.37</v>
      </c>
      <c r="S943" s="14" t="s">
        <v>54</v>
      </c>
      <c r="T943" s="14" t="s">
        <v>63</v>
      </c>
      <c r="U943" s="14" t="s">
        <v>55</v>
      </c>
      <c r="V943" s="14" t="s">
        <v>56</v>
      </c>
      <c r="W943" s="14" t="s">
        <v>57</v>
      </c>
      <c r="X943" s="14">
        <v>6</v>
      </c>
      <c r="Y943" s="14" t="s">
        <v>47</v>
      </c>
      <c r="Z943" s="14">
        <v>5</v>
      </c>
      <c r="AA943" s="14" t="s">
        <v>58</v>
      </c>
    </row>
    <row r="944" spans="1:27" x14ac:dyDescent="0.35">
      <c r="A944" s="14" t="s">
        <v>1617</v>
      </c>
      <c r="B944" s="15">
        <v>46073</v>
      </c>
      <c r="C944" s="14" t="s">
        <v>714</v>
      </c>
      <c r="D944" s="14" t="s">
        <v>42</v>
      </c>
      <c r="E944" s="14" t="s">
        <v>43</v>
      </c>
      <c r="F944" s="14">
        <v>51</v>
      </c>
      <c r="G944" s="14" t="s">
        <v>67</v>
      </c>
      <c r="H944" s="14" t="s">
        <v>68</v>
      </c>
      <c r="I944" s="14" t="s">
        <v>67</v>
      </c>
      <c r="J944" s="14" t="s">
        <v>202</v>
      </c>
      <c r="K944" s="14">
        <v>3</v>
      </c>
      <c r="L944" s="14">
        <v>7577</v>
      </c>
      <c r="M944" s="14">
        <v>10</v>
      </c>
      <c r="N944" s="14">
        <v>2273.1</v>
      </c>
      <c r="O944" s="14">
        <v>3682.42</v>
      </c>
      <c r="P944" s="14">
        <v>242</v>
      </c>
      <c r="Q944" s="14">
        <f t="shared" si="14"/>
        <v>24140.32</v>
      </c>
      <c r="R944" s="14">
        <v>24382.32</v>
      </c>
      <c r="S944" s="14" t="s">
        <v>33</v>
      </c>
      <c r="T944" s="14" t="s">
        <v>34</v>
      </c>
      <c r="U944" s="14" t="s">
        <v>70</v>
      </c>
      <c r="V944" s="14" t="s">
        <v>56</v>
      </c>
      <c r="W944" s="14" t="s">
        <v>57</v>
      </c>
      <c r="X944" s="14">
        <v>1</v>
      </c>
      <c r="Y944" s="14" t="s">
        <v>38</v>
      </c>
      <c r="Z944" s="14">
        <v>2</v>
      </c>
      <c r="AA944" s="14" t="s">
        <v>47</v>
      </c>
    </row>
    <row r="945" spans="1:27" x14ac:dyDescent="0.35">
      <c r="A945" s="14" t="s">
        <v>1618</v>
      </c>
      <c r="B945" s="15">
        <v>46119</v>
      </c>
      <c r="C945" s="14" t="s">
        <v>1619</v>
      </c>
      <c r="D945" s="14" t="s">
        <v>61</v>
      </c>
      <c r="E945" s="14" t="s">
        <v>29</v>
      </c>
      <c r="F945" s="14">
        <v>20</v>
      </c>
      <c r="G945" s="14" t="s">
        <v>44</v>
      </c>
      <c r="H945" s="14" t="s">
        <v>31</v>
      </c>
      <c r="I945" s="14" t="s">
        <v>44</v>
      </c>
      <c r="J945" s="14" t="s">
        <v>53</v>
      </c>
      <c r="K945" s="14">
        <v>5</v>
      </c>
      <c r="L945" s="14">
        <v>32146</v>
      </c>
      <c r="M945" s="14">
        <v>10</v>
      </c>
      <c r="N945" s="14">
        <v>16073</v>
      </c>
      <c r="O945" s="14">
        <v>26038.26</v>
      </c>
      <c r="P945" s="14">
        <v>38</v>
      </c>
      <c r="Q945" s="14">
        <f t="shared" si="14"/>
        <v>170695.26</v>
      </c>
      <c r="R945" s="14">
        <v>170733.26</v>
      </c>
      <c r="S945" s="14" t="s">
        <v>33</v>
      </c>
      <c r="T945" s="14" t="s">
        <v>63</v>
      </c>
      <c r="U945" s="14" t="s">
        <v>70</v>
      </c>
      <c r="V945" s="14" t="s">
        <v>56</v>
      </c>
      <c r="W945" s="14" t="s">
        <v>57</v>
      </c>
      <c r="X945" s="14">
        <v>3</v>
      </c>
      <c r="Y945" s="14" t="s">
        <v>47</v>
      </c>
      <c r="Z945" s="14">
        <v>1</v>
      </c>
      <c r="AA945" s="14" t="s">
        <v>47</v>
      </c>
    </row>
    <row r="946" spans="1:27" x14ac:dyDescent="0.35">
      <c r="A946" s="14" t="s">
        <v>1620</v>
      </c>
      <c r="B946" s="15">
        <v>45976</v>
      </c>
      <c r="C946" s="14" t="s">
        <v>1188</v>
      </c>
      <c r="D946" s="14" t="s">
        <v>61</v>
      </c>
      <c r="E946" s="14" t="s">
        <v>29</v>
      </c>
      <c r="F946" s="14">
        <v>37</v>
      </c>
      <c r="G946" s="14" t="s">
        <v>134</v>
      </c>
      <c r="H946" s="14" t="s">
        <v>31</v>
      </c>
      <c r="I946" s="14" t="s">
        <v>134</v>
      </c>
      <c r="J946" s="14" t="s">
        <v>32</v>
      </c>
      <c r="K946" s="14">
        <v>2</v>
      </c>
      <c r="L946" s="14">
        <v>36331</v>
      </c>
      <c r="M946" s="14">
        <v>15</v>
      </c>
      <c r="N946" s="14">
        <v>10899.3</v>
      </c>
      <c r="O946" s="14">
        <v>11117.29</v>
      </c>
      <c r="P946" s="14">
        <v>386</v>
      </c>
      <c r="Q946" s="14">
        <f t="shared" si="14"/>
        <v>72879.990000000005</v>
      </c>
      <c r="R946" s="14">
        <v>73265.990000000005</v>
      </c>
      <c r="S946" s="14" t="s">
        <v>45</v>
      </c>
      <c r="T946" s="14" t="s">
        <v>34</v>
      </c>
      <c r="U946" s="14" t="s">
        <v>35</v>
      </c>
      <c r="V946" s="14" t="s">
        <v>36</v>
      </c>
      <c r="W946" s="14" t="s">
        <v>37</v>
      </c>
      <c r="X946" s="14">
        <v>3</v>
      </c>
      <c r="Y946" s="14" t="s">
        <v>47</v>
      </c>
      <c r="Z946" s="14">
        <v>5</v>
      </c>
      <c r="AA946" s="14" t="s">
        <v>91</v>
      </c>
    </row>
    <row r="947" spans="1:27" x14ac:dyDescent="0.35">
      <c r="A947" s="14" t="s">
        <v>1621</v>
      </c>
      <c r="B947" s="15">
        <v>45970</v>
      </c>
      <c r="C947" s="14" t="s">
        <v>1622</v>
      </c>
      <c r="D947" s="14" t="s">
        <v>61</v>
      </c>
      <c r="E947" s="14" t="s">
        <v>43</v>
      </c>
      <c r="F947" s="14">
        <v>54</v>
      </c>
      <c r="G947" s="14" t="s">
        <v>67</v>
      </c>
      <c r="H947" s="14" t="s">
        <v>68</v>
      </c>
      <c r="I947" s="14" t="s">
        <v>67</v>
      </c>
      <c r="J947" s="14" t="s">
        <v>62</v>
      </c>
      <c r="K947" s="14">
        <v>3</v>
      </c>
      <c r="L947" s="14">
        <v>30863</v>
      </c>
      <c r="M947" s="14">
        <v>0</v>
      </c>
      <c r="N947" s="14">
        <v>0</v>
      </c>
      <c r="O947" s="14">
        <v>16666.02</v>
      </c>
      <c r="P947" s="14">
        <v>493</v>
      </c>
      <c r="Q947" s="14">
        <f t="shared" si="14"/>
        <v>109255.02</v>
      </c>
      <c r="R947" s="14">
        <v>109748.02</v>
      </c>
      <c r="S947" s="14" t="s">
        <v>83</v>
      </c>
      <c r="T947" s="14" t="s">
        <v>63</v>
      </c>
      <c r="U947" s="14" t="s">
        <v>70</v>
      </c>
      <c r="V947" s="14" t="s">
        <v>56</v>
      </c>
      <c r="W947" s="14" t="s">
        <v>57</v>
      </c>
      <c r="X947" s="14">
        <v>10</v>
      </c>
      <c r="Y947" s="14" t="s">
        <v>38</v>
      </c>
      <c r="Z947" s="14">
        <v>3</v>
      </c>
      <c r="AA947" s="14" t="s">
        <v>58</v>
      </c>
    </row>
    <row r="948" spans="1:27" x14ac:dyDescent="0.35">
      <c r="A948" s="14" t="s">
        <v>1623</v>
      </c>
      <c r="B948" s="15">
        <v>46095</v>
      </c>
      <c r="C948" s="14" t="s">
        <v>1266</v>
      </c>
      <c r="D948" s="14" t="s">
        <v>42</v>
      </c>
      <c r="E948" s="14" t="s">
        <v>43</v>
      </c>
      <c r="F948" s="14">
        <v>18</v>
      </c>
      <c r="G948" s="14" t="s">
        <v>134</v>
      </c>
      <c r="H948" s="14" t="s">
        <v>31</v>
      </c>
      <c r="I948" s="14" t="s">
        <v>134</v>
      </c>
      <c r="J948" s="14" t="s">
        <v>69</v>
      </c>
      <c r="K948" s="14">
        <v>1</v>
      </c>
      <c r="L948" s="14">
        <v>14652</v>
      </c>
      <c r="M948" s="14">
        <v>0</v>
      </c>
      <c r="N948" s="14">
        <v>0</v>
      </c>
      <c r="O948" s="14">
        <v>2637.36</v>
      </c>
      <c r="P948" s="14">
        <v>24</v>
      </c>
      <c r="Q948" s="14">
        <f t="shared" si="14"/>
        <v>17289.36</v>
      </c>
      <c r="R948" s="14">
        <v>17313.36</v>
      </c>
      <c r="S948" s="14" t="s">
        <v>83</v>
      </c>
      <c r="T948" s="14" t="s">
        <v>63</v>
      </c>
      <c r="U948" s="14" t="s">
        <v>55</v>
      </c>
      <c r="V948" s="14" t="s">
        <v>56</v>
      </c>
      <c r="W948" s="14" t="s">
        <v>57</v>
      </c>
      <c r="X948" s="14">
        <v>4</v>
      </c>
      <c r="Y948" s="14" t="s">
        <v>38</v>
      </c>
      <c r="Z948" s="14">
        <v>4</v>
      </c>
      <c r="AA948" s="14" t="s">
        <v>47</v>
      </c>
    </row>
    <row r="949" spans="1:27" x14ac:dyDescent="0.35">
      <c r="A949" s="14" t="s">
        <v>1624</v>
      </c>
      <c r="B949" s="15">
        <v>46118</v>
      </c>
      <c r="C949" s="14" t="s">
        <v>741</v>
      </c>
      <c r="D949" s="14" t="s">
        <v>80</v>
      </c>
      <c r="E949" s="14" t="s">
        <v>43</v>
      </c>
      <c r="F949" s="14">
        <v>21</v>
      </c>
      <c r="G949" s="14" t="s">
        <v>30</v>
      </c>
      <c r="H949" s="14" t="s">
        <v>31</v>
      </c>
      <c r="I949" s="14" t="s">
        <v>30</v>
      </c>
      <c r="J949" s="14" t="s">
        <v>202</v>
      </c>
      <c r="K949" s="14">
        <v>5</v>
      </c>
      <c r="L949" s="14">
        <v>1032</v>
      </c>
      <c r="M949" s="14">
        <v>10</v>
      </c>
      <c r="N949" s="14">
        <v>516</v>
      </c>
      <c r="O949" s="14">
        <v>835.92</v>
      </c>
      <c r="P949" s="14">
        <v>234</v>
      </c>
      <c r="Q949" s="14">
        <f t="shared" si="14"/>
        <v>5479.92</v>
      </c>
      <c r="R949" s="14">
        <v>5713.92</v>
      </c>
      <c r="S949" s="14" t="s">
        <v>83</v>
      </c>
      <c r="T949" s="14" t="s">
        <v>34</v>
      </c>
      <c r="U949" s="14" t="s">
        <v>35</v>
      </c>
      <c r="V949" s="14" t="s">
        <v>36</v>
      </c>
      <c r="W949" s="14" t="s">
        <v>37</v>
      </c>
      <c r="X949" s="14">
        <v>4</v>
      </c>
      <c r="Y949" s="14" t="s">
        <v>38</v>
      </c>
      <c r="Z949" s="14">
        <v>3</v>
      </c>
      <c r="AA949" s="14" t="s">
        <v>39</v>
      </c>
    </row>
    <row r="950" spans="1:27" x14ac:dyDescent="0.35">
      <c r="A950" s="14" t="s">
        <v>1625</v>
      </c>
      <c r="B950" s="15">
        <v>45766</v>
      </c>
      <c r="C950" s="14" t="s">
        <v>1626</v>
      </c>
      <c r="D950" s="14" t="s">
        <v>89</v>
      </c>
      <c r="E950" s="14" t="s">
        <v>29</v>
      </c>
      <c r="F950" s="14">
        <v>42</v>
      </c>
      <c r="G950" s="14" t="s">
        <v>90</v>
      </c>
      <c r="H950" s="14" t="s">
        <v>31</v>
      </c>
      <c r="I950" s="14" t="s">
        <v>90</v>
      </c>
      <c r="J950" s="14" t="s">
        <v>62</v>
      </c>
      <c r="K950" s="14">
        <v>5</v>
      </c>
      <c r="L950" s="14">
        <v>4697</v>
      </c>
      <c r="M950" s="14">
        <v>0</v>
      </c>
      <c r="N950" s="14">
        <v>0</v>
      </c>
      <c r="O950" s="14">
        <v>4227.3</v>
      </c>
      <c r="P950" s="14">
        <v>377</v>
      </c>
      <c r="Q950" s="14">
        <f t="shared" si="14"/>
        <v>27712.3</v>
      </c>
      <c r="R950" s="14">
        <v>28089.3</v>
      </c>
      <c r="S950" s="14" t="s">
        <v>83</v>
      </c>
      <c r="T950" s="14" t="s">
        <v>63</v>
      </c>
      <c r="U950" s="14" t="s">
        <v>46</v>
      </c>
      <c r="V950" s="14" t="s">
        <v>36</v>
      </c>
      <c r="W950" s="14" t="s">
        <v>37</v>
      </c>
      <c r="X950" s="14">
        <v>7</v>
      </c>
      <c r="Y950" s="14" t="s">
        <v>38</v>
      </c>
      <c r="Z950" s="14">
        <v>3</v>
      </c>
      <c r="AA950" s="14" t="s">
        <v>39</v>
      </c>
    </row>
    <row r="951" spans="1:27" x14ac:dyDescent="0.35">
      <c r="A951" s="14" t="s">
        <v>1627</v>
      </c>
      <c r="B951" s="15">
        <v>46079</v>
      </c>
      <c r="C951" s="14" t="s">
        <v>1628</v>
      </c>
      <c r="D951" s="14" t="s">
        <v>73</v>
      </c>
      <c r="E951" s="14" t="s">
        <v>43</v>
      </c>
      <c r="F951" s="14">
        <v>44</v>
      </c>
      <c r="G951" s="14" t="s">
        <v>139</v>
      </c>
      <c r="H951" s="14" t="s">
        <v>31</v>
      </c>
      <c r="I951" s="14" t="s">
        <v>139</v>
      </c>
      <c r="J951" s="14" t="s">
        <v>75</v>
      </c>
      <c r="K951" s="14">
        <v>1</v>
      </c>
      <c r="L951" s="14">
        <v>5912</v>
      </c>
      <c r="M951" s="14">
        <v>10</v>
      </c>
      <c r="N951" s="14">
        <v>591.20000000000005</v>
      </c>
      <c r="O951" s="14">
        <v>957.74</v>
      </c>
      <c r="P951" s="14">
        <v>45</v>
      </c>
      <c r="Q951" s="14">
        <f t="shared" si="14"/>
        <v>6278.54</v>
      </c>
      <c r="R951" s="14">
        <v>6323.54</v>
      </c>
      <c r="S951" s="14" t="s">
        <v>33</v>
      </c>
      <c r="T951" s="14" t="s">
        <v>34</v>
      </c>
      <c r="U951" s="14" t="s">
        <v>35</v>
      </c>
      <c r="V951" s="14" t="s">
        <v>36</v>
      </c>
      <c r="W951" s="14" t="s">
        <v>37</v>
      </c>
      <c r="X951" s="14">
        <v>2</v>
      </c>
      <c r="Y951" s="14" t="s">
        <v>47</v>
      </c>
      <c r="Z951" s="14">
        <v>2</v>
      </c>
      <c r="AA951" s="14" t="s">
        <v>39</v>
      </c>
    </row>
    <row r="952" spans="1:27" x14ac:dyDescent="0.35">
      <c r="A952" s="14" t="s">
        <v>1629</v>
      </c>
      <c r="B952" s="15">
        <v>45973</v>
      </c>
      <c r="C952" s="14" t="s">
        <v>1630</v>
      </c>
      <c r="D952" s="14" t="s">
        <v>80</v>
      </c>
      <c r="E952" s="14" t="s">
        <v>29</v>
      </c>
      <c r="F952" s="14">
        <v>39</v>
      </c>
      <c r="G952" s="14" t="s">
        <v>51</v>
      </c>
      <c r="H952" s="14" t="s">
        <v>52</v>
      </c>
      <c r="I952" s="14" t="s">
        <v>51</v>
      </c>
      <c r="J952" s="14" t="s">
        <v>53</v>
      </c>
      <c r="K952" s="14">
        <v>2</v>
      </c>
      <c r="L952" s="14">
        <v>43132</v>
      </c>
      <c r="M952" s="14">
        <v>0</v>
      </c>
      <c r="N952" s="14">
        <v>0</v>
      </c>
      <c r="O952" s="14">
        <v>15527.52</v>
      </c>
      <c r="P952" s="14">
        <v>296</v>
      </c>
      <c r="Q952" s="14">
        <f t="shared" si="14"/>
        <v>101791.52</v>
      </c>
      <c r="R952" s="14">
        <v>102087.52</v>
      </c>
      <c r="S952" s="14" t="s">
        <v>45</v>
      </c>
      <c r="T952" s="14" t="s">
        <v>34</v>
      </c>
      <c r="U952" s="14" t="s">
        <v>55</v>
      </c>
      <c r="V952" s="14" t="s">
        <v>56</v>
      </c>
      <c r="W952" s="14" t="s">
        <v>57</v>
      </c>
      <c r="X952" s="14">
        <v>7</v>
      </c>
      <c r="Y952" s="14" t="s">
        <v>47</v>
      </c>
      <c r="Z952" s="14">
        <v>1</v>
      </c>
      <c r="AA952" s="14" t="s">
        <v>39</v>
      </c>
    </row>
    <row r="953" spans="1:27" x14ac:dyDescent="0.35">
      <c r="A953" s="14" t="s">
        <v>1631</v>
      </c>
      <c r="B953" s="15">
        <v>45772</v>
      </c>
      <c r="C953" s="14" t="s">
        <v>1098</v>
      </c>
      <c r="D953" s="14" t="s">
        <v>66</v>
      </c>
      <c r="E953" s="14" t="s">
        <v>43</v>
      </c>
      <c r="F953" s="14">
        <v>23</v>
      </c>
      <c r="G953" s="14" t="s">
        <v>139</v>
      </c>
      <c r="H953" s="14" t="s">
        <v>31</v>
      </c>
      <c r="I953" s="14" t="s">
        <v>139</v>
      </c>
      <c r="J953" s="14" t="s">
        <v>69</v>
      </c>
      <c r="K953" s="14">
        <v>1</v>
      </c>
      <c r="L953" s="14">
        <v>47653</v>
      </c>
      <c r="M953" s="14">
        <v>5</v>
      </c>
      <c r="N953" s="14">
        <v>2382.65</v>
      </c>
      <c r="O953" s="14">
        <v>8148.66</v>
      </c>
      <c r="P953" s="14">
        <v>319</v>
      </c>
      <c r="Q953" s="14">
        <f t="shared" si="14"/>
        <v>53419.01</v>
      </c>
      <c r="R953" s="14">
        <v>53738.01</v>
      </c>
      <c r="S953" s="14" t="s">
        <v>33</v>
      </c>
      <c r="T953" s="14" t="s">
        <v>34</v>
      </c>
      <c r="U953" s="14" t="s">
        <v>84</v>
      </c>
      <c r="V953" s="14" t="s">
        <v>85</v>
      </c>
      <c r="W953" s="14" t="s">
        <v>86</v>
      </c>
      <c r="X953" s="14">
        <v>9</v>
      </c>
      <c r="Y953" s="14" t="s">
        <v>47</v>
      </c>
      <c r="Z953" s="14">
        <v>3</v>
      </c>
      <c r="AA953" s="14" t="s">
        <v>39</v>
      </c>
    </row>
    <row r="954" spans="1:27" x14ac:dyDescent="0.35">
      <c r="A954" s="14" t="s">
        <v>1632</v>
      </c>
      <c r="B954" s="15">
        <v>46063</v>
      </c>
      <c r="C954" s="14" t="s">
        <v>1427</v>
      </c>
      <c r="D954" s="14" t="s">
        <v>108</v>
      </c>
      <c r="E954" s="14" t="s">
        <v>43</v>
      </c>
      <c r="F954" s="14">
        <v>49</v>
      </c>
      <c r="G954" s="14" t="s">
        <v>139</v>
      </c>
      <c r="H954" s="14" t="s">
        <v>31</v>
      </c>
      <c r="I954" s="14" t="s">
        <v>139</v>
      </c>
      <c r="J954" s="14" t="s">
        <v>75</v>
      </c>
      <c r="K954" s="14">
        <v>5</v>
      </c>
      <c r="L954" s="14">
        <v>34519</v>
      </c>
      <c r="M954" s="14">
        <v>10</v>
      </c>
      <c r="N954" s="14">
        <v>17259.5</v>
      </c>
      <c r="O954" s="14">
        <v>27960.39</v>
      </c>
      <c r="P954" s="14">
        <v>202</v>
      </c>
      <c r="Q954" s="14">
        <f t="shared" si="14"/>
        <v>183295.89</v>
      </c>
      <c r="R954" s="14">
        <v>183497.89</v>
      </c>
      <c r="S954" s="14" t="s">
        <v>33</v>
      </c>
      <c r="T954" s="14" t="s">
        <v>34</v>
      </c>
      <c r="U954" s="14" t="s">
        <v>46</v>
      </c>
      <c r="V954" s="14" t="s">
        <v>36</v>
      </c>
      <c r="W954" s="14" t="s">
        <v>37</v>
      </c>
      <c r="X954" s="14">
        <v>4</v>
      </c>
      <c r="Y954" s="14" t="s">
        <v>38</v>
      </c>
      <c r="Z954" s="14">
        <v>1</v>
      </c>
      <c r="AA954" s="14" t="s">
        <v>58</v>
      </c>
    </row>
    <row r="955" spans="1:27" x14ac:dyDescent="0.35">
      <c r="A955" s="14" t="s">
        <v>1633</v>
      </c>
      <c r="B955" s="15">
        <v>45971</v>
      </c>
      <c r="C955" s="14" t="s">
        <v>1634</v>
      </c>
      <c r="D955" s="14" t="s">
        <v>80</v>
      </c>
      <c r="E955" s="14" t="s">
        <v>29</v>
      </c>
      <c r="F955" s="14">
        <v>23</v>
      </c>
      <c r="G955" s="14" t="s">
        <v>99</v>
      </c>
      <c r="H955" s="14" t="s">
        <v>52</v>
      </c>
      <c r="I955" s="14" t="s">
        <v>99</v>
      </c>
      <c r="J955" s="14" t="s">
        <v>150</v>
      </c>
      <c r="K955" s="14">
        <v>3</v>
      </c>
      <c r="L955" s="14">
        <v>39182</v>
      </c>
      <c r="M955" s="14">
        <v>15</v>
      </c>
      <c r="N955" s="14">
        <v>17631.900000000001</v>
      </c>
      <c r="O955" s="14">
        <v>17984.54</v>
      </c>
      <c r="P955" s="14">
        <v>76</v>
      </c>
      <c r="Q955" s="14">
        <f t="shared" si="14"/>
        <v>117898.64</v>
      </c>
      <c r="R955" s="14">
        <v>117974.64</v>
      </c>
      <c r="S955" s="14" t="s">
        <v>54</v>
      </c>
      <c r="T955" s="14" t="s">
        <v>34</v>
      </c>
      <c r="U955" s="14" t="s">
        <v>76</v>
      </c>
      <c r="V955" s="14" t="s">
        <v>77</v>
      </c>
      <c r="W955" s="14" t="s">
        <v>57</v>
      </c>
      <c r="X955" s="14">
        <v>6</v>
      </c>
      <c r="Y955" s="14" t="s">
        <v>38</v>
      </c>
      <c r="Z955" s="14">
        <v>5</v>
      </c>
      <c r="AA955" s="14" t="s">
        <v>39</v>
      </c>
    </row>
    <row r="956" spans="1:27" x14ac:dyDescent="0.35">
      <c r="A956" s="14" t="s">
        <v>1635</v>
      </c>
      <c r="B956" s="15">
        <v>45793</v>
      </c>
      <c r="C956" s="14" t="s">
        <v>1002</v>
      </c>
      <c r="D956" s="14" t="s">
        <v>50</v>
      </c>
      <c r="E956" s="14" t="s">
        <v>29</v>
      </c>
      <c r="F956" s="14">
        <v>51</v>
      </c>
      <c r="G956" s="14" t="s">
        <v>139</v>
      </c>
      <c r="H956" s="14" t="s">
        <v>31</v>
      </c>
      <c r="I956" s="14" t="s">
        <v>1636</v>
      </c>
      <c r="J956" s="14" t="s">
        <v>32</v>
      </c>
      <c r="K956" s="14">
        <v>4</v>
      </c>
      <c r="L956" s="14">
        <v>34291</v>
      </c>
      <c r="M956" s="14">
        <v>20</v>
      </c>
      <c r="N956" s="14">
        <v>27432.799999999999</v>
      </c>
      <c r="O956" s="14">
        <v>19751.62</v>
      </c>
      <c r="P956" s="14">
        <v>458</v>
      </c>
      <c r="Q956" s="14">
        <f t="shared" si="14"/>
        <v>129482.82</v>
      </c>
      <c r="R956" s="14">
        <v>129940.82</v>
      </c>
      <c r="S956" s="14" t="s">
        <v>83</v>
      </c>
      <c r="T956" s="14" t="s">
        <v>63</v>
      </c>
      <c r="U956" s="14" t="s">
        <v>35</v>
      </c>
      <c r="V956" s="14" t="s">
        <v>36</v>
      </c>
      <c r="W956" s="14" t="s">
        <v>37</v>
      </c>
      <c r="X956" s="14">
        <v>7</v>
      </c>
      <c r="Y956" s="14" t="s">
        <v>47</v>
      </c>
      <c r="Z956" s="14">
        <v>4</v>
      </c>
      <c r="AA956" s="14" t="s">
        <v>39</v>
      </c>
    </row>
    <row r="957" spans="1:27" x14ac:dyDescent="0.35">
      <c r="A957" s="14" t="s">
        <v>1637</v>
      </c>
      <c r="B957" s="15">
        <v>45790</v>
      </c>
      <c r="C957" s="14" t="s">
        <v>510</v>
      </c>
      <c r="D957" s="14" t="s">
        <v>61</v>
      </c>
      <c r="E957" s="14" t="s">
        <v>43</v>
      </c>
      <c r="F957" s="14">
        <v>44</v>
      </c>
      <c r="G957" s="14" t="s">
        <v>99</v>
      </c>
      <c r="H957" s="14" t="s">
        <v>52</v>
      </c>
      <c r="I957" s="14" t="s">
        <v>99</v>
      </c>
      <c r="J957" s="14" t="s">
        <v>62</v>
      </c>
      <c r="K957" s="14">
        <v>4</v>
      </c>
      <c r="L957" s="14">
        <v>30226</v>
      </c>
      <c r="M957" s="14">
        <v>0</v>
      </c>
      <c r="N957" s="14">
        <v>0</v>
      </c>
      <c r="O957" s="14">
        <v>21762.720000000001</v>
      </c>
      <c r="P957" s="14">
        <v>174</v>
      </c>
      <c r="Q957" s="14">
        <f t="shared" si="14"/>
        <v>142666.72</v>
      </c>
      <c r="R957" s="14">
        <v>142840.72</v>
      </c>
      <c r="S957" s="14" t="s">
        <v>33</v>
      </c>
      <c r="T957" s="14" t="s">
        <v>63</v>
      </c>
      <c r="U957" s="14" t="s">
        <v>76</v>
      </c>
      <c r="V957" s="14" t="s">
        <v>77</v>
      </c>
      <c r="W957" s="14" t="s">
        <v>57</v>
      </c>
      <c r="X957" s="14">
        <v>7</v>
      </c>
      <c r="Y957" s="14" t="s">
        <v>38</v>
      </c>
      <c r="Z957" s="14">
        <v>3</v>
      </c>
      <c r="AA957" s="14" t="s">
        <v>47</v>
      </c>
    </row>
    <row r="958" spans="1:27" x14ac:dyDescent="0.35">
      <c r="A958" s="14" t="s">
        <v>1638</v>
      </c>
      <c r="B958" s="15">
        <v>46091</v>
      </c>
      <c r="C958" s="14" t="s">
        <v>972</v>
      </c>
      <c r="D958" s="14" t="s">
        <v>108</v>
      </c>
      <c r="E958" s="14" t="s">
        <v>29</v>
      </c>
      <c r="F958" s="14">
        <v>54</v>
      </c>
      <c r="G958" s="14" t="s">
        <v>90</v>
      </c>
      <c r="H958" s="14" t="s">
        <v>31</v>
      </c>
      <c r="I958" s="14" t="s">
        <v>90</v>
      </c>
      <c r="J958" s="14" t="s">
        <v>150</v>
      </c>
      <c r="K958" s="14">
        <v>3</v>
      </c>
      <c r="L958" s="14">
        <v>3452</v>
      </c>
      <c r="M958" s="14">
        <v>20</v>
      </c>
      <c r="N958" s="14">
        <v>2071.1999999999998</v>
      </c>
      <c r="O958" s="14">
        <v>1491.26</v>
      </c>
      <c r="P958" s="14">
        <v>219</v>
      </c>
      <c r="Q958" s="14">
        <f t="shared" si="14"/>
        <v>9776.06</v>
      </c>
      <c r="R958" s="14">
        <v>9995.06</v>
      </c>
      <c r="S958" s="14" t="s">
        <v>45</v>
      </c>
      <c r="T958" s="14" t="s">
        <v>34</v>
      </c>
      <c r="U958" s="14" t="s">
        <v>76</v>
      </c>
      <c r="V958" s="14" t="s">
        <v>77</v>
      </c>
      <c r="W958" s="14" t="s">
        <v>57</v>
      </c>
      <c r="X958" s="14">
        <v>5</v>
      </c>
      <c r="Y958" s="14" t="s">
        <v>47</v>
      </c>
      <c r="Z958" s="14">
        <v>3</v>
      </c>
      <c r="AA958" s="14" t="s">
        <v>91</v>
      </c>
    </row>
    <row r="959" spans="1:27" x14ac:dyDescent="0.35">
      <c r="A959" s="14" t="s">
        <v>1639</v>
      </c>
      <c r="B959" s="15">
        <v>46002</v>
      </c>
      <c r="C959" s="14" t="s">
        <v>1305</v>
      </c>
      <c r="D959" s="14" t="s">
        <v>42</v>
      </c>
      <c r="E959" s="14" t="s">
        <v>43</v>
      </c>
      <c r="F959" s="14">
        <v>24</v>
      </c>
      <c r="G959" s="14" t="s">
        <v>94</v>
      </c>
      <c r="H959" s="14" t="s">
        <v>31</v>
      </c>
      <c r="I959" s="14" t="s">
        <v>94</v>
      </c>
      <c r="J959" s="14" t="s">
        <v>69</v>
      </c>
      <c r="K959" s="14">
        <v>4</v>
      </c>
      <c r="L959" s="14">
        <v>29812</v>
      </c>
      <c r="M959" s="14">
        <v>5</v>
      </c>
      <c r="N959" s="14">
        <v>5962.4</v>
      </c>
      <c r="O959" s="14">
        <v>20391.41</v>
      </c>
      <c r="P959" s="14">
        <v>257</v>
      </c>
      <c r="Q959" s="14">
        <f t="shared" si="14"/>
        <v>133677.01</v>
      </c>
      <c r="R959" s="14">
        <v>133934.01</v>
      </c>
      <c r="S959" s="14" t="s">
        <v>83</v>
      </c>
      <c r="T959" s="14" t="s">
        <v>34</v>
      </c>
      <c r="U959" s="14" t="s">
        <v>84</v>
      </c>
      <c r="V959" s="14" t="s">
        <v>85</v>
      </c>
      <c r="W959" s="14" t="s">
        <v>86</v>
      </c>
      <c r="X959" s="14">
        <v>7</v>
      </c>
      <c r="Y959" s="14" t="s">
        <v>47</v>
      </c>
      <c r="Z959" s="14">
        <v>3</v>
      </c>
      <c r="AA959" s="14" t="s">
        <v>39</v>
      </c>
    </row>
    <row r="960" spans="1:27" x14ac:dyDescent="0.35">
      <c r="A960" s="14" t="s">
        <v>1640</v>
      </c>
      <c r="B960" s="15">
        <v>45757</v>
      </c>
      <c r="C960" s="14" t="s">
        <v>1467</v>
      </c>
      <c r="D960" s="14" t="s">
        <v>108</v>
      </c>
      <c r="E960" s="14" t="s">
        <v>29</v>
      </c>
      <c r="F960" s="14">
        <v>33</v>
      </c>
      <c r="G960" s="14" t="s">
        <v>94</v>
      </c>
      <c r="H960" s="14" t="s">
        <v>31</v>
      </c>
      <c r="I960" s="14" t="s">
        <v>1636</v>
      </c>
      <c r="J960" s="14" t="s">
        <v>125</v>
      </c>
      <c r="K960" s="14">
        <v>4</v>
      </c>
      <c r="L960" s="14">
        <v>12665</v>
      </c>
      <c r="M960" s="14">
        <v>10</v>
      </c>
      <c r="N960" s="14">
        <v>5066</v>
      </c>
      <c r="O960" s="14">
        <v>8206.92</v>
      </c>
      <c r="P960" s="14">
        <v>304</v>
      </c>
      <c r="Q960" s="14">
        <f t="shared" si="14"/>
        <v>53800.92</v>
      </c>
      <c r="R960" s="14">
        <v>54104.92</v>
      </c>
      <c r="S960" s="14" t="s">
        <v>33</v>
      </c>
      <c r="T960" s="14" t="s">
        <v>34</v>
      </c>
      <c r="U960" s="14" t="s">
        <v>76</v>
      </c>
      <c r="V960" s="14" t="s">
        <v>77</v>
      </c>
      <c r="W960" s="14" t="s">
        <v>57</v>
      </c>
      <c r="X960" s="14">
        <v>9</v>
      </c>
      <c r="Y960" s="14" t="s">
        <v>47</v>
      </c>
      <c r="Z960" s="14">
        <v>3</v>
      </c>
      <c r="AA960" s="14" t="s">
        <v>47</v>
      </c>
    </row>
    <row r="961" spans="1:27" x14ac:dyDescent="0.35">
      <c r="A961" s="14" t="s">
        <v>1641</v>
      </c>
      <c r="B961" s="15">
        <v>45989</v>
      </c>
      <c r="C961" s="14" t="s">
        <v>859</v>
      </c>
      <c r="D961" s="14" t="s">
        <v>73</v>
      </c>
      <c r="E961" s="14" t="s">
        <v>43</v>
      </c>
      <c r="F961" s="14">
        <v>34</v>
      </c>
      <c r="G961" s="14" t="s">
        <v>30</v>
      </c>
      <c r="H961" s="14" t="s">
        <v>31</v>
      </c>
      <c r="I961" s="14" t="s">
        <v>30</v>
      </c>
      <c r="J961" s="14" t="s">
        <v>69</v>
      </c>
      <c r="K961" s="14">
        <v>2</v>
      </c>
      <c r="L961" s="14">
        <v>19888</v>
      </c>
      <c r="M961" s="14">
        <v>5</v>
      </c>
      <c r="N961" s="14">
        <v>1988.8</v>
      </c>
      <c r="O961" s="14">
        <v>6801.7</v>
      </c>
      <c r="P961" s="14">
        <v>174</v>
      </c>
      <c r="Q961" s="14">
        <f t="shared" si="14"/>
        <v>44588.9</v>
      </c>
      <c r="R961" s="14">
        <v>44762.9</v>
      </c>
      <c r="S961" s="14" t="s">
        <v>45</v>
      </c>
      <c r="T961" s="14" t="s">
        <v>63</v>
      </c>
      <c r="U961" s="14" t="s">
        <v>103</v>
      </c>
      <c r="V961" s="14" t="s">
        <v>103</v>
      </c>
      <c r="W961" s="14" t="s">
        <v>57</v>
      </c>
      <c r="X961" s="14">
        <v>7</v>
      </c>
      <c r="Y961" s="14" t="s">
        <v>47</v>
      </c>
      <c r="Z961" s="14">
        <v>3</v>
      </c>
      <c r="AA961" s="14" t="s">
        <v>91</v>
      </c>
    </row>
    <row r="962" spans="1:27" x14ac:dyDescent="0.35">
      <c r="A962" s="14" t="s">
        <v>1642</v>
      </c>
      <c r="B962" s="15">
        <v>45982</v>
      </c>
      <c r="C962" s="14" t="s">
        <v>1160</v>
      </c>
      <c r="D962" s="14" t="s">
        <v>61</v>
      </c>
      <c r="E962" s="14" t="s">
        <v>43</v>
      </c>
      <c r="F962" s="14">
        <v>58</v>
      </c>
      <c r="G962" s="14" t="s">
        <v>44</v>
      </c>
      <c r="H962" s="14" t="s">
        <v>31</v>
      </c>
      <c r="I962" s="14" t="s">
        <v>1636</v>
      </c>
      <c r="J962" s="14" t="s">
        <v>202</v>
      </c>
      <c r="K962" s="14">
        <v>5</v>
      </c>
      <c r="L962" s="14">
        <v>24187</v>
      </c>
      <c r="M962" s="14">
        <v>20</v>
      </c>
      <c r="N962" s="14">
        <v>24187</v>
      </c>
      <c r="O962" s="14">
        <v>17414.64</v>
      </c>
      <c r="P962" s="14">
        <v>271</v>
      </c>
      <c r="Q962" s="14">
        <f t="shared" si="14"/>
        <v>114162.64</v>
      </c>
      <c r="R962" s="14">
        <v>114433.64</v>
      </c>
      <c r="S962" s="14" t="s">
        <v>33</v>
      </c>
      <c r="T962" s="14" t="s">
        <v>63</v>
      </c>
      <c r="U962" s="14" t="s">
        <v>103</v>
      </c>
      <c r="V962" s="14" t="s">
        <v>103</v>
      </c>
      <c r="W962" s="14" t="s">
        <v>57</v>
      </c>
      <c r="X962" s="14">
        <v>9</v>
      </c>
      <c r="Y962" s="14" t="s">
        <v>47</v>
      </c>
      <c r="Z962" s="14">
        <v>2</v>
      </c>
      <c r="AA962" s="14" t="s">
        <v>39</v>
      </c>
    </row>
    <row r="963" spans="1:27" x14ac:dyDescent="0.35">
      <c r="A963" s="14" t="s">
        <v>1643</v>
      </c>
      <c r="B963" s="15">
        <v>45860</v>
      </c>
      <c r="C963" s="14" t="s">
        <v>694</v>
      </c>
      <c r="D963" s="14" t="s">
        <v>73</v>
      </c>
      <c r="E963" s="14" t="s">
        <v>43</v>
      </c>
      <c r="F963" s="14">
        <v>21</v>
      </c>
      <c r="G963" s="14" t="s">
        <v>51</v>
      </c>
      <c r="H963" s="14" t="s">
        <v>52</v>
      </c>
      <c r="I963" s="14" t="s">
        <v>51</v>
      </c>
      <c r="J963" s="14" t="s">
        <v>75</v>
      </c>
      <c r="K963" s="14">
        <v>1</v>
      </c>
      <c r="L963" s="14">
        <v>27343</v>
      </c>
      <c r="M963" s="14">
        <v>5</v>
      </c>
      <c r="N963" s="14">
        <v>1367.15</v>
      </c>
      <c r="O963" s="14">
        <v>4675.6499999999996</v>
      </c>
      <c r="P963" s="14">
        <v>427</v>
      </c>
      <c r="Q963" s="14">
        <f t="shared" ref="Q963:Q1002" si="15">R963-P963</f>
        <v>30651.5</v>
      </c>
      <c r="R963" s="14">
        <v>31078.5</v>
      </c>
      <c r="S963" s="14" t="s">
        <v>83</v>
      </c>
      <c r="T963" s="14" t="s">
        <v>34</v>
      </c>
      <c r="U963" s="14" t="s">
        <v>55</v>
      </c>
      <c r="V963" s="14" t="s">
        <v>56</v>
      </c>
      <c r="W963" s="14" t="s">
        <v>57</v>
      </c>
      <c r="X963" s="14">
        <v>6</v>
      </c>
      <c r="Y963" s="14" t="s">
        <v>38</v>
      </c>
      <c r="Z963" s="14">
        <v>1</v>
      </c>
      <c r="AA963" s="14" t="s">
        <v>91</v>
      </c>
    </row>
    <row r="964" spans="1:27" x14ac:dyDescent="0.35">
      <c r="A964" s="14" t="s">
        <v>1644</v>
      </c>
      <c r="B964" s="15">
        <v>45953</v>
      </c>
      <c r="C964" s="14" t="s">
        <v>265</v>
      </c>
      <c r="D964" s="14" t="s">
        <v>61</v>
      </c>
      <c r="E964" s="14" t="s">
        <v>29</v>
      </c>
      <c r="F964" s="14">
        <v>23</v>
      </c>
      <c r="G964" s="14" t="s">
        <v>74</v>
      </c>
      <c r="H964" s="14" t="s">
        <v>31</v>
      </c>
      <c r="I964" s="14" t="s">
        <v>74</v>
      </c>
      <c r="J964" s="14" t="s">
        <v>62</v>
      </c>
      <c r="K964" s="14">
        <v>1</v>
      </c>
      <c r="L964" s="14">
        <v>36253</v>
      </c>
      <c r="M964" s="14">
        <v>0</v>
      </c>
      <c r="N964" s="14">
        <v>0</v>
      </c>
      <c r="O964" s="14">
        <v>6525.54</v>
      </c>
      <c r="P964" s="14">
        <v>493</v>
      </c>
      <c r="Q964" s="14">
        <f t="shared" si="15"/>
        <v>42778.54</v>
      </c>
      <c r="R964" s="14">
        <v>43271.54</v>
      </c>
      <c r="S964" s="14" t="s">
        <v>54</v>
      </c>
      <c r="T964" s="14" t="s">
        <v>34</v>
      </c>
      <c r="U964" s="14" t="s">
        <v>70</v>
      </c>
      <c r="V964" s="14" t="s">
        <v>56</v>
      </c>
      <c r="W964" s="14" t="s">
        <v>57</v>
      </c>
      <c r="X964" s="14">
        <v>7</v>
      </c>
      <c r="Y964" s="14" t="s">
        <v>38</v>
      </c>
      <c r="Z964" s="14">
        <v>2</v>
      </c>
      <c r="AA964" s="14" t="s">
        <v>39</v>
      </c>
    </row>
    <row r="965" spans="1:27" x14ac:dyDescent="0.35">
      <c r="A965" s="14" t="s">
        <v>1645</v>
      </c>
      <c r="B965" s="15">
        <v>45914</v>
      </c>
      <c r="C965" s="14" t="s">
        <v>945</v>
      </c>
      <c r="D965" s="14" t="s">
        <v>73</v>
      </c>
      <c r="E965" s="14" t="s">
        <v>43</v>
      </c>
      <c r="F965" s="14">
        <v>47</v>
      </c>
      <c r="G965" s="14" t="s">
        <v>94</v>
      </c>
      <c r="H965" s="14" t="s">
        <v>31</v>
      </c>
      <c r="I965" s="14" t="s">
        <v>94</v>
      </c>
      <c r="J965" s="14" t="s">
        <v>69</v>
      </c>
      <c r="K965" s="14">
        <v>2</v>
      </c>
      <c r="L965" s="14">
        <v>6461</v>
      </c>
      <c r="M965" s="14">
        <v>0</v>
      </c>
      <c r="N965" s="14">
        <v>0</v>
      </c>
      <c r="O965" s="14">
        <v>2325.96</v>
      </c>
      <c r="P965" s="14">
        <v>137</v>
      </c>
      <c r="Q965" s="14">
        <f t="shared" si="15"/>
        <v>15247.96</v>
      </c>
      <c r="R965" s="14">
        <v>15384.96</v>
      </c>
      <c r="S965" s="14" t="s">
        <v>33</v>
      </c>
      <c r="T965" s="14" t="s">
        <v>63</v>
      </c>
      <c r="U965" s="14" t="s">
        <v>35</v>
      </c>
      <c r="V965" s="14" t="s">
        <v>36</v>
      </c>
      <c r="W965" s="14" t="s">
        <v>37</v>
      </c>
      <c r="X965" s="14">
        <v>4</v>
      </c>
      <c r="Y965" s="14" t="s">
        <v>47</v>
      </c>
      <c r="Z965" s="14">
        <v>2</v>
      </c>
      <c r="AA965" s="14" t="s">
        <v>58</v>
      </c>
    </row>
    <row r="966" spans="1:27" x14ac:dyDescent="0.35">
      <c r="A966" s="14" t="s">
        <v>1646</v>
      </c>
      <c r="B966" s="15">
        <v>45937</v>
      </c>
      <c r="C966" s="14" t="s">
        <v>1647</v>
      </c>
      <c r="D966" s="14" t="s">
        <v>42</v>
      </c>
      <c r="E966" s="14" t="s">
        <v>29</v>
      </c>
      <c r="F966" s="14">
        <v>26</v>
      </c>
      <c r="G966" s="14" t="s">
        <v>30</v>
      </c>
      <c r="H966" s="14" t="s">
        <v>31</v>
      </c>
      <c r="I966" s="14" t="s">
        <v>30</v>
      </c>
      <c r="J966" s="14" t="s">
        <v>32</v>
      </c>
      <c r="K966" s="14">
        <v>5</v>
      </c>
      <c r="L966" s="14">
        <v>34990</v>
      </c>
      <c r="M966" s="14">
        <v>20</v>
      </c>
      <c r="N966" s="14">
        <v>34990</v>
      </c>
      <c r="O966" s="14">
        <v>25192.799999999999</v>
      </c>
      <c r="P966" s="14">
        <v>340</v>
      </c>
      <c r="Q966" s="14">
        <f t="shared" si="15"/>
        <v>165152.79999999999</v>
      </c>
      <c r="R966" s="14">
        <v>165492.79999999999</v>
      </c>
      <c r="S966" s="14" t="s">
        <v>83</v>
      </c>
      <c r="T966" s="14" t="s">
        <v>34</v>
      </c>
      <c r="U966" s="14" t="s">
        <v>95</v>
      </c>
      <c r="V966" s="14" t="s">
        <v>96</v>
      </c>
      <c r="W966" s="14" t="s">
        <v>57</v>
      </c>
      <c r="X966" s="14">
        <v>2</v>
      </c>
      <c r="Y966" s="14" t="s">
        <v>47</v>
      </c>
      <c r="Z966" s="14">
        <v>1</v>
      </c>
      <c r="AA966" s="14" t="s">
        <v>91</v>
      </c>
    </row>
    <row r="967" spans="1:27" x14ac:dyDescent="0.35">
      <c r="A967" s="14" t="s">
        <v>1648</v>
      </c>
      <c r="B967" s="15">
        <v>46080</v>
      </c>
      <c r="C967" s="14" t="s">
        <v>456</v>
      </c>
      <c r="D967" s="14" t="s">
        <v>50</v>
      </c>
      <c r="E967" s="14" t="s">
        <v>43</v>
      </c>
      <c r="F967" s="14">
        <v>33</v>
      </c>
      <c r="G967" s="14" t="s">
        <v>44</v>
      </c>
      <c r="H967" s="14" t="s">
        <v>31</v>
      </c>
      <c r="I967" s="14" t="s">
        <v>44</v>
      </c>
      <c r="J967" s="14" t="s">
        <v>53</v>
      </c>
      <c r="K967" s="14">
        <v>3</v>
      </c>
      <c r="L967" s="14">
        <v>6736</v>
      </c>
      <c r="M967" s="14">
        <v>15</v>
      </c>
      <c r="N967" s="14">
        <v>3031.2</v>
      </c>
      <c r="O967" s="14">
        <v>3091.82</v>
      </c>
      <c r="P967" s="14">
        <v>130</v>
      </c>
      <c r="Q967" s="14">
        <f t="shared" si="15"/>
        <v>20268.62</v>
      </c>
      <c r="R967" s="14">
        <v>20398.62</v>
      </c>
      <c r="S967" s="14" t="s">
        <v>54</v>
      </c>
      <c r="T967" s="14" t="s">
        <v>34</v>
      </c>
      <c r="U967" s="14" t="s">
        <v>103</v>
      </c>
      <c r="V967" s="14" t="s">
        <v>103</v>
      </c>
      <c r="W967" s="14" t="s">
        <v>57</v>
      </c>
      <c r="X967" s="14">
        <v>8</v>
      </c>
      <c r="Y967" s="14" t="s">
        <v>47</v>
      </c>
      <c r="Z967" s="14">
        <v>3</v>
      </c>
      <c r="AA967" s="14" t="s">
        <v>58</v>
      </c>
    </row>
    <row r="968" spans="1:27" x14ac:dyDescent="0.35">
      <c r="A968" s="14" t="s">
        <v>1649</v>
      </c>
      <c r="B968" s="15">
        <v>46062</v>
      </c>
      <c r="C968" s="14" t="s">
        <v>841</v>
      </c>
      <c r="D968" s="14" t="s">
        <v>80</v>
      </c>
      <c r="E968" s="14" t="s">
        <v>29</v>
      </c>
      <c r="F968" s="14">
        <v>27</v>
      </c>
      <c r="G968" s="14" t="s">
        <v>30</v>
      </c>
      <c r="H968" s="14" t="s">
        <v>31</v>
      </c>
      <c r="I968" s="14" t="s">
        <v>30</v>
      </c>
      <c r="J968" s="14" t="s">
        <v>112</v>
      </c>
      <c r="K968" s="14">
        <v>1</v>
      </c>
      <c r="L968" s="14">
        <v>24799</v>
      </c>
      <c r="M968" s="14">
        <v>0</v>
      </c>
      <c r="N968" s="14">
        <v>0</v>
      </c>
      <c r="O968" s="14">
        <v>4463.82</v>
      </c>
      <c r="P968" s="14">
        <v>488</v>
      </c>
      <c r="Q968" s="14">
        <f t="shared" si="15"/>
        <v>29262.82</v>
      </c>
      <c r="R968" s="14">
        <v>29750.82</v>
      </c>
      <c r="S968" s="14" t="s">
        <v>83</v>
      </c>
      <c r="T968" s="14" t="s">
        <v>63</v>
      </c>
      <c r="U968" s="14" t="s">
        <v>55</v>
      </c>
      <c r="V968" s="14" t="s">
        <v>56</v>
      </c>
      <c r="W968" s="14" t="s">
        <v>57</v>
      </c>
      <c r="X968" s="14">
        <v>1</v>
      </c>
      <c r="Y968" s="14" t="s">
        <v>47</v>
      </c>
      <c r="Z968" s="14">
        <v>4</v>
      </c>
      <c r="AA968" s="14" t="s">
        <v>91</v>
      </c>
    </row>
    <row r="969" spans="1:27" x14ac:dyDescent="0.35">
      <c r="A969" s="14" t="s">
        <v>1650</v>
      </c>
      <c r="B969" s="15">
        <v>45790</v>
      </c>
      <c r="C969" s="14" t="s">
        <v>541</v>
      </c>
      <c r="D969" s="14" t="s">
        <v>28</v>
      </c>
      <c r="E969" s="14" t="s">
        <v>43</v>
      </c>
      <c r="F969" s="14">
        <v>47</v>
      </c>
      <c r="G969" s="14" t="s">
        <v>139</v>
      </c>
      <c r="H969" s="14" t="s">
        <v>31</v>
      </c>
      <c r="I969" s="14" t="s">
        <v>139</v>
      </c>
      <c r="J969" s="14" t="s">
        <v>112</v>
      </c>
      <c r="K969" s="14">
        <v>1</v>
      </c>
      <c r="L969" s="14">
        <v>9195</v>
      </c>
      <c r="M969" s="14">
        <v>20</v>
      </c>
      <c r="N969" s="14">
        <v>1839</v>
      </c>
      <c r="O969" s="14">
        <v>1324.08</v>
      </c>
      <c r="P969" s="14">
        <v>174</v>
      </c>
      <c r="Q969" s="14">
        <f t="shared" si="15"/>
        <v>8680.08</v>
      </c>
      <c r="R969" s="14">
        <v>8854.08</v>
      </c>
      <c r="S969" s="14" t="s">
        <v>54</v>
      </c>
      <c r="T969" s="14" t="s">
        <v>34</v>
      </c>
      <c r="U969" s="14" t="s">
        <v>103</v>
      </c>
      <c r="V969" s="14" t="s">
        <v>103</v>
      </c>
      <c r="W969" s="14" t="s">
        <v>57</v>
      </c>
      <c r="X969" s="14">
        <v>2</v>
      </c>
      <c r="Y969" s="14" t="s">
        <v>47</v>
      </c>
      <c r="Z969" s="14">
        <v>5</v>
      </c>
      <c r="AA969" s="14" t="s">
        <v>47</v>
      </c>
    </row>
    <row r="970" spans="1:27" x14ac:dyDescent="0.35">
      <c r="A970" s="14" t="s">
        <v>1651</v>
      </c>
      <c r="B970" s="15">
        <v>46119</v>
      </c>
      <c r="C970" s="14" t="s">
        <v>1652</v>
      </c>
      <c r="D970" s="14" t="s">
        <v>111</v>
      </c>
      <c r="E970" s="14" t="s">
        <v>29</v>
      </c>
      <c r="F970" s="14">
        <v>41</v>
      </c>
      <c r="G970" s="14" t="s">
        <v>44</v>
      </c>
      <c r="H970" s="14" t="s">
        <v>31</v>
      </c>
      <c r="I970" s="14" t="s">
        <v>44</v>
      </c>
      <c r="J970" s="14" t="s">
        <v>202</v>
      </c>
      <c r="K970" s="14">
        <v>3</v>
      </c>
      <c r="L970" s="14">
        <v>46281</v>
      </c>
      <c r="M970" s="14">
        <v>5</v>
      </c>
      <c r="N970" s="14">
        <v>6942.15</v>
      </c>
      <c r="O970" s="14">
        <v>23742.15</v>
      </c>
      <c r="P970" s="14">
        <v>54</v>
      </c>
      <c r="Q970" s="14">
        <f t="shared" si="15"/>
        <v>155643</v>
      </c>
      <c r="R970" s="14">
        <v>155697</v>
      </c>
      <c r="S970" s="14" t="s">
        <v>54</v>
      </c>
      <c r="T970" s="14" t="s">
        <v>63</v>
      </c>
      <c r="U970" s="14" t="s">
        <v>35</v>
      </c>
      <c r="V970" s="14" t="s">
        <v>36</v>
      </c>
      <c r="W970" s="14" t="s">
        <v>37</v>
      </c>
      <c r="X970" s="14">
        <v>8</v>
      </c>
      <c r="Y970" s="14" t="s">
        <v>47</v>
      </c>
      <c r="Z970" s="14">
        <v>2</v>
      </c>
      <c r="AA970" s="14" t="s">
        <v>58</v>
      </c>
    </row>
    <row r="971" spans="1:27" x14ac:dyDescent="0.35">
      <c r="A971" s="14" t="s">
        <v>1653</v>
      </c>
      <c r="B971" s="15">
        <v>46000</v>
      </c>
      <c r="C971" s="14" t="s">
        <v>1654</v>
      </c>
      <c r="D971" s="14" t="s">
        <v>73</v>
      </c>
      <c r="E971" s="14" t="s">
        <v>43</v>
      </c>
      <c r="F971" s="14">
        <v>47</v>
      </c>
      <c r="G971" s="14" t="s">
        <v>44</v>
      </c>
      <c r="H971" s="14" t="s">
        <v>31</v>
      </c>
      <c r="I971" s="14" t="s">
        <v>44</v>
      </c>
      <c r="J971" s="14" t="s">
        <v>150</v>
      </c>
      <c r="K971" s="14">
        <v>3</v>
      </c>
      <c r="L971" s="14">
        <v>11665</v>
      </c>
      <c r="M971" s="14">
        <v>15</v>
      </c>
      <c r="N971" s="14">
        <v>5249.25</v>
      </c>
      <c r="O971" s="14">
        <v>5354.23</v>
      </c>
      <c r="P971" s="14">
        <v>392</v>
      </c>
      <c r="Q971" s="14">
        <f t="shared" si="15"/>
        <v>35099.99</v>
      </c>
      <c r="R971" s="14">
        <v>35491.99</v>
      </c>
      <c r="S971" s="14" t="s">
        <v>83</v>
      </c>
      <c r="T971" s="14" t="s">
        <v>63</v>
      </c>
      <c r="U971" s="14" t="s">
        <v>76</v>
      </c>
      <c r="V971" s="14" t="s">
        <v>77</v>
      </c>
      <c r="W971" s="14" t="s">
        <v>57</v>
      </c>
      <c r="X971" s="14">
        <v>6</v>
      </c>
      <c r="Y971" s="14" t="s">
        <v>38</v>
      </c>
      <c r="Z971" s="14">
        <v>5</v>
      </c>
      <c r="AA971" s="14" t="s">
        <v>47</v>
      </c>
    </row>
    <row r="972" spans="1:27" x14ac:dyDescent="0.35">
      <c r="A972" s="14" t="s">
        <v>1655</v>
      </c>
      <c r="B972" s="15">
        <v>45778</v>
      </c>
      <c r="C972" s="14" t="s">
        <v>1656</v>
      </c>
      <c r="D972" s="14" t="s">
        <v>42</v>
      </c>
      <c r="E972" s="14" t="s">
        <v>29</v>
      </c>
      <c r="F972" s="14">
        <v>23</v>
      </c>
      <c r="G972" s="14" t="s">
        <v>44</v>
      </c>
      <c r="H972" s="14" t="s">
        <v>31</v>
      </c>
      <c r="I972" s="14" t="s">
        <v>44</v>
      </c>
      <c r="J972" s="14" t="s">
        <v>32</v>
      </c>
      <c r="K972" s="14">
        <v>2</v>
      </c>
      <c r="L972" s="14">
        <v>41905</v>
      </c>
      <c r="M972" s="14">
        <v>20</v>
      </c>
      <c r="N972" s="14">
        <v>16762</v>
      </c>
      <c r="O972" s="14">
        <v>12068.64</v>
      </c>
      <c r="P972" s="14">
        <v>427</v>
      </c>
      <c r="Q972" s="14">
        <f t="shared" si="15"/>
        <v>79116.639999999999</v>
      </c>
      <c r="R972" s="14">
        <v>79543.64</v>
      </c>
      <c r="S972" s="14" t="s">
        <v>54</v>
      </c>
      <c r="T972" s="14" t="s">
        <v>63</v>
      </c>
      <c r="U972" s="14" t="s">
        <v>70</v>
      </c>
      <c r="V972" s="14" t="s">
        <v>56</v>
      </c>
      <c r="W972" s="14" t="s">
        <v>57</v>
      </c>
      <c r="X972" s="14">
        <v>5</v>
      </c>
      <c r="Y972" s="14" t="s">
        <v>38</v>
      </c>
      <c r="Z972" s="14">
        <v>1</v>
      </c>
      <c r="AA972" s="14" t="s">
        <v>58</v>
      </c>
    </row>
    <row r="973" spans="1:27" x14ac:dyDescent="0.35">
      <c r="A973" s="14" t="s">
        <v>1657</v>
      </c>
      <c r="B973" s="15">
        <v>45896</v>
      </c>
      <c r="C973" s="14" t="s">
        <v>1590</v>
      </c>
      <c r="D973" s="14" t="s">
        <v>50</v>
      </c>
      <c r="E973" s="14" t="s">
        <v>43</v>
      </c>
      <c r="F973" s="14">
        <v>38</v>
      </c>
      <c r="G973" s="14" t="s">
        <v>44</v>
      </c>
      <c r="H973" s="14" t="s">
        <v>31</v>
      </c>
      <c r="I973" s="14" t="s">
        <v>44</v>
      </c>
      <c r="J973" s="14" t="s">
        <v>75</v>
      </c>
      <c r="K973" s="14">
        <v>1</v>
      </c>
      <c r="L973" s="14">
        <v>13855</v>
      </c>
      <c r="M973" s="14">
        <v>15</v>
      </c>
      <c r="N973" s="14">
        <v>2078.25</v>
      </c>
      <c r="O973" s="14">
        <v>2119.8200000000002</v>
      </c>
      <c r="P973" s="14">
        <v>127</v>
      </c>
      <c r="Q973" s="14">
        <f t="shared" si="15"/>
        <v>13896.57</v>
      </c>
      <c r="R973" s="14">
        <v>14023.57</v>
      </c>
      <c r="S973" s="14" t="s">
        <v>45</v>
      </c>
      <c r="T973" s="14" t="s">
        <v>34</v>
      </c>
      <c r="U973" s="14" t="s">
        <v>76</v>
      </c>
      <c r="V973" s="14" t="s">
        <v>77</v>
      </c>
      <c r="W973" s="14" t="s">
        <v>57</v>
      </c>
      <c r="X973" s="14">
        <v>7</v>
      </c>
      <c r="Y973" s="14" t="s">
        <v>47</v>
      </c>
      <c r="Z973" s="14">
        <v>5</v>
      </c>
      <c r="AA973" s="14" t="s">
        <v>39</v>
      </c>
    </row>
    <row r="974" spans="1:27" x14ac:dyDescent="0.35">
      <c r="A974" s="14" t="s">
        <v>1658</v>
      </c>
      <c r="B974" s="15">
        <v>46077</v>
      </c>
      <c r="C974" s="14" t="s">
        <v>1659</v>
      </c>
      <c r="D974" s="14" t="s">
        <v>73</v>
      </c>
      <c r="E974" s="14" t="s">
        <v>43</v>
      </c>
      <c r="F974" s="14">
        <v>51</v>
      </c>
      <c r="G974" s="14" t="s">
        <v>51</v>
      </c>
      <c r="H974" s="14" t="s">
        <v>52</v>
      </c>
      <c r="I974" s="14" t="s">
        <v>51</v>
      </c>
      <c r="J974" s="14" t="s">
        <v>32</v>
      </c>
      <c r="K974" s="14">
        <v>4</v>
      </c>
      <c r="L974" s="14">
        <v>29217</v>
      </c>
      <c r="M974" s="14">
        <v>0</v>
      </c>
      <c r="N974" s="14">
        <v>0</v>
      </c>
      <c r="O974" s="14">
        <v>21036.240000000002</v>
      </c>
      <c r="P974" s="14">
        <v>188</v>
      </c>
      <c r="Q974" s="14">
        <f t="shared" si="15"/>
        <v>137904.24</v>
      </c>
      <c r="R974" s="14">
        <v>138092.24</v>
      </c>
      <c r="S974" s="14" t="s">
        <v>54</v>
      </c>
      <c r="T974" s="14" t="s">
        <v>63</v>
      </c>
      <c r="U974" s="14" t="s">
        <v>35</v>
      </c>
      <c r="V974" s="14" t="s">
        <v>36</v>
      </c>
      <c r="W974" s="14" t="s">
        <v>37</v>
      </c>
      <c r="X974" s="14">
        <v>10</v>
      </c>
      <c r="Y974" s="14" t="s">
        <v>38</v>
      </c>
      <c r="Z974" s="14">
        <v>1</v>
      </c>
      <c r="AA974" s="14" t="s">
        <v>39</v>
      </c>
    </row>
    <row r="975" spans="1:27" x14ac:dyDescent="0.35">
      <c r="A975" s="14" t="s">
        <v>1660</v>
      </c>
      <c r="B975" s="15">
        <v>45816</v>
      </c>
      <c r="C975" s="14" t="s">
        <v>1130</v>
      </c>
      <c r="D975" s="14" t="s">
        <v>61</v>
      </c>
      <c r="E975" s="14" t="s">
        <v>29</v>
      </c>
      <c r="F975" s="14">
        <v>19</v>
      </c>
      <c r="G975" s="14" t="s">
        <v>67</v>
      </c>
      <c r="H975" s="14" t="s">
        <v>68</v>
      </c>
      <c r="I975" s="14" t="s">
        <v>67</v>
      </c>
      <c r="J975" s="14" t="s">
        <v>112</v>
      </c>
      <c r="K975" s="14">
        <v>3</v>
      </c>
      <c r="L975" s="14">
        <v>34047</v>
      </c>
      <c r="M975" s="14">
        <v>0</v>
      </c>
      <c r="N975" s="14">
        <v>0</v>
      </c>
      <c r="O975" s="14">
        <v>18385.38</v>
      </c>
      <c r="P975" s="14">
        <v>42</v>
      </c>
      <c r="Q975" s="14">
        <f t="shared" si="15"/>
        <v>120526.38</v>
      </c>
      <c r="R975" s="14">
        <v>120568.38</v>
      </c>
      <c r="S975" s="14" t="s">
        <v>54</v>
      </c>
      <c r="T975" s="14" t="s">
        <v>63</v>
      </c>
      <c r="U975" s="14" t="s">
        <v>103</v>
      </c>
      <c r="V975" s="14" t="s">
        <v>103</v>
      </c>
      <c r="W975" s="14" t="s">
        <v>57</v>
      </c>
      <c r="X975" s="14">
        <v>3</v>
      </c>
      <c r="Y975" s="14" t="s">
        <v>38</v>
      </c>
      <c r="Z975" s="14">
        <v>5</v>
      </c>
      <c r="AA975" s="14" t="s">
        <v>39</v>
      </c>
    </row>
    <row r="976" spans="1:27" x14ac:dyDescent="0.35">
      <c r="A976" s="14" t="s">
        <v>1661</v>
      </c>
      <c r="B976" s="15">
        <v>45855</v>
      </c>
      <c r="C976" s="14" t="s">
        <v>1075</v>
      </c>
      <c r="D976" s="14" t="s">
        <v>111</v>
      </c>
      <c r="E976" s="14" t="s">
        <v>43</v>
      </c>
      <c r="F976" s="14">
        <v>47</v>
      </c>
      <c r="G976" s="14" t="s">
        <v>99</v>
      </c>
      <c r="H976" s="14" t="s">
        <v>52</v>
      </c>
      <c r="I976" s="14" t="s">
        <v>99</v>
      </c>
      <c r="J976" s="14" t="s">
        <v>53</v>
      </c>
      <c r="K976" s="14">
        <v>4</v>
      </c>
      <c r="L976" s="14">
        <v>40544</v>
      </c>
      <c r="M976" s="14">
        <v>5</v>
      </c>
      <c r="N976" s="14">
        <v>8108.8</v>
      </c>
      <c r="O976" s="14">
        <v>27732.1</v>
      </c>
      <c r="P976" s="14">
        <v>384</v>
      </c>
      <c r="Q976" s="14">
        <f t="shared" si="15"/>
        <v>181799.3</v>
      </c>
      <c r="R976" s="14">
        <v>182183.3</v>
      </c>
      <c r="S976" s="14" t="s">
        <v>45</v>
      </c>
      <c r="T976" s="14" t="s">
        <v>34</v>
      </c>
      <c r="U976" s="14" t="s">
        <v>103</v>
      </c>
      <c r="V976" s="14" t="s">
        <v>103</v>
      </c>
      <c r="W976" s="14" t="s">
        <v>57</v>
      </c>
      <c r="X976" s="14">
        <v>10</v>
      </c>
      <c r="Y976" s="14" t="s">
        <v>47</v>
      </c>
      <c r="Z976" s="14">
        <v>1</v>
      </c>
      <c r="AA976" s="14" t="s">
        <v>58</v>
      </c>
    </row>
    <row r="977" spans="1:27" x14ac:dyDescent="0.35">
      <c r="A977" s="14" t="s">
        <v>1662</v>
      </c>
      <c r="B977" s="15">
        <v>45927</v>
      </c>
      <c r="C977" s="14" t="s">
        <v>1027</v>
      </c>
      <c r="D977" s="14" t="s">
        <v>28</v>
      </c>
      <c r="E977" s="14" t="s">
        <v>43</v>
      </c>
      <c r="F977" s="14">
        <v>23</v>
      </c>
      <c r="G977" s="14" t="s">
        <v>30</v>
      </c>
      <c r="H977" s="14" t="s">
        <v>31</v>
      </c>
      <c r="I977" s="14" t="s">
        <v>30</v>
      </c>
      <c r="J977" s="14" t="s">
        <v>112</v>
      </c>
      <c r="K977" s="14">
        <v>1</v>
      </c>
      <c r="L977" s="14">
        <v>34177</v>
      </c>
      <c r="M977" s="14">
        <v>15</v>
      </c>
      <c r="N977" s="14">
        <v>5126.55</v>
      </c>
      <c r="O977" s="14">
        <v>5229.08</v>
      </c>
      <c r="P977" s="14">
        <v>114</v>
      </c>
      <c r="Q977" s="14">
        <f t="shared" si="15"/>
        <v>34279.53</v>
      </c>
      <c r="R977" s="14">
        <v>34393.53</v>
      </c>
      <c r="S977" s="14" t="s">
        <v>83</v>
      </c>
      <c r="T977" s="14" t="s">
        <v>34</v>
      </c>
      <c r="U977" s="14" t="s">
        <v>84</v>
      </c>
      <c r="V977" s="14" t="s">
        <v>85</v>
      </c>
      <c r="W977" s="14" t="s">
        <v>86</v>
      </c>
      <c r="X977" s="14">
        <v>7</v>
      </c>
      <c r="Y977" s="14" t="s">
        <v>38</v>
      </c>
      <c r="Z977" s="14">
        <v>5</v>
      </c>
      <c r="AA977" s="14" t="s">
        <v>58</v>
      </c>
    </row>
    <row r="978" spans="1:27" x14ac:dyDescent="0.35">
      <c r="A978" s="14" t="s">
        <v>1663</v>
      </c>
      <c r="B978" s="15">
        <v>45910</v>
      </c>
      <c r="C978" s="14" t="s">
        <v>579</v>
      </c>
      <c r="D978" s="14" t="s">
        <v>42</v>
      </c>
      <c r="E978" s="14" t="s">
        <v>43</v>
      </c>
      <c r="F978" s="14">
        <v>35</v>
      </c>
      <c r="G978" s="14" t="s">
        <v>99</v>
      </c>
      <c r="H978" s="14" t="s">
        <v>52</v>
      </c>
      <c r="I978" s="14" t="s">
        <v>99</v>
      </c>
      <c r="J978" s="14" t="s">
        <v>32</v>
      </c>
      <c r="K978" s="14">
        <v>4</v>
      </c>
      <c r="L978" s="14">
        <v>32481</v>
      </c>
      <c r="M978" s="14">
        <v>20</v>
      </c>
      <c r="N978" s="14">
        <v>25984.799999999999</v>
      </c>
      <c r="O978" s="14">
        <v>18709.060000000001</v>
      </c>
      <c r="P978" s="14">
        <v>431</v>
      </c>
      <c r="Q978" s="14">
        <f t="shared" si="15"/>
        <v>122648.26</v>
      </c>
      <c r="R978" s="14">
        <v>123079.26</v>
      </c>
      <c r="S978" s="14" t="s">
        <v>54</v>
      </c>
      <c r="T978" s="14" t="s">
        <v>63</v>
      </c>
      <c r="U978" s="14" t="s">
        <v>35</v>
      </c>
      <c r="V978" s="14" t="s">
        <v>36</v>
      </c>
      <c r="W978" s="14" t="s">
        <v>37</v>
      </c>
      <c r="X978" s="14">
        <v>5</v>
      </c>
      <c r="Y978" s="14" t="s">
        <v>47</v>
      </c>
      <c r="Z978" s="14">
        <v>3</v>
      </c>
      <c r="AA978" s="14" t="s">
        <v>58</v>
      </c>
    </row>
    <row r="979" spans="1:27" x14ac:dyDescent="0.35">
      <c r="A979" s="14" t="s">
        <v>1664</v>
      </c>
      <c r="B979" s="15">
        <v>45930</v>
      </c>
      <c r="C979" s="14" t="s">
        <v>636</v>
      </c>
      <c r="D979" s="14" t="s">
        <v>108</v>
      </c>
      <c r="E979" s="14" t="s">
        <v>43</v>
      </c>
      <c r="F979" s="14">
        <v>45</v>
      </c>
      <c r="G979" s="14" t="s">
        <v>90</v>
      </c>
      <c r="H979" s="14" t="s">
        <v>31</v>
      </c>
      <c r="I979" s="14" t="s">
        <v>90</v>
      </c>
      <c r="J979" s="14" t="s">
        <v>62</v>
      </c>
      <c r="K979" s="14">
        <v>4</v>
      </c>
      <c r="L979" s="14">
        <v>26540</v>
      </c>
      <c r="M979" s="14">
        <v>10</v>
      </c>
      <c r="N979" s="14">
        <v>10616</v>
      </c>
      <c r="O979" s="14">
        <v>17197.919999999998</v>
      </c>
      <c r="P979" s="14">
        <v>448</v>
      </c>
      <c r="Q979" s="14">
        <f t="shared" si="15"/>
        <v>112741.92</v>
      </c>
      <c r="R979" s="14">
        <v>113189.92</v>
      </c>
      <c r="S979" s="14" t="s">
        <v>33</v>
      </c>
      <c r="T979" s="14" t="s">
        <v>63</v>
      </c>
      <c r="U979" s="14" t="s">
        <v>84</v>
      </c>
      <c r="V979" s="14" t="s">
        <v>85</v>
      </c>
      <c r="W979" s="14" t="s">
        <v>86</v>
      </c>
      <c r="X979" s="14">
        <v>8</v>
      </c>
      <c r="Y979" s="14" t="s">
        <v>47</v>
      </c>
      <c r="Z979" s="14">
        <v>5</v>
      </c>
      <c r="AA979" s="14" t="s">
        <v>91</v>
      </c>
    </row>
    <row r="980" spans="1:27" x14ac:dyDescent="0.35">
      <c r="A980" s="14" t="s">
        <v>1665</v>
      </c>
      <c r="B980" s="15">
        <v>45889</v>
      </c>
      <c r="C980" s="14" t="s">
        <v>269</v>
      </c>
      <c r="D980" s="14" t="s">
        <v>42</v>
      </c>
      <c r="E980" s="14" t="s">
        <v>29</v>
      </c>
      <c r="F980" s="14">
        <v>57</v>
      </c>
      <c r="G980" s="14" t="s">
        <v>44</v>
      </c>
      <c r="H980" s="14" t="s">
        <v>31</v>
      </c>
      <c r="I980" s="14" t="s">
        <v>44</v>
      </c>
      <c r="J980" s="14" t="s">
        <v>53</v>
      </c>
      <c r="K980" s="14">
        <v>2</v>
      </c>
      <c r="L980" s="14">
        <v>7396</v>
      </c>
      <c r="M980" s="14">
        <v>20</v>
      </c>
      <c r="N980" s="14">
        <v>2958.4</v>
      </c>
      <c r="O980" s="14">
        <v>2130.0500000000002</v>
      </c>
      <c r="P980" s="14">
        <v>160</v>
      </c>
      <c r="Q980" s="14">
        <f t="shared" si="15"/>
        <v>13963.65</v>
      </c>
      <c r="R980" s="14">
        <v>14123.65</v>
      </c>
      <c r="S980" s="14" t="s">
        <v>33</v>
      </c>
      <c r="T980" s="14" t="s">
        <v>63</v>
      </c>
      <c r="U980" s="14" t="s">
        <v>55</v>
      </c>
      <c r="V980" s="14" t="s">
        <v>56</v>
      </c>
      <c r="W980" s="14" t="s">
        <v>57</v>
      </c>
      <c r="X980" s="14">
        <v>2</v>
      </c>
      <c r="Y980" s="14" t="s">
        <v>47</v>
      </c>
      <c r="Z980" s="14">
        <v>4</v>
      </c>
      <c r="AA980" s="14" t="s">
        <v>47</v>
      </c>
    </row>
    <row r="981" spans="1:27" x14ac:dyDescent="0.35">
      <c r="A981" s="14" t="s">
        <v>1666</v>
      </c>
      <c r="B981" s="15">
        <v>46095</v>
      </c>
      <c r="C981" s="14" t="s">
        <v>1195</v>
      </c>
      <c r="D981" s="14" t="s">
        <v>111</v>
      </c>
      <c r="E981" s="14" t="s">
        <v>43</v>
      </c>
      <c r="F981" s="14">
        <v>19</v>
      </c>
      <c r="G981" s="14" t="s">
        <v>74</v>
      </c>
      <c r="H981" s="14" t="s">
        <v>31</v>
      </c>
      <c r="I981" s="14" t="s">
        <v>74</v>
      </c>
      <c r="J981" s="14" t="s">
        <v>102</v>
      </c>
      <c r="K981" s="14">
        <v>4</v>
      </c>
      <c r="L981" s="14">
        <v>12010</v>
      </c>
      <c r="M981" s="14">
        <v>5</v>
      </c>
      <c r="N981" s="14">
        <v>2402</v>
      </c>
      <c r="O981" s="14">
        <v>8214.84</v>
      </c>
      <c r="P981" s="14">
        <v>40</v>
      </c>
      <c r="Q981" s="14">
        <f t="shared" si="15"/>
        <v>53852.84</v>
      </c>
      <c r="R981" s="14">
        <v>53892.84</v>
      </c>
      <c r="S981" s="14" t="s">
        <v>45</v>
      </c>
      <c r="T981" s="14" t="s">
        <v>63</v>
      </c>
      <c r="U981" s="14" t="s">
        <v>35</v>
      </c>
      <c r="V981" s="14" t="s">
        <v>36</v>
      </c>
      <c r="W981" s="14" t="s">
        <v>37</v>
      </c>
      <c r="X981" s="14">
        <v>2</v>
      </c>
      <c r="Y981" s="14" t="s">
        <v>47</v>
      </c>
      <c r="Z981" s="14">
        <v>1</v>
      </c>
      <c r="AA981" s="14" t="s">
        <v>47</v>
      </c>
    </row>
    <row r="982" spans="1:27" x14ac:dyDescent="0.35">
      <c r="A982" s="14" t="s">
        <v>1667</v>
      </c>
      <c r="B982" s="15">
        <v>45825</v>
      </c>
      <c r="C982" s="14" t="s">
        <v>1668</v>
      </c>
      <c r="D982" s="14" t="s">
        <v>111</v>
      </c>
      <c r="E982" s="14" t="s">
        <v>43</v>
      </c>
      <c r="F982" s="14">
        <v>26</v>
      </c>
      <c r="G982" s="14" t="s">
        <v>134</v>
      </c>
      <c r="H982" s="14" t="s">
        <v>31</v>
      </c>
      <c r="I982" s="14" t="s">
        <v>1636</v>
      </c>
      <c r="J982" s="14" t="s">
        <v>150</v>
      </c>
      <c r="K982" s="14">
        <v>2</v>
      </c>
      <c r="L982" s="14">
        <v>2315</v>
      </c>
      <c r="M982" s="14">
        <v>20</v>
      </c>
      <c r="N982" s="14">
        <v>926</v>
      </c>
      <c r="O982" s="14">
        <v>666.72</v>
      </c>
      <c r="P982" s="14">
        <v>203</v>
      </c>
      <c r="Q982" s="14">
        <f t="shared" si="15"/>
        <v>4370.72</v>
      </c>
      <c r="R982" s="14">
        <v>4573.72</v>
      </c>
      <c r="S982" s="14" t="s">
        <v>54</v>
      </c>
      <c r="T982" s="14" t="s">
        <v>63</v>
      </c>
      <c r="U982" s="14" t="s">
        <v>46</v>
      </c>
      <c r="V982" s="14" t="s">
        <v>36</v>
      </c>
      <c r="W982" s="14" t="s">
        <v>37</v>
      </c>
      <c r="X982" s="14">
        <v>10</v>
      </c>
      <c r="Y982" s="14" t="s">
        <v>38</v>
      </c>
      <c r="Z982" s="14">
        <v>4</v>
      </c>
      <c r="AA982" s="14" t="s">
        <v>47</v>
      </c>
    </row>
    <row r="983" spans="1:27" x14ac:dyDescent="0.35">
      <c r="A983" s="14" t="s">
        <v>1669</v>
      </c>
      <c r="B983" s="15">
        <v>45935</v>
      </c>
      <c r="C983" s="14" t="s">
        <v>1670</v>
      </c>
      <c r="D983" s="14" t="s">
        <v>73</v>
      </c>
      <c r="E983" s="14" t="s">
        <v>43</v>
      </c>
      <c r="F983" s="14">
        <v>59</v>
      </c>
      <c r="G983" s="14" t="s">
        <v>74</v>
      </c>
      <c r="H983" s="14" t="s">
        <v>31</v>
      </c>
      <c r="I983" s="14" t="s">
        <v>74</v>
      </c>
      <c r="J983" s="14" t="s">
        <v>125</v>
      </c>
      <c r="K983" s="14">
        <v>2</v>
      </c>
      <c r="L983" s="14">
        <v>14022</v>
      </c>
      <c r="M983" s="14">
        <v>20</v>
      </c>
      <c r="N983" s="14">
        <v>5608.8</v>
      </c>
      <c r="O983" s="14">
        <v>4038.34</v>
      </c>
      <c r="P983" s="14">
        <v>455</v>
      </c>
      <c r="Q983" s="14">
        <f t="shared" si="15"/>
        <v>26473.54</v>
      </c>
      <c r="R983" s="14">
        <v>26928.54</v>
      </c>
      <c r="S983" s="14" t="s">
        <v>83</v>
      </c>
      <c r="T983" s="14" t="s">
        <v>34</v>
      </c>
      <c r="U983" s="14" t="s">
        <v>103</v>
      </c>
      <c r="V983" s="14" t="s">
        <v>103</v>
      </c>
      <c r="W983" s="14" t="s">
        <v>57</v>
      </c>
      <c r="X983" s="14">
        <v>1</v>
      </c>
      <c r="Y983" s="14" t="s">
        <v>38</v>
      </c>
      <c r="Z983" s="14">
        <v>3</v>
      </c>
      <c r="AA983" s="14" t="s">
        <v>47</v>
      </c>
    </row>
    <row r="984" spans="1:27" x14ac:dyDescent="0.35">
      <c r="A984" s="14" t="s">
        <v>1671</v>
      </c>
      <c r="B984" s="15">
        <v>46106</v>
      </c>
      <c r="C984" s="14" t="s">
        <v>1362</v>
      </c>
      <c r="D984" s="14" t="s">
        <v>28</v>
      </c>
      <c r="E984" s="14" t="s">
        <v>43</v>
      </c>
      <c r="F984" s="14">
        <v>58</v>
      </c>
      <c r="G984" s="14" t="s">
        <v>67</v>
      </c>
      <c r="H984" s="14" t="s">
        <v>68</v>
      </c>
      <c r="I984" s="14" t="s">
        <v>67</v>
      </c>
      <c r="J984" s="14" t="s">
        <v>32</v>
      </c>
      <c r="K984" s="14">
        <v>3</v>
      </c>
      <c r="L984" s="14">
        <v>31885</v>
      </c>
      <c r="M984" s="14">
        <v>5</v>
      </c>
      <c r="N984" s="14">
        <v>4782.75</v>
      </c>
      <c r="O984" s="14">
        <v>16357</v>
      </c>
      <c r="P984" s="14">
        <v>220</v>
      </c>
      <c r="Q984" s="14">
        <f t="shared" si="15"/>
        <v>107229.26</v>
      </c>
      <c r="R984" s="14">
        <v>107449.26</v>
      </c>
      <c r="S984" s="14" t="s">
        <v>33</v>
      </c>
      <c r="T984" s="14" t="s">
        <v>34</v>
      </c>
      <c r="U984" s="14" t="s">
        <v>76</v>
      </c>
      <c r="V984" s="14" t="s">
        <v>77</v>
      </c>
      <c r="W984" s="14" t="s">
        <v>57</v>
      </c>
      <c r="X984" s="14">
        <v>8</v>
      </c>
      <c r="Y984" s="14" t="s">
        <v>38</v>
      </c>
      <c r="Z984" s="14">
        <v>1</v>
      </c>
      <c r="AA984" s="14" t="s">
        <v>47</v>
      </c>
    </row>
    <row r="985" spans="1:27" x14ac:dyDescent="0.35">
      <c r="A985" s="14" t="s">
        <v>1672</v>
      </c>
      <c r="B985" s="15">
        <v>45969</v>
      </c>
      <c r="C985" s="14" t="s">
        <v>1673</v>
      </c>
      <c r="D985" s="14" t="s">
        <v>28</v>
      </c>
      <c r="E985" s="14" t="s">
        <v>43</v>
      </c>
      <c r="F985" s="14">
        <v>32</v>
      </c>
      <c r="G985" s="14" t="s">
        <v>67</v>
      </c>
      <c r="H985" s="14" t="s">
        <v>68</v>
      </c>
      <c r="I985" s="14" t="s">
        <v>67</v>
      </c>
      <c r="J985" s="14" t="s">
        <v>69</v>
      </c>
      <c r="K985" s="14">
        <v>2</v>
      </c>
      <c r="L985" s="14">
        <v>12286</v>
      </c>
      <c r="M985" s="14">
        <v>20</v>
      </c>
      <c r="N985" s="14">
        <v>4914.3999999999996</v>
      </c>
      <c r="O985" s="14">
        <v>3538.37</v>
      </c>
      <c r="P985" s="14">
        <v>422</v>
      </c>
      <c r="Q985" s="14">
        <f t="shared" si="15"/>
        <v>23195.97</v>
      </c>
      <c r="R985" s="14">
        <v>23617.97</v>
      </c>
      <c r="S985" s="14" t="s">
        <v>83</v>
      </c>
      <c r="T985" s="14" t="s">
        <v>63</v>
      </c>
      <c r="U985" s="14" t="s">
        <v>70</v>
      </c>
      <c r="V985" s="14" t="s">
        <v>56</v>
      </c>
      <c r="W985" s="14" t="s">
        <v>57</v>
      </c>
      <c r="X985" s="14">
        <v>4</v>
      </c>
      <c r="Y985" s="14" t="s">
        <v>38</v>
      </c>
      <c r="Z985" s="14">
        <v>3</v>
      </c>
      <c r="AA985" s="14" t="s">
        <v>58</v>
      </c>
    </row>
    <row r="986" spans="1:27" x14ac:dyDescent="0.35">
      <c r="A986" s="14" t="s">
        <v>1674</v>
      </c>
      <c r="B986" s="15">
        <v>45765</v>
      </c>
      <c r="C986" s="14" t="s">
        <v>1125</v>
      </c>
      <c r="D986" s="14" t="s">
        <v>111</v>
      </c>
      <c r="E986" s="14" t="s">
        <v>29</v>
      </c>
      <c r="F986" s="14">
        <v>23</v>
      </c>
      <c r="G986" s="14" t="s">
        <v>134</v>
      </c>
      <c r="H986" s="14" t="s">
        <v>31</v>
      </c>
      <c r="I986" s="14" t="s">
        <v>134</v>
      </c>
      <c r="J986" s="14" t="s">
        <v>112</v>
      </c>
      <c r="K986" s="14">
        <v>3</v>
      </c>
      <c r="L986" s="14">
        <v>49317</v>
      </c>
      <c r="M986" s="14">
        <v>20</v>
      </c>
      <c r="N986" s="14">
        <v>29590.2</v>
      </c>
      <c r="O986" s="14">
        <v>21304.94</v>
      </c>
      <c r="P986" s="14">
        <v>76</v>
      </c>
      <c r="Q986" s="14">
        <f t="shared" si="15"/>
        <v>139665.74</v>
      </c>
      <c r="R986" s="14">
        <v>139741.74</v>
      </c>
      <c r="S986" s="14" t="s">
        <v>45</v>
      </c>
      <c r="T986" s="14" t="s">
        <v>34</v>
      </c>
      <c r="U986" s="14" t="s">
        <v>46</v>
      </c>
      <c r="V986" s="14" t="s">
        <v>36</v>
      </c>
      <c r="W986" s="14" t="s">
        <v>37</v>
      </c>
      <c r="X986" s="14">
        <v>7</v>
      </c>
      <c r="Y986" s="14" t="s">
        <v>38</v>
      </c>
      <c r="Z986" s="14">
        <v>4</v>
      </c>
      <c r="AA986" s="14" t="s">
        <v>91</v>
      </c>
    </row>
    <row r="987" spans="1:27" x14ac:dyDescent="0.35">
      <c r="A987" s="14" t="s">
        <v>1675</v>
      </c>
      <c r="B987" s="15">
        <v>46066</v>
      </c>
      <c r="C987" s="14" t="s">
        <v>1676</v>
      </c>
      <c r="D987" s="14" t="s">
        <v>28</v>
      </c>
      <c r="E987" s="14" t="s">
        <v>43</v>
      </c>
      <c r="F987" s="14">
        <v>59</v>
      </c>
      <c r="G987" s="14" t="s">
        <v>94</v>
      </c>
      <c r="H987" s="14" t="s">
        <v>31</v>
      </c>
      <c r="I987" s="14" t="s">
        <v>94</v>
      </c>
      <c r="J987" s="14" t="s">
        <v>69</v>
      </c>
      <c r="K987" s="14">
        <v>1</v>
      </c>
      <c r="L987" s="14">
        <v>2308</v>
      </c>
      <c r="M987" s="14">
        <v>20</v>
      </c>
      <c r="N987" s="14">
        <v>461.6</v>
      </c>
      <c r="O987" s="14">
        <v>332.35</v>
      </c>
      <c r="P987" s="14">
        <v>445</v>
      </c>
      <c r="Q987" s="14">
        <f t="shared" si="15"/>
        <v>2178.75</v>
      </c>
      <c r="R987" s="14">
        <v>2623.75</v>
      </c>
      <c r="S987" s="14" t="s">
        <v>45</v>
      </c>
      <c r="T987" s="14" t="s">
        <v>63</v>
      </c>
      <c r="U987" s="14" t="s">
        <v>84</v>
      </c>
      <c r="V987" s="14" t="s">
        <v>85</v>
      </c>
      <c r="W987" s="14" t="s">
        <v>86</v>
      </c>
      <c r="X987" s="14">
        <v>6</v>
      </c>
      <c r="Y987" s="14" t="s">
        <v>38</v>
      </c>
      <c r="Z987" s="14">
        <v>5</v>
      </c>
      <c r="AA987" s="14" t="s">
        <v>91</v>
      </c>
    </row>
    <row r="988" spans="1:27" x14ac:dyDescent="0.35">
      <c r="A988" s="14" t="s">
        <v>1677</v>
      </c>
      <c r="B988" s="15">
        <v>46119</v>
      </c>
      <c r="C988" s="14" t="s">
        <v>1678</v>
      </c>
      <c r="D988" s="14" t="s">
        <v>73</v>
      </c>
      <c r="E988" s="14" t="s">
        <v>43</v>
      </c>
      <c r="F988" s="14">
        <v>49</v>
      </c>
      <c r="G988" s="14" t="s">
        <v>51</v>
      </c>
      <c r="H988" s="14" t="s">
        <v>52</v>
      </c>
      <c r="I988" s="14" t="s">
        <v>51</v>
      </c>
      <c r="J988" s="14" t="s">
        <v>150</v>
      </c>
      <c r="K988" s="14">
        <v>2</v>
      </c>
      <c r="L988" s="14">
        <v>12242</v>
      </c>
      <c r="M988" s="14">
        <v>5</v>
      </c>
      <c r="N988" s="14">
        <v>1224.2</v>
      </c>
      <c r="O988" s="14">
        <v>4186.76</v>
      </c>
      <c r="P988" s="14">
        <v>314</v>
      </c>
      <c r="Q988" s="14">
        <f t="shared" si="15"/>
        <v>27446.560000000001</v>
      </c>
      <c r="R988" s="14">
        <v>27760.560000000001</v>
      </c>
      <c r="S988" s="14" t="s">
        <v>33</v>
      </c>
      <c r="T988" s="14" t="s">
        <v>34</v>
      </c>
      <c r="U988" s="14" t="s">
        <v>103</v>
      </c>
      <c r="V988" s="14" t="s">
        <v>103</v>
      </c>
      <c r="W988" s="14" t="s">
        <v>57</v>
      </c>
      <c r="X988" s="14">
        <v>10</v>
      </c>
      <c r="Y988" s="14" t="s">
        <v>47</v>
      </c>
      <c r="Z988" s="14">
        <v>4</v>
      </c>
      <c r="AA988" s="14" t="s">
        <v>47</v>
      </c>
    </row>
    <row r="989" spans="1:27" x14ac:dyDescent="0.35">
      <c r="A989" s="14" t="s">
        <v>1679</v>
      </c>
      <c r="B989" s="15">
        <v>45854</v>
      </c>
      <c r="C989" s="14" t="s">
        <v>337</v>
      </c>
      <c r="D989" s="14" t="s">
        <v>66</v>
      </c>
      <c r="E989" s="14" t="s">
        <v>43</v>
      </c>
      <c r="F989" s="14">
        <v>54</v>
      </c>
      <c r="G989" s="14" t="s">
        <v>139</v>
      </c>
      <c r="H989" s="14" t="s">
        <v>31</v>
      </c>
      <c r="I989" s="14" t="s">
        <v>139</v>
      </c>
      <c r="J989" s="14" t="s">
        <v>32</v>
      </c>
      <c r="K989" s="14">
        <v>4</v>
      </c>
      <c r="L989" s="14">
        <v>2691</v>
      </c>
      <c r="M989" s="14">
        <v>15</v>
      </c>
      <c r="N989" s="14">
        <v>1614.6</v>
      </c>
      <c r="O989" s="14">
        <v>1646.89</v>
      </c>
      <c r="P989" s="14">
        <v>248</v>
      </c>
      <c r="Q989" s="14">
        <f t="shared" si="15"/>
        <v>10796.29</v>
      </c>
      <c r="R989" s="14">
        <v>11044.29</v>
      </c>
      <c r="S989" s="14" t="s">
        <v>33</v>
      </c>
      <c r="T989" s="14" t="s">
        <v>63</v>
      </c>
      <c r="U989" s="14" t="s">
        <v>55</v>
      </c>
      <c r="V989" s="14" t="s">
        <v>56</v>
      </c>
      <c r="W989" s="14" t="s">
        <v>57</v>
      </c>
      <c r="X989" s="14">
        <v>9</v>
      </c>
      <c r="Y989" s="14" t="s">
        <v>38</v>
      </c>
      <c r="Z989" s="14">
        <v>1</v>
      </c>
      <c r="AA989" s="14" t="s">
        <v>47</v>
      </c>
    </row>
    <row r="990" spans="1:27" x14ac:dyDescent="0.35">
      <c r="A990" s="14" t="s">
        <v>1680</v>
      </c>
      <c r="B990" s="15">
        <v>45875</v>
      </c>
      <c r="C990" s="14" t="s">
        <v>1681</v>
      </c>
      <c r="D990" s="14" t="s">
        <v>108</v>
      </c>
      <c r="E990" s="14" t="s">
        <v>43</v>
      </c>
      <c r="F990" s="14">
        <v>52</v>
      </c>
      <c r="G990" s="14" t="s">
        <v>74</v>
      </c>
      <c r="H990" s="14" t="s">
        <v>31</v>
      </c>
      <c r="I990" s="14" t="s">
        <v>74</v>
      </c>
      <c r="J990" s="14" t="s">
        <v>150</v>
      </c>
      <c r="K990" s="14">
        <v>1</v>
      </c>
      <c r="L990" s="14">
        <v>3151</v>
      </c>
      <c r="M990" s="14">
        <v>15</v>
      </c>
      <c r="N990" s="14">
        <v>472.65</v>
      </c>
      <c r="O990" s="14">
        <v>482.1</v>
      </c>
      <c r="P990" s="14">
        <v>224</v>
      </c>
      <c r="Q990" s="14">
        <f t="shared" si="15"/>
        <v>3160.45</v>
      </c>
      <c r="R990" s="14">
        <v>3384.45</v>
      </c>
      <c r="S990" s="14" t="s">
        <v>54</v>
      </c>
      <c r="T990" s="14" t="s">
        <v>63</v>
      </c>
      <c r="U990" s="14" t="s">
        <v>84</v>
      </c>
      <c r="V990" s="14" t="s">
        <v>85</v>
      </c>
      <c r="W990" s="14" t="s">
        <v>86</v>
      </c>
      <c r="X990" s="14">
        <v>6</v>
      </c>
      <c r="Y990" s="14" t="s">
        <v>38</v>
      </c>
      <c r="Z990" s="14">
        <v>2</v>
      </c>
      <c r="AA990" s="14" t="s">
        <v>39</v>
      </c>
    </row>
    <row r="991" spans="1:27" x14ac:dyDescent="0.35">
      <c r="A991" s="14" t="s">
        <v>1682</v>
      </c>
      <c r="B991" s="15">
        <v>45974</v>
      </c>
      <c r="C991" s="14" t="s">
        <v>729</v>
      </c>
      <c r="D991" s="14" t="s">
        <v>111</v>
      </c>
      <c r="E991" s="14" t="s">
        <v>43</v>
      </c>
      <c r="F991" s="14">
        <v>52</v>
      </c>
      <c r="G991" s="14" t="s">
        <v>139</v>
      </c>
      <c r="H991" s="14" t="s">
        <v>31</v>
      </c>
      <c r="I991" s="14" t="s">
        <v>139</v>
      </c>
      <c r="J991" s="14" t="s">
        <v>112</v>
      </c>
      <c r="K991" s="14">
        <v>5</v>
      </c>
      <c r="L991" s="14">
        <v>31839</v>
      </c>
      <c r="M991" s="14">
        <v>15</v>
      </c>
      <c r="N991" s="14">
        <v>23879.25</v>
      </c>
      <c r="O991" s="14">
        <v>24356.83</v>
      </c>
      <c r="P991" s="14">
        <v>295</v>
      </c>
      <c r="Q991" s="14">
        <f t="shared" si="15"/>
        <v>159672.57999999999</v>
      </c>
      <c r="R991" s="14">
        <v>159967.57999999999</v>
      </c>
      <c r="S991" s="14" t="s">
        <v>33</v>
      </c>
      <c r="T991" s="14" t="s">
        <v>34</v>
      </c>
      <c r="U991" s="14" t="s">
        <v>46</v>
      </c>
      <c r="V991" s="14" t="s">
        <v>36</v>
      </c>
      <c r="W991" s="14" t="s">
        <v>37</v>
      </c>
      <c r="X991" s="14">
        <v>3</v>
      </c>
      <c r="Y991" s="14" t="s">
        <v>47</v>
      </c>
      <c r="Z991" s="14">
        <v>4</v>
      </c>
      <c r="AA991" s="14" t="s">
        <v>47</v>
      </c>
    </row>
    <row r="992" spans="1:27" x14ac:dyDescent="0.35">
      <c r="A992" s="14" t="s">
        <v>1683</v>
      </c>
      <c r="B992" s="15">
        <v>45954</v>
      </c>
      <c r="C992" s="14" t="s">
        <v>552</v>
      </c>
      <c r="D992" s="14" t="s">
        <v>66</v>
      </c>
      <c r="E992" s="14" t="s">
        <v>43</v>
      </c>
      <c r="F992" s="14">
        <v>54</v>
      </c>
      <c r="G992" s="14" t="s">
        <v>67</v>
      </c>
      <c r="H992" s="14" t="s">
        <v>68</v>
      </c>
      <c r="I992" s="14" t="s">
        <v>67</v>
      </c>
      <c r="J992" s="14" t="s">
        <v>53</v>
      </c>
      <c r="K992" s="14">
        <v>1</v>
      </c>
      <c r="L992" s="14">
        <v>18336</v>
      </c>
      <c r="M992" s="14">
        <v>0</v>
      </c>
      <c r="N992" s="14">
        <v>0</v>
      </c>
      <c r="O992" s="14">
        <v>3300.48</v>
      </c>
      <c r="P992" s="14">
        <v>116</v>
      </c>
      <c r="Q992" s="14">
        <f t="shared" si="15"/>
        <v>21636.48</v>
      </c>
      <c r="R992" s="14">
        <v>21752.48</v>
      </c>
      <c r="S992" s="14" t="s">
        <v>83</v>
      </c>
      <c r="T992" s="14" t="s">
        <v>63</v>
      </c>
      <c r="U992" s="14" t="s">
        <v>95</v>
      </c>
      <c r="V992" s="14" t="s">
        <v>96</v>
      </c>
      <c r="W992" s="14" t="s">
        <v>57</v>
      </c>
      <c r="X992" s="14">
        <v>8</v>
      </c>
      <c r="Y992" s="14" t="s">
        <v>38</v>
      </c>
      <c r="Z992" s="14">
        <v>2</v>
      </c>
      <c r="AA992" s="14" t="s">
        <v>47</v>
      </c>
    </row>
    <row r="993" spans="1:27" x14ac:dyDescent="0.35">
      <c r="A993" s="14" t="s">
        <v>1684</v>
      </c>
      <c r="B993" s="15">
        <v>46053</v>
      </c>
      <c r="C993" s="14" t="s">
        <v>1585</v>
      </c>
      <c r="D993" s="14" t="s">
        <v>89</v>
      </c>
      <c r="E993" s="14" t="s">
        <v>29</v>
      </c>
      <c r="F993" s="14">
        <v>57</v>
      </c>
      <c r="G993" s="14" t="s">
        <v>51</v>
      </c>
      <c r="H993" s="14" t="s">
        <v>52</v>
      </c>
      <c r="I993" s="14" t="s">
        <v>51</v>
      </c>
      <c r="J993" s="14" t="s">
        <v>112</v>
      </c>
      <c r="K993" s="14">
        <v>5</v>
      </c>
      <c r="L993" s="14">
        <v>39114</v>
      </c>
      <c r="M993" s="14">
        <v>20</v>
      </c>
      <c r="N993" s="14">
        <v>39114</v>
      </c>
      <c r="O993" s="14">
        <v>28162.080000000002</v>
      </c>
      <c r="P993" s="14">
        <v>411</v>
      </c>
      <c r="Q993" s="14">
        <f t="shared" si="15"/>
        <v>184618.08</v>
      </c>
      <c r="R993" s="14">
        <v>185029.08</v>
      </c>
      <c r="S993" s="14" t="s">
        <v>33</v>
      </c>
      <c r="T993" s="14" t="s">
        <v>63</v>
      </c>
      <c r="U993" s="14" t="s">
        <v>35</v>
      </c>
      <c r="V993" s="14" t="s">
        <v>36</v>
      </c>
      <c r="W993" s="14" t="s">
        <v>37</v>
      </c>
      <c r="X993" s="14">
        <v>8</v>
      </c>
      <c r="Y993" s="14" t="s">
        <v>47</v>
      </c>
      <c r="Z993" s="14">
        <v>2</v>
      </c>
      <c r="AA993" s="14" t="s">
        <v>39</v>
      </c>
    </row>
    <row r="994" spans="1:27" x14ac:dyDescent="0.35">
      <c r="A994" s="14" t="s">
        <v>1685</v>
      </c>
      <c r="B994" s="15">
        <v>45899</v>
      </c>
      <c r="C994" s="14" t="s">
        <v>1686</v>
      </c>
      <c r="D994" s="14" t="s">
        <v>89</v>
      </c>
      <c r="E994" s="14" t="s">
        <v>43</v>
      </c>
      <c r="F994" s="14">
        <v>27</v>
      </c>
      <c r="G994" s="14" t="s">
        <v>67</v>
      </c>
      <c r="H994" s="14" t="s">
        <v>68</v>
      </c>
      <c r="I994" s="14" t="s">
        <v>67</v>
      </c>
      <c r="J994" s="14" t="s">
        <v>102</v>
      </c>
      <c r="K994" s="14">
        <v>1</v>
      </c>
      <c r="L994" s="14">
        <v>17294</v>
      </c>
      <c r="M994" s="14">
        <v>15</v>
      </c>
      <c r="N994" s="14">
        <v>2594.1</v>
      </c>
      <c r="O994" s="14">
        <v>2645.98</v>
      </c>
      <c r="P994" s="14">
        <v>210</v>
      </c>
      <c r="Q994" s="14">
        <f t="shared" si="15"/>
        <v>17345.88</v>
      </c>
      <c r="R994" s="14">
        <v>17555.88</v>
      </c>
      <c r="S994" s="14" t="s">
        <v>45</v>
      </c>
      <c r="T994" s="14" t="s">
        <v>34</v>
      </c>
      <c r="U994" s="14" t="s">
        <v>76</v>
      </c>
      <c r="V994" s="14" t="s">
        <v>77</v>
      </c>
      <c r="W994" s="14" t="s">
        <v>57</v>
      </c>
      <c r="X994" s="14">
        <v>3</v>
      </c>
      <c r="Y994" s="14" t="s">
        <v>47</v>
      </c>
      <c r="Z994" s="14">
        <v>2</v>
      </c>
      <c r="AA994" s="14" t="s">
        <v>91</v>
      </c>
    </row>
    <row r="995" spans="1:27" x14ac:dyDescent="0.35">
      <c r="A995" s="14" t="s">
        <v>1687</v>
      </c>
      <c r="B995" s="15">
        <v>46083</v>
      </c>
      <c r="C995" s="14" t="s">
        <v>133</v>
      </c>
      <c r="D995" s="14" t="s">
        <v>73</v>
      </c>
      <c r="E995" s="14" t="s">
        <v>29</v>
      </c>
      <c r="F995" s="14">
        <v>48</v>
      </c>
      <c r="G995" s="14" t="s">
        <v>99</v>
      </c>
      <c r="H995" s="14" t="s">
        <v>52</v>
      </c>
      <c r="I995" s="14" t="s">
        <v>99</v>
      </c>
      <c r="J995" s="14" t="s">
        <v>150</v>
      </c>
      <c r="K995" s="14">
        <v>1</v>
      </c>
      <c r="L995" s="14">
        <v>24272</v>
      </c>
      <c r="M995" s="14">
        <v>20</v>
      </c>
      <c r="N995" s="14">
        <v>4854.3999999999996</v>
      </c>
      <c r="O995" s="14">
        <v>3495.17</v>
      </c>
      <c r="P995" s="14">
        <v>462</v>
      </c>
      <c r="Q995" s="14">
        <f t="shared" si="15"/>
        <v>22912.77</v>
      </c>
      <c r="R995" s="14">
        <v>23374.77</v>
      </c>
      <c r="S995" s="14" t="s">
        <v>83</v>
      </c>
      <c r="T995" s="14" t="s">
        <v>34</v>
      </c>
      <c r="U995" s="14" t="s">
        <v>84</v>
      </c>
      <c r="V995" s="14" t="s">
        <v>85</v>
      </c>
      <c r="W995" s="14" t="s">
        <v>86</v>
      </c>
      <c r="X995" s="14">
        <v>7</v>
      </c>
      <c r="Y995" s="14" t="s">
        <v>47</v>
      </c>
      <c r="Z995" s="14">
        <v>4</v>
      </c>
      <c r="AA995" s="14" t="s">
        <v>58</v>
      </c>
    </row>
    <row r="996" spans="1:27" x14ac:dyDescent="0.35">
      <c r="A996" s="14" t="s">
        <v>1688</v>
      </c>
      <c r="B996" s="15">
        <v>45848</v>
      </c>
      <c r="C996" s="14" t="s">
        <v>1689</v>
      </c>
      <c r="D996" s="14" t="s">
        <v>66</v>
      </c>
      <c r="E996" s="14" t="s">
        <v>43</v>
      </c>
      <c r="F996" s="14">
        <v>50</v>
      </c>
      <c r="G996" s="14" t="s">
        <v>74</v>
      </c>
      <c r="H996" s="14" t="s">
        <v>31</v>
      </c>
      <c r="I996" s="14" t="s">
        <v>74</v>
      </c>
      <c r="J996" s="14" t="s">
        <v>69</v>
      </c>
      <c r="K996" s="14">
        <v>2</v>
      </c>
      <c r="L996" s="14">
        <v>39387</v>
      </c>
      <c r="M996" s="14">
        <v>15</v>
      </c>
      <c r="N996" s="14">
        <v>11816.1</v>
      </c>
      <c r="O996" s="14">
        <v>12052.42</v>
      </c>
      <c r="P996" s="14">
        <v>127</v>
      </c>
      <c r="Q996" s="14">
        <f t="shared" si="15"/>
        <v>79010.320000000007</v>
      </c>
      <c r="R996" s="14">
        <v>79137.320000000007</v>
      </c>
      <c r="S996" s="14" t="s">
        <v>54</v>
      </c>
      <c r="T996" s="14" t="s">
        <v>63</v>
      </c>
      <c r="U996" s="14" t="s">
        <v>103</v>
      </c>
      <c r="V996" s="14" t="s">
        <v>103</v>
      </c>
      <c r="W996" s="14" t="s">
        <v>57</v>
      </c>
      <c r="X996" s="14">
        <v>5</v>
      </c>
      <c r="Y996" s="14" t="s">
        <v>38</v>
      </c>
      <c r="Z996" s="14">
        <v>5</v>
      </c>
      <c r="AA996" s="14" t="s">
        <v>39</v>
      </c>
    </row>
    <row r="997" spans="1:27" x14ac:dyDescent="0.35">
      <c r="A997" s="14" t="s">
        <v>1690</v>
      </c>
      <c r="B997" s="15">
        <v>45786</v>
      </c>
      <c r="C997" s="14" t="s">
        <v>1283</v>
      </c>
      <c r="D997" s="14" t="s">
        <v>89</v>
      </c>
      <c r="E997" s="14" t="s">
        <v>43</v>
      </c>
      <c r="F997" s="14">
        <v>30</v>
      </c>
      <c r="G997" s="14" t="s">
        <v>139</v>
      </c>
      <c r="H997" s="14" t="s">
        <v>31</v>
      </c>
      <c r="I997" s="14" t="s">
        <v>139</v>
      </c>
      <c r="J997" s="14" t="s">
        <v>75</v>
      </c>
      <c r="K997" s="14">
        <v>4</v>
      </c>
      <c r="L997" s="14">
        <v>1783</v>
      </c>
      <c r="M997" s="14">
        <v>5</v>
      </c>
      <c r="N997" s="14">
        <v>356.6</v>
      </c>
      <c r="O997" s="14">
        <v>1219.57</v>
      </c>
      <c r="P997" s="14">
        <v>382</v>
      </c>
      <c r="Q997" s="14">
        <f t="shared" si="15"/>
        <v>7994.9699999999993</v>
      </c>
      <c r="R997" s="14">
        <v>8376.9699999999993</v>
      </c>
      <c r="S997" s="14" t="s">
        <v>54</v>
      </c>
      <c r="T997" s="14" t="s">
        <v>63</v>
      </c>
      <c r="U997" s="14" t="s">
        <v>55</v>
      </c>
      <c r="V997" s="14" t="s">
        <v>56</v>
      </c>
      <c r="W997" s="14" t="s">
        <v>57</v>
      </c>
      <c r="X997" s="14">
        <v>6</v>
      </c>
      <c r="Y997" s="14" t="s">
        <v>47</v>
      </c>
      <c r="Z997" s="14">
        <v>5</v>
      </c>
      <c r="AA997" s="14" t="s">
        <v>39</v>
      </c>
    </row>
    <row r="998" spans="1:27" x14ac:dyDescent="0.35">
      <c r="A998" s="14" t="s">
        <v>1691</v>
      </c>
      <c r="B998" s="15">
        <v>45831</v>
      </c>
      <c r="C998" s="14" t="s">
        <v>1692</v>
      </c>
      <c r="D998" s="14" t="s">
        <v>28</v>
      </c>
      <c r="E998" s="14" t="s">
        <v>43</v>
      </c>
      <c r="F998" s="14">
        <v>34</v>
      </c>
      <c r="G998" s="14" t="s">
        <v>139</v>
      </c>
      <c r="H998" s="14" t="s">
        <v>31</v>
      </c>
      <c r="I998" s="14" t="s">
        <v>139</v>
      </c>
      <c r="J998" s="14" t="s">
        <v>112</v>
      </c>
      <c r="K998" s="14">
        <v>2</v>
      </c>
      <c r="L998" s="14">
        <v>9037</v>
      </c>
      <c r="M998" s="14">
        <v>20</v>
      </c>
      <c r="N998" s="14">
        <v>3614.8</v>
      </c>
      <c r="O998" s="14">
        <v>2602.66</v>
      </c>
      <c r="P998" s="14">
        <v>427</v>
      </c>
      <c r="Q998" s="14">
        <f t="shared" si="15"/>
        <v>17061.86</v>
      </c>
      <c r="R998" s="14">
        <v>17488.86</v>
      </c>
      <c r="S998" s="14" t="s">
        <v>83</v>
      </c>
      <c r="T998" s="14" t="s">
        <v>63</v>
      </c>
      <c r="U998" s="14" t="s">
        <v>35</v>
      </c>
      <c r="V998" s="14" t="s">
        <v>36</v>
      </c>
      <c r="W998" s="14" t="s">
        <v>37</v>
      </c>
      <c r="X998" s="14">
        <v>8</v>
      </c>
      <c r="Y998" s="14" t="s">
        <v>38</v>
      </c>
      <c r="Z998" s="14">
        <v>4</v>
      </c>
      <c r="AA998" s="14" t="s">
        <v>91</v>
      </c>
    </row>
    <row r="999" spans="1:27" x14ac:dyDescent="0.35">
      <c r="A999" s="14" t="s">
        <v>1693</v>
      </c>
      <c r="B999" s="15">
        <v>45946</v>
      </c>
      <c r="C999" s="14" t="s">
        <v>1694</v>
      </c>
      <c r="D999" s="14" t="s">
        <v>80</v>
      </c>
      <c r="E999" s="14" t="s">
        <v>29</v>
      </c>
      <c r="F999" s="14">
        <v>28</v>
      </c>
      <c r="G999" s="14" t="s">
        <v>99</v>
      </c>
      <c r="H999" s="14" t="s">
        <v>52</v>
      </c>
      <c r="I999" s="14" t="s">
        <v>99</v>
      </c>
      <c r="J999" s="14" t="s">
        <v>53</v>
      </c>
      <c r="K999" s="14">
        <v>4</v>
      </c>
      <c r="L999" s="14">
        <v>4700</v>
      </c>
      <c r="M999" s="14">
        <v>10</v>
      </c>
      <c r="N999" s="14">
        <v>1880</v>
      </c>
      <c r="O999" s="14">
        <v>3045.6</v>
      </c>
      <c r="P999" s="14">
        <v>112</v>
      </c>
      <c r="Q999" s="14">
        <f t="shared" si="15"/>
        <v>19965.599999999999</v>
      </c>
      <c r="R999" s="14">
        <v>20077.599999999999</v>
      </c>
      <c r="S999" s="14" t="s">
        <v>54</v>
      </c>
      <c r="T999" s="14" t="s">
        <v>34</v>
      </c>
      <c r="U999" s="14" t="s">
        <v>95</v>
      </c>
      <c r="V999" s="14" t="s">
        <v>96</v>
      </c>
      <c r="W999" s="14" t="s">
        <v>57</v>
      </c>
      <c r="X999" s="14">
        <v>2</v>
      </c>
      <c r="Y999" s="14" t="s">
        <v>38</v>
      </c>
      <c r="Z999" s="14">
        <v>3</v>
      </c>
      <c r="AA999" s="14" t="s">
        <v>58</v>
      </c>
    </row>
    <row r="1000" spans="1:27" x14ac:dyDescent="0.35">
      <c r="A1000" s="14" t="s">
        <v>1695</v>
      </c>
      <c r="B1000" s="15">
        <v>46055</v>
      </c>
      <c r="C1000" s="14" t="s">
        <v>636</v>
      </c>
      <c r="D1000" s="14" t="s">
        <v>61</v>
      </c>
      <c r="E1000" s="14" t="s">
        <v>43</v>
      </c>
      <c r="F1000" s="14">
        <v>27</v>
      </c>
      <c r="G1000" s="14" t="s">
        <v>30</v>
      </c>
      <c r="H1000" s="14" t="s">
        <v>31</v>
      </c>
      <c r="I1000" s="14" t="s">
        <v>30</v>
      </c>
      <c r="J1000" s="14" t="s">
        <v>150</v>
      </c>
      <c r="K1000" s="14">
        <v>3</v>
      </c>
      <c r="L1000" s="14">
        <v>3766</v>
      </c>
      <c r="M1000" s="14">
        <v>0</v>
      </c>
      <c r="N1000" s="14">
        <v>0</v>
      </c>
      <c r="O1000" s="14">
        <v>2033.64</v>
      </c>
      <c r="P1000" s="14">
        <v>38</v>
      </c>
      <c r="Q1000" s="14">
        <f t="shared" si="15"/>
        <v>13331.64</v>
      </c>
      <c r="R1000" s="14">
        <v>13369.64</v>
      </c>
      <c r="S1000" s="14" t="s">
        <v>83</v>
      </c>
      <c r="T1000" s="14" t="s">
        <v>63</v>
      </c>
      <c r="U1000" s="14" t="s">
        <v>55</v>
      </c>
      <c r="V1000" s="14" t="s">
        <v>56</v>
      </c>
      <c r="W1000" s="14" t="s">
        <v>57</v>
      </c>
      <c r="X1000" s="14">
        <v>2</v>
      </c>
      <c r="Y1000" s="14" t="s">
        <v>47</v>
      </c>
      <c r="Z1000" s="14">
        <v>5</v>
      </c>
      <c r="AA1000" s="14" t="s">
        <v>58</v>
      </c>
    </row>
    <row r="1001" spans="1:27" x14ac:dyDescent="0.35">
      <c r="A1001" s="14" t="s">
        <v>1696</v>
      </c>
      <c r="B1001" s="15">
        <v>46006</v>
      </c>
      <c r="C1001" s="14" t="s">
        <v>1070</v>
      </c>
      <c r="D1001" s="14" t="s">
        <v>73</v>
      </c>
      <c r="E1001" s="14" t="s">
        <v>29</v>
      </c>
      <c r="F1001" s="14">
        <v>39</v>
      </c>
      <c r="G1001" s="14" t="s">
        <v>30</v>
      </c>
      <c r="H1001" s="14" t="s">
        <v>31</v>
      </c>
      <c r="I1001" s="14" t="s">
        <v>30</v>
      </c>
      <c r="J1001" s="14" t="s">
        <v>202</v>
      </c>
      <c r="K1001" s="14">
        <v>3</v>
      </c>
      <c r="L1001" s="14">
        <v>26044</v>
      </c>
      <c r="M1001" s="14">
        <v>20</v>
      </c>
      <c r="N1001" s="14">
        <v>15626.4</v>
      </c>
      <c r="O1001" s="14">
        <v>11251.01</v>
      </c>
      <c r="P1001" s="14">
        <v>346</v>
      </c>
      <c r="Q1001" s="14">
        <f t="shared" si="15"/>
        <v>73756.61</v>
      </c>
      <c r="R1001" s="14">
        <v>74102.61</v>
      </c>
      <c r="S1001" s="14" t="s">
        <v>33</v>
      </c>
      <c r="T1001" s="14" t="s">
        <v>34</v>
      </c>
      <c r="U1001" s="14" t="s">
        <v>70</v>
      </c>
      <c r="V1001" s="14" t="s">
        <v>56</v>
      </c>
      <c r="W1001" s="14" t="s">
        <v>57</v>
      </c>
      <c r="X1001" s="14">
        <v>9</v>
      </c>
      <c r="Y1001" s="14" t="s">
        <v>47</v>
      </c>
      <c r="Z1001" s="14">
        <v>3</v>
      </c>
      <c r="AA1001" s="14" t="s">
        <v>91</v>
      </c>
    </row>
    <row r="1002" spans="1:27" x14ac:dyDescent="0.35">
      <c r="A1002" s="14" t="s">
        <v>1697</v>
      </c>
      <c r="B1002" s="15">
        <v>46006</v>
      </c>
      <c r="C1002" s="14" t="s">
        <v>1070</v>
      </c>
      <c r="D1002" s="14" t="s">
        <v>73</v>
      </c>
      <c r="E1002" s="14" t="s">
        <v>29</v>
      </c>
      <c r="F1002" s="14">
        <v>39</v>
      </c>
      <c r="G1002" s="14" t="s">
        <v>30</v>
      </c>
      <c r="H1002" s="14" t="s">
        <v>31</v>
      </c>
      <c r="I1002" s="14" t="s">
        <v>1636</v>
      </c>
      <c r="J1002" s="14" t="s">
        <v>202</v>
      </c>
      <c r="K1002" s="14">
        <v>3</v>
      </c>
      <c r="L1002" s="14">
        <v>26044</v>
      </c>
      <c r="M1002" s="14">
        <v>20</v>
      </c>
      <c r="N1002" s="14">
        <v>15626.4</v>
      </c>
      <c r="O1002" s="14">
        <v>11251.01</v>
      </c>
      <c r="P1002" s="14">
        <v>346</v>
      </c>
      <c r="Q1002" s="14">
        <f t="shared" si="15"/>
        <v>73756.61</v>
      </c>
      <c r="R1002" s="14">
        <v>74102.61</v>
      </c>
      <c r="S1002" s="14" t="s">
        <v>33</v>
      </c>
      <c r="T1002" s="14" t="s">
        <v>34</v>
      </c>
      <c r="U1002" s="14" t="s">
        <v>70</v>
      </c>
      <c r="V1002" s="14" t="s">
        <v>56</v>
      </c>
      <c r="W1002" s="14" t="s">
        <v>57</v>
      </c>
      <c r="X1002" s="14">
        <v>9</v>
      </c>
      <c r="Y1002" s="14" t="s">
        <v>47</v>
      </c>
      <c r="Z1002" s="14">
        <v>3</v>
      </c>
      <c r="AA1002" s="14" t="s">
        <v>91</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596B5-46EB-457D-A41B-1B2733226BEA}">
  <sheetPr>
    <tabColor rgb="FFFFFF00"/>
  </sheetPr>
  <dimension ref="A1"/>
  <sheetViews>
    <sheetView showGridLines="0" showRowColHeaders="0" workbookViewId="0">
      <selection activeCell="T35" sqref="A1:T35"/>
    </sheetView>
  </sheetViews>
  <sheetFormatPr defaultRowHeight="14.5" x14ac:dyDescent="0.35"/>
  <sheetData/>
  <pageMargins left="0.25" right="0.25" top="0.75" bottom="0.75" header="0.3" footer="0.3"/>
  <pageSetup paperSize="8"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kpi</vt:lpstr>
      <vt:lpstr>mian data</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 bag</dc:creator>
  <cp:lastModifiedBy>subha bag</cp:lastModifiedBy>
  <cp:lastPrinted>2026-09-16T14:40:31Z</cp:lastPrinted>
  <dcterms:created xsi:type="dcterms:W3CDTF">2026-09-16T09:54:14Z</dcterms:created>
  <dcterms:modified xsi:type="dcterms:W3CDTF">2026-09-16T14:47:06Z</dcterms:modified>
</cp:coreProperties>
</file>